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.huzaifa\Downloads\"/>
    </mc:Choice>
  </mc:AlternateContent>
  <xr:revisionPtr revIDLastSave="0" documentId="8_{500801B5-BC36-4BEB-9CD7-5EAD80BACF04}" xr6:coauthVersionLast="47" xr6:coauthVersionMax="47" xr10:uidLastSave="{00000000-0000-0000-0000-000000000000}"/>
  <bookViews>
    <workbookView xWindow="-108" yWindow="-108" windowWidth="23256" windowHeight="12456" xr2:uid="{234E1920-AAAC-4AAF-8FD2-BABBAF29A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E8" i="1"/>
  <c r="D8" i="1"/>
  <c r="E178" i="1"/>
  <c r="D178" i="1"/>
  <c r="F166" i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E163" i="1"/>
  <c r="D163" i="1"/>
  <c r="F151" i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E147" i="1"/>
  <c r="D147" i="1"/>
  <c r="F135" i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E132" i="1"/>
  <c r="D132" i="1"/>
  <c r="F120" i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E117" i="1"/>
  <c r="D117" i="1"/>
  <c r="F105" i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E102" i="1"/>
  <c r="D102" i="1"/>
  <c r="F90" i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E87" i="1"/>
  <c r="D87" i="1"/>
  <c r="F75" i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E73" i="1"/>
  <c r="D73" i="1"/>
  <c r="F58" i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E40" i="1"/>
  <c r="D40" i="1"/>
  <c r="F27" i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E24" i="1"/>
  <c r="D24" i="1"/>
  <c r="F11" i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</calcChain>
</file>

<file path=xl/sharedStrings.xml><?xml version="1.0" encoding="utf-8"?>
<sst xmlns="http://schemas.openxmlformats.org/spreadsheetml/2006/main" count="22" uniqueCount="22">
  <si>
    <t>Speed (Private) Limited</t>
  </si>
  <si>
    <t>Employee Loan Account</t>
  </si>
  <si>
    <t>Month</t>
  </si>
  <si>
    <t>Payment Voucher</t>
  </si>
  <si>
    <t xml:space="preserve">Monthly </t>
  </si>
  <si>
    <t>Balance</t>
  </si>
  <si>
    <t>No.</t>
  </si>
  <si>
    <t>Date</t>
  </si>
  <si>
    <t>Amount</t>
  </si>
  <si>
    <t>Installment</t>
  </si>
  <si>
    <t>Grand Total</t>
  </si>
  <si>
    <t>Muhammad Rehan-C.o.</t>
  </si>
  <si>
    <t>Muhammad Numair Arshad-C.o.</t>
  </si>
  <si>
    <t>Ebad Naeem</t>
  </si>
  <si>
    <t>Arsalan-C.O.</t>
  </si>
  <si>
    <t>Muhammad Asif-WH</t>
  </si>
  <si>
    <t>Zubair Hussain</t>
  </si>
  <si>
    <t>Bilal Ali-SS LM</t>
  </si>
  <si>
    <t>Muhammad Umar-NDMC</t>
  </si>
  <si>
    <t>Kamran-NSGM</t>
  </si>
  <si>
    <t>Rashid Balouch-A.S.S.</t>
  </si>
  <si>
    <t>FOR THE PERIOD FROM JULY 2026 TO JUNE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</si>
</sst>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165" fontId="1" fillId="0" borderId="0" xfId="1" applyNumberFormat="1" applyFont="1"/>
    <xf numFmtId="165" fontId="1" fillId="0" borderId="0" xfId="1" applyNumberFormat="1" applyFont="1" applyFill="1"/>
    <xf numFmtId="0" fontId="2" fillId="0" borderId="1" xfId="0" applyFont="1" applyBorder="1"/>
    <xf numFmtId="165" fontId="2" fillId="0" borderId="1" xfId="1" applyNumberFormat="1" applyFont="1" applyFill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0" fontId="2" fillId="0" borderId="0" xfId="0" applyFont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165" fontId="2" fillId="0" borderId="6" xfId="1" applyNumberFormat="1" applyFont="1" applyBorder="1" applyAlignment="1">
      <alignment horizontal="center"/>
    </xf>
    <xf numFmtId="165" fontId="2" fillId="0" borderId="5" xfId="1" applyNumberFormat="1" applyFont="1" applyFill="1" applyBorder="1" applyAlignment="1">
      <alignment horizontal="center"/>
    </xf>
    <xf numFmtId="165" fontId="2" fillId="0" borderId="5" xfId="1" applyNumberFormat="1" applyFont="1" applyBorder="1"/>
    <xf numFmtId="165" fontId="2" fillId="0" borderId="7" xfId="1" applyNumberFormat="1" applyFont="1" applyBorder="1"/>
    <xf numFmtId="17" fontId="0" fillId="0" borderId="8" xfId="0" applyNumberFormat="1" applyBorder="1"/>
    <xf numFmtId="0" fontId="0" fillId="0" borderId="8" xfId="0" applyBorder="1"/>
    <xf numFmtId="14" fontId="0" fillId="0" borderId="8" xfId="0" applyNumberFormat="1" applyBorder="1"/>
    <xf numFmtId="165" fontId="1" fillId="0" borderId="8" xfId="1" applyNumberFormat="1" applyFont="1" applyFill="1" applyBorder="1"/>
    <xf numFmtId="165" fontId="1" fillId="0" borderId="8" xfId="1" applyNumberFormat="1" applyFont="1" applyBorder="1"/>
    <xf numFmtId="165" fontId="2" fillId="0" borderId="0" xfId="1" applyNumberFormat="1" applyFont="1"/>
    <xf numFmtId="165" fontId="2" fillId="0" borderId="0" xfId="1" applyNumberFormat="1" applyFont="1" applyFill="1"/>
    <xf numFmtId="165" fontId="1" fillId="2" borderId="8" xfId="1" applyNumberFormat="1" applyFon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97BB-FC71-4358-A8A2-C43666557759}">
  <dimension ref="A1:F178"/>
  <sheetViews>
    <sheetView showGridLines="0" tabSelected="1" topLeftCell="A35" workbookViewId="0">
      <selection activeCell="K44" sqref="K44"/>
    </sheetView>
  </sheetViews>
  <sheetFormatPr defaultColWidth="9.109375" defaultRowHeight="14.4" x14ac:dyDescent="0.3"/>
  <cols>
    <col min="2" max="2" width="10.44140625" customWidth="1"/>
    <col min="3" max="3" width="10.6640625" bestFit="1" customWidth="1"/>
    <col min="4" max="4" width="10.5546875" style="1" bestFit="1" customWidth="1"/>
    <col min="5" max="5" width="12.5546875" style="2" bestFit="1" customWidth="1"/>
    <col min="6" max="6" width="10.44140625" style="1" customWidth="1"/>
    <col min="7" max="7" width="1.33203125" customWidth="1"/>
    <col min="8" max="9" width="10.6640625" bestFit="1" customWidth="1"/>
    <col min="258" max="258" width="10.44140625" customWidth="1"/>
    <col min="259" max="259" width="10.6640625" bestFit="1" customWidth="1"/>
    <col min="260" max="260" width="10.5546875" bestFit="1" customWidth="1"/>
    <col min="261" max="261" width="12.5546875" bestFit="1" customWidth="1"/>
    <col min="262" max="262" width="10.44140625" customWidth="1"/>
    <col min="263" max="263" width="1.33203125" customWidth="1"/>
    <col min="264" max="265" width="10.6640625" bestFit="1" customWidth="1"/>
    <col min="514" max="514" width="10.44140625" customWidth="1"/>
    <col min="515" max="515" width="10.6640625" bestFit="1" customWidth="1"/>
    <col min="516" max="516" width="10.5546875" bestFit="1" customWidth="1"/>
    <col min="517" max="517" width="12.5546875" bestFit="1" customWidth="1"/>
    <col min="518" max="518" width="10.44140625" customWidth="1"/>
    <col min="519" max="519" width="1.33203125" customWidth="1"/>
    <col min="520" max="521" width="10.6640625" bestFit="1" customWidth="1"/>
    <col min="770" max="770" width="10.44140625" customWidth="1"/>
    <col min="771" max="771" width="10.6640625" bestFit="1" customWidth="1"/>
    <col min="772" max="772" width="10.5546875" bestFit="1" customWidth="1"/>
    <col min="773" max="773" width="12.5546875" bestFit="1" customWidth="1"/>
    <col min="774" max="774" width="10.44140625" customWidth="1"/>
    <col min="775" max="775" width="1.33203125" customWidth="1"/>
    <col min="776" max="777" width="10.6640625" bestFit="1" customWidth="1"/>
    <col min="1026" max="1026" width="10.44140625" customWidth="1"/>
    <col min="1027" max="1027" width="10.6640625" bestFit="1" customWidth="1"/>
    <col min="1028" max="1028" width="10.5546875" bestFit="1" customWidth="1"/>
    <col min="1029" max="1029" width="12.5546875" bestFit="1" customWidth="1"/>
    <col min="1030" max="1030" width="10.44140625" customWidth="1"/>
    <col min="1031" max="1031" width="1.33203125" customWidth="1"/>
    <col min="1032" max="1033" width="10.6640625" bestFit="1" customWidth="1"/>
    <col min="1282" max="1282" width="10.44140625" customWidth="1"/>
    <col min="1283" max="1283" width="10.6640625" bestFit="1" customWidth="1"/>
    <col min="1284" max="1284" width="10.5546875" bestFit="1" customWidth="1"/>
    <col min="1285" max="1285" width="12.5546875" bestFit="1" customWidth="1"/>
    <col min="1286" max="1286" width="10.44140625" customWidth="1"/>
    <col min="1287" max="1287" width="1.33203125" customWidth="1"/>
    <col min="1288" max="1289" width="10.6640625" bestFit="1" customWidth="1"/>
    <col min="1538" max="1538" width="10.44140625" customWidth="1"/>
    <col min="1539" max="1539" width="10.6640625" bestFit="1" customWidth="1"/>
    <col min="1540" max="1540" width="10.5546875" bestFit="1" customWidth="1"/>
    <col min="1541" max="1541" width="12.5546875" bestFit="1" customWidth="1"/>
    <col min="1542" max="1542" width="10.44140625" customWidth="1"/>
    <col min="1543" max="1543" width="1.33203125" customWidth="1"/>
    <col min="1544" max="1545" width="10.6640625" bestFit="1" customWidth="1"/>
    <col min="1794" max="1794" width="10.44140625" customWidth="1"/>
    <col min="1795" max="1795" width="10.6640625" bestFit="1" customWidth="1"/>
    <col min="1796" max="1796" width="10.5546875" bestFit="1" customWidth="1"/>
    <col min="1797" max="1797" width="12.5546875" bestFit="1" customWidth="1"/>
    <col min="1798" max="1798" width="10.44140625" customWidth="1"/>
    <col min="1799" max="1799" width="1.33203125" customWidth="1"/>
    <col min="1800" max="1801" width="10.6640625" bestFit="1" customWidth="1"/>
    <col min="2050" max="2050" width="10.44140625" customWidth="1"/>
    <col min="2051" max="2051" width="10.6640625" bestFit="1" customWidth="1"/>
    <col min="2052" max="2052" width="10.5546875" bestFit="1" customWidth="1"/>
    <col min="2053" max="2053" width="12.5546875" bestFit="1" customWidth="1"/>
    <col min="2054" max="2054" width="10.44140625" customWidth="1"/>
    <col min="2055" max="2055" width="1.33203125" customWidth="1"/>
    <col min="2056" max="2057" width="10.6640625" bestFit="1" customWidth="1"/>
    <col min="2306" max="2306" width="10.44140625" customWidth="1"/>
    <col min="2307" max="2307" width="10.6640625" bestFit="1" customWidth="1"/>
    <col min="2308" max="2308" width="10.5546875" bestFit="1" customWidth="1"/>
    <col min="2309" max="2309" width="12.5546875" bestFit="1" customWidth="1"/>
    <col min="2310" max="2310" width="10.44140625" customWidth="1"/>
    <col min="2311" max="2311" width="1.33203125" customWidth="1"/>
    <col min="2312" max="2313" width="10.6640625" bestFit="1" customWidth="1"/>
    <col min="2562" max="2562" width="10.44140625" customWidth="1"/>
    <col min="2563" max="2563" width="10.6640625" bestFit="1" customWidth="1"/>
    <col min="2564" max="2564" width="10.5546875" bestFit="1" customWidth="1"/>
    <col min="2565" max="2565" width="12.5546875" bestFit="1" customWidth="1"/>
    <col min="2566" max="2566" width="10.44140625" customWidth="1"/>
    <col min="2567" max="2567" width="1.33203125" customWidth="1"/>
    <col min="2568" max="2569" width="10.6640625" bestFit="1" customWidth="1"/>
    <col min="2818" max="2818" width="10.44140625" customWidth="1"/>
    <col min="2819" max="2819" width="10.6640625" bestFit="1" customWidth="1"/>
    <col min="2820" max="2820" width="10.5546875" bestFit="1" customWidth="1"/>
    <col min="2821" max="2821" width="12.5546875" bestFit="1" customWidth="1"/>
    <col min="2822" max="2822" width="10.44140625" customWidth="1"/>
    <col min="2823" max="2823" width="1.33203125" customWidth="1"/>
    <col min="2824" max="2825" width="10.6640625" bestFit="1" customWidth="1"/>
    <col min="3074" max="3074" width="10.44140625" customWidth="1"/>
    <col min="3075" max="3075" width="10.6640625" bestFit="1" customWidth="1"/>
    <col min="3076" max="3076" width="10.5546875" bestFit="1" customWidth="1"/>
    <col min="3077" max="3077" width="12.5546875" bestFit="1" customWidth="1"/>
    <col min="3078" max="3078" width="10.44140625" customWidth="1"/>
    <col min="3079" max="3079" width="1.33203125" customWidth="1"/>
    <col min="3080" max="3081" width="10.6640625" bestFit="1" customWidth="1"/>
    <col min="3330" max="3330" width="10.44140625" customWidth="1"/>
    <col min="3331" max="3331" width="10.6640625" bestFit="1" customWidth="1"/>
    <col min="3332" max="3332" width="10.5546875" bestFit="1" customWidth="1"/>
    <col min="3333" max="3333" width="12.5546875" bestFit="1" customWidth="1"/>
    <col min="3334" max="3334" width="10.44140625" customWidth="1"/>
    <col min="3335" max="3335" width="1.33203125" customWidth="1"/>
    <col min="3336" max="3337" width="10.6640625" bestFit="1" customWidth="1"/>
    <col min="3586" max="3586" width="10.44140625" customWidth="1"/>
    <col min="3587" max="3587" width="10.6640625" bestFit="1" customWidth="1"/>
    <col min="3588" max="3588" width="10.5546875" bestFit="1" customWidth="1"/>
    <col min="3589" max="3589" width="12.5546875" bestFit="1" customWidth="1"/>
    <col min="3590" max="3590" width="10.44140625" customWidth="1"/>
    <col min="3591" max="3591" width="1.33203125" customWidth="1"/>
    <col min="3592" max="3593" width="10.6640625" bestFit="1" customWidth="1"/>
    <col min="3842" max="3842" width="10.44140625" customWidth="1"/>
    <col min="3843" max="3843" width="10.6640625" bestFit="1" customWidth="1"/>
    <col min="3844" max="3844" width="10.5546875" bestFit="1" customWidth="1"/>
    <col min="3845" max="3845" width="12.5546875" bestFit="1" customWidth="1"/>
    <col min="3846" max="3846" width="10.44140625" customWidth="1"/>
    <col min="3847" max="3847" width="1.33203125" customWidth="1"/>
    <col min="3848" max="3849" width="10.6640625" bestFit="1" customWidth="1"/>
    <col min="4098" max="4098" width="10.44140625" customWidth="1"/>
    <col min="4099" max="4099" width="10.6640625" bestFit="1" customWidth="1"/>
    <col min="4100" max="4100" width="10.5546875" bestFit="1" customWidth="1"/>
    <col min="4101" max="4101" width="12.5546875" bestFit="1" customWidth="1"/>
    <col min="4102" max="4102" width="10.44140625" customWidth="1"/>
    <col min="4103" max="4103" width="1.33203125" customWidth="1"/>
    <col min="4104" max="4105" width="10.6640625" bestFit="1" customWidth="1"/>
    <col min="4354" max="4354" width="10.44140625" customWidth="1"/>
    <col min="4355" max="4355" width="10.6640625" bestFit="1" customWidth="1"/>
    <col min="4356" max="4356" width="10.5546875" bestFit="1" customWidth="1"/>
    <col min="4357" max="4357" width="12.5546875" bestFit="1" customWidth="1"/>
    <col min="4358" max="4358" width="10.44140625" customWidth="1"/>
    <col min="4359" max="4359" width="1.33203125" customWidth="1"/>
    <col min="4360" max="4361" width="10.6640625" bestFit="1" customWidth="1"/>
    <col min="4610" max="4610" width="10.44140625" customWidth="1"/>
    <col min="4611" max="4611" width="10.6640625" bestFit="1" customWidth="1"/>
    <col min="4612" max="4612" width="10.5546875" bestFit="1" customWidth="1"/>
    <col min="4613" max="4613" width="12.5546875" bestFit="1" customWidth="1"/>
    <col min="4614" max="4614" width="10.44140625" customWidth="1"/>
    <col min="4615" max="4615" width="1.33203125" customWidth="1"/>
    <col min="4616" max="4617" width="10.6640625" bestFit="1" customWidth="1"/>
    <col min="4866" max="4866" width="10.44140625" customWidth="1"/>
    <col min="4867" max="4867" width="10.6640625" bestFit="1" customWidth="1"/>
    <col min="4868" max="4868" width="10.5546875" bestFit="1" customWidth="1"/>
    <col min="4869" max="4869" width="12.5546875" bestFit="1" customWidth="1"/>
    <col min="4870" max="4870" width="10.44140625" customWidth="1"/>
    <col min="4871" max="4871" width="1.33203125" customWidth="1"/>
    <col min="4872" max="4873" width="10.6640625" bestFit="1" customWidth="1"/>
    <col min="5122" max="5122" width="10.44140625" customWidth="1"/>
    <col min="5123" max="5123" width="10.6640625" bestFit="1" customWidth="1"/>
    <col min="5124" max="5124" width="10.5546875" bestFit="1" customWidth="1"/>
    <col min="5125" max="5125" width="12.5546875" bestFit="1" customWidth="1"/>
    <col min="5126" max="5126" width="10.44140625" customWidth="1"/>
    <col min="5127" max="5127" width="1.33203125" customWidth="1"/>
    <col min="5128" max="5129" width="10.6640625" bestFit="1" customWidth="1"/>
    <col min="5378" max="5378" width="10.44140625" customWidth="1"/>
    <col min="5379" max="5379" width="10.6640625" bestFit="1" customWidth="1"/>
    <col min="5380" max="5380" width="10.5546875" bestFit="1" customWidth="1"/>
    <col min="5381" max="5381" width="12.5546875" bestFit="1" customWidth="1"/>
    <col min="5382" max="5382" width="10.44140625" customWidth="1"/>
    <col min="5383" max="5383" width="1.33203125" customWidth="1"/>
    <col min="5384" max="5385" width="10.6640625" bestFit="1" customWidth="1"/>
    <col min="5634" max="5634" width="10.44140625" customWidth="1"/>
    <col min="5635" max="5635" width="10.6640625" bestFit="1" customWidth="1"/>
    <col min="5636" max="5636" width="10.5546875" bestFit="1" customWidth="1"/>
    <col min="5637" max="5637" width="12.5546875" bestFit="1" customWidth="1"/>
    <col min="5638" max="5638" width="10.44140625" customWidth="1"/>
    <col min="5639" max="5639" width="1.33203125" customWidth="1"/>
    <col min="5640" max="5641" width="10.6640625" bestFit="1" customWidth="1"/>
    <col min="5890" max="5890" width="10.44140625" customWidth="1"/>
    <col min="5891" max="5891" width="10.6640625" bestFit="1" customWidth="1"/>
    <col min="5892" max="5892" width="10.5546875" bestFit="1" customWidth="1"/>
    <col min="5893" max="5893" width="12.5546875" bestFit="1" customWidth="1"/>
    <col min="5894" max="5894" width="10.44140625" customWidth="1"/>
    <col min="5895" max="5895" width="1.33203125" customWidth="1"/>
    <col min="5896" max="5897" width="10.6640625" bestFit="1" customWidth="1"/>
    <col min="6146" max="6146" width="10.44140625" customWidth="1"/>
    <col min="6147" max="6147" width="10.6640625" bestFit="1" customWidth="1"/>
    <col min="6148" max="6148" width="10.5546875" bestFit="1" customWidth="1"/>
    <col min="6149" max="6149" width="12.5546875" bestFit="1" customWidth="1"/>
    <col min="6150" max="6150" width="10.44140625" customWidth="1"/>
    <col min="6151" max="6151" width="1.33203125" customWidth="1"/>
    <col min="6152" max="6153" width="10.6640625" bestFit="1" customWidth="1"/>
    <col min="6402" max="6402" width="10.44140625" customWidth="1"/>
    <col min="6403" max="6403" width="10.6640625" bestFit="1" customWidth="1"/>
    <col min="6404" max="6404" width="10.5546875" bestFit="1" customWidth="1"/>
    <col min="6405" max="6405" width="12.5546875" bestFit="1" customWidth="1"/>
    <col min="6406" max="6406" width="10.44140625" customWidth="1"/>
    <col min="6407" max="6407" width="1.33203125" customWidth="1"/>
    <col min="6408" max="6409" width="10.6640625" bestFit="1" customWidth="1"/>
    <col min="6658" max="6658" width="10.44140625" customWidth="1"/>
    <col min="6659" max="6659" width="10.6640625" bestFit="1" customWidth="1"/>
    <col min="6660" max="6660" width="10.5546875" bestFit="1" customWidth="1"/>
    <col min="6661" max="6661" width="12.5546875" bestFit="1" customWidth="1"/>
    <col min="6662" max="6662" width="10.44140625" customWidth="1"/>
    <col min="6663" max="6663" width="1.33203125" customWidth="1"/>
    <col min="6664" max="6665" width="10.6640625" bestFit="1" customWidth="1"/>
    <col min="6914" max="6914" width="10.44140625" customWidth="1"/>
    <col min="6915" max="6915" width="10.6640625" bestFit="1" customWidth="1"/>
    <col min="6916" max="6916" width="10.5546875" bestFit="1" customWidth="1"/>
    <col min="6917" max="6917" width="12.5546875" bestFit="1" customWidth="1"/>
    <col min="6918" max="6918" width="10.44140625" customWidth="1"/>
    <col min="6919" max="6919" width="1.33203125" customWidth="1"/>
    <col min="6920" max="6921" width="10.6640625" bestFit="1" customWidth="1"/>
    <col min="7170" max="7170" width="10.44140625" customWidth="1"/>
    <col min="7171" max="7171" width="10.6640625" bestFit="1" customWidth="1"/>
    <col min="7172" max="7172" width="10.5546875" bestFit="1" customWidth="1"/>
    <col min="7173" max="7173" width="12.5546875" bestFit="1" customWidth="1"/>
    <col min="7174" max="7174" width="10.44140625" customWidth="1"/>
    <col min="7175" max="7175" width="1.33203125" customWidth="1"/>
    <col min="7176" max="7177" width="10.6640625" bestFit="1" customWidth="1"/>
    <col min="7426" max="7426" width="10.44140625" customWidth="1"/>
    <col min="7427" max="7427" width="10.6640625" bestFit="1" customWidth="1"/>
    <col min="7428" max="7428" width="10.5546875" bestFit="1" customWidth="1"/>
    <col min="7429" max="7429" width="12.5546875" bestFit="1" customWidth="1"/>
    <col min="7430" max="7430" width="10.44140625" customWidth="1"/>
    <col min="7431" max="7431" width="1.33203125" customWidth="1"/>
    <col min="7432" max="7433" width="10.6640625" bestFit="1" customWidth="1"/>
    <col min="7682" max="7682" width="10.44140625" customWidth="1"/>
    <col min="7683" max="7683" width="10.6640625" bestFit="1" customWidth="1"/>
    <col min="7684" max="7684" width="10.5546875" bestFit="1" customWidth="1"/>
    <col min="7685" max="7685" width="12.5546875" bestFit="1" customWidth="1"/>
    <col min="7686" max="7686" width="10.44140625" customWidth="1"/>
    <col min="7687" max="7687" width="1.33203125" customWidth="1"/>
    <col min="7688" max="7689" width="10.6640625" bestFit="1" customWidth="1"/>
    <col min="7938" max="7938" width="10.44140625" customWidth="1"/>
    <col min="7939" max="7939" width="10.6640625" bestFit="1" customWidth="1"/>
    <col min="7940" max="7940" width="10.5546875" bestFit="1" customWidth="1"/>
    <col min="7941" max="7941" width="12.5546875" bestFit="1" customWidth="1"/>
    <col min="7942" max="7942" width="10.44140625" customWidth="1"/>
    <col min="7943" max="7943" width="1.33203125" customWidth="1"/>
    <col min="7944" max="7945" width="10.6640625" bestFit="1" customWidth="1"/>
    <col min="8194" max="8194" width="10.44140625" customWidth="1"/>
    <col min="8195" max="8195" width="10.6640625" bestFit="1" customWidth="1"/>
    <col min="8196" max="8196" width="10.5546875" bestFit="1" customWidth="1"/>
    <col min="8197" max="8197" width="12.5546875" bestFit="1" customWidth="1"/>
    <col min="8198" max="8198" width="10.44140625" customWidth="1"/>
    <col min="8199" max="8199" width="1.33203125" customWidth="1"/>
    <col min="8200" max="8201" width="10.6640625" bestFit="1" customWidth="1"/>
    <col min="8450" max="8450" width="10.44140625" customWidth="1"/>
    <col min="8451" max="8451" width="10.6640625" bestFit="1" customWidth="1"/>
    <col min="8452" max="8452" width="10.5546875" bestFit="1" customWidth="1"/>
    <col min="8453" max="8453" width="12.5546875" bestFit="1" customWidth="1"/>
    <col min="8454" max="8454" width="10.44140625" customWidth="1"/>
    <col min="8455" max="8455" width="1.33203125" customWidth="1"/>
    <col min="8456" max="8457" width="10.6640625" bestFit="1" customWidth="1"/>
    <col min="8706" max="8706" width="10.44140625" customWidth="1"/>
    <col min="8707" max="8707" width="10.6640625" bestFit="1" customWidth="1"/>
    <col min="8708" max="8708" width="10.5546875" bestFit="1" customWidth="1"/>
    <col min="8709" max="8709" width="12.5546875" bestFit="1" customWidth="1"/>
    <col min="8710" max="8710" width="10.44140625" customWidth="1"/>
    <col min="8711" max="8711" width="1.33203125" customWidth="1"/>
    <col min="8712" max="8713" width="10.6640625" bestFit="1" customWidth="1"/>
    <col min="8962" max="8962" width="10.44140625" customWidth="1"/>
    <col min="8963" max="8963" width="10.6640625" bestFit="1" customWidth="1"/>
    <col min="8964" max="8964" width="10.5546875" bestFit="1" customWidth="1"/>
    <col min="8965" max="8965" width="12.5546875" bestFit="1" customWidth="1"/>
    <col min="8966" max="8966" width="10.44140625" customWidth="1"/>
    <col min="8967" max="8967" width="1.33203125" customWidth="1"/>
    <col min="8968" max="8969" width="10.6640625" bestFit="1" customWidth="1"/>
    <col min="9218" max="9218" width="10.44140625" customWidth="1"/>
    <col min="9219" max="9219" width="10.6640625" bestFit="1" customWidth="1"/>
    <col min="9220" max="9220" width="10.5546875" bestFit="1" customWidth="1"/>
    <col min="9221" max="9221" width="12.5546875" bestFit="1" customWidth="1"/>
    <col min="9222" max="9222" width="10.44140625" customWidth="1"/>
    <col min="9223" max="9223" width="1.33203125" customWidth="1"/>
    <col min="9224" max="9225" width="10.6640625" bestFit="1" customWidth="1"/>
    <col min="9474" max="9474" width="10.44140625" customWidth="1"/>
    <col min="9475" max="9475" width="10.6640625" bestFit="1" customWidth="1"/>
    <col min="9476" max="9476" width="10.5546875" bestFit="1" customWidth="1"/>
    <col min="9477" max="9477" width="12.5546875" bestFit="1" customWidth="1"/>
    <col min="9478" max="9478" width="10.44140625" customWidth="1"/>
    <col min="9479" max="9479" width="1.33203125" customWidth="1"/>
    <col min="9480" max="9481" width="10.6640625" bestFit="1" customWidth="1"/>
    <col min="9730" max="9730" width="10.44140625" customWidth="1"/>
    <col min="9731" max="9731" width="10.6640625" bestFit="1" customWidth="1"/>
    <col min="9732" max="9732" width="10.5546875" bestFit="1" customWidth="1"/>
    <col min="9733" max="9733" width="12.5546875" bestFit="1" customWidth="1"/>
    <col min="9734" max="9734" width="10.44140625" customWidth="1"/>
    <col min="9735" max="9735" width="1.33203125" customWidth="1"/>
    <col min="9736" max="9737" width="10.6640625" bestFit="1" customWidth="1"/>
    <col min="9986" max="9986" width="10.44140625" customWidth="1"/>
    <col min="9987" max="9987" width="10.6640625" bestFit="1" customWidth="1"/>
    <col min="9988" max="9988" width="10.5546875" bestFit="1" customWidth="1"/>
    <col min="9989" max="9989" width="12.5546875" bestFit="1" customWidth="1"/>
    <col min="9990" max="9990" width="10.44140625" customWidth="1"/>
    <col min="9991" max="9991" width="1.33203125" customWidth="1"/>
    <col min="9992" max="9993" width="10.6640625" bestFit="1" customWidth="1"/>
    <col min="10242" max="10242" width="10.44140625" customWidth="1"/>
    <col min="10243" max="10243" width="10.6640625" bestFit="1" customWidth="1"/>
    <col min="10244" max="10244" width="10.5546875" bestFit="1" customWidth="1"/>
    <col min="10245" max="10245" width="12.5546875" bestFit="1" customWidth="1"/>
    <col min="10246" max="10246" width="10.44140625" customWidth="1"/>
    <col min="10247" max="10247" width="1.33203125" customWidth="1"/>
    <col min="10248" max="10249" width="10.6640625" bestFit="1" customWidth="1"/>
    <col min="10498" max="10498" width="10.44140625" customWidth="1"/>
    <col min="10499" max="10499" width="10.6640625" bestFit="1" customWidth="1"/>
    <col min="10500" max="10500" width="10.5546875" bestFit="1" customWidth="1"/>
    <col min="10501" max="10501" width="12.5546875" bestFit="1" customWidth="1"/>
    <col min="10502" max="10502" width="10.44140625" customWidth="1"/>
    <col min="10503" max="10503" width="1.33203125" customWidth="1"/>
    <col min="10504" max="10505" width="10.6640625" bestFit="1" customWidth="1"/>
    <col min="10754" max="10754" width="10.44140625" customWidth="1"/>
    <col min="10755" max="10755" width="10.6640625" bestFit="1" customWidth="1"/>
    <col min="10756" max="10756" width="10.5546875" bestFit="1" customWidth="1"/>
    <col min="10757" max="10757" width="12.5546875" bestFit="1" customWidth="1"/>
    <col min="10758" max="10758" width="10.44140625" customWidth="1"/>
    <col min="10759" max="10759" width="1.33203125" customWidth="1"/>
    <col min="10760" max="10761" width="10.6640625" bestFit="1" customWidth="1"/>
    <col min="11010" max="11010" width="10.44140625" customWidth="1"/>
    <col min="11011" max="11011" width="10.6640625" bestFit="1" customWidth="1"/>
    <col min="11012" max="11012" width="10.5546875" bestFit="1" customWidth="1"/>
    <col min="11013" max="11013" width="12.5546875" bestFit="1" customWidth="1"/>
    <col min="11014" max="11014" width="10.44140625" customWidth="1"/>
    <col min="11015" max="11015" width="1.33203125" customWidth="1"/>
    <col min="11016" max="11017" width="10.6640625" bestFit="1" customWidth="1"/>
    <col min="11266" max="11266" width="10.44140625" customWidth="1"/>
    <col min="11267" max="11267" width="10.6640625" bestFit="1" customWidth="1"/>
    <col min="11268" max="11268" width="10.5546875" bestFit="1" customWidth="1"/>
    <col min="11269" max="11269" width="12.5546875" bestFit="1" customWidth="1"/>
    <col min="11270" max="11270" width="10.44140625" customWidth="1"/>
    <col min="11271" max="11271" width="1.33203125" customWidth="1"/>
    <col min="11272" max="11273" width="10.6640625" bestFit="1" customWidth="1"/>
    <col min="11522" max="11522" width="10.44140625" customWidth="1"/>
    <col min="11523" max="11523" width="10.6640625" bestFit="1" customWidth="1"/>
    <col min="11524" max="11524" width="10.5546875" bestFit="1" customWidth="1"/>
    <col min="11525" max="11525" width="12.5546875" bestFit="1" customWidth="1"/>
    <col min="11526" max="11526" width="10.44140625" customWidth="1"/>
    <col min="11527" max="11527" width="1.33203125" customWidth="1"/>
    <col min="11528" max="11529" width="10.6640625" bestFit="1" customWidth="1"/>
    <col min="11778" max="11778" width="10.44140625" customWidth="1"/>
    <col min="11779" max="11779" width="10.6640625" bestFit="1" customWidth="1"/>
    <col min="11780" max="11780" width="10.5546875" bestFit="1" customWidth="1"/>
    <col min="11781" max="11781" width="12.5546875" bestFit="1" customWidth="1"/>
    <col min="11782" max="11782" width="10.44140625" customWidth="1"/>
    <col min="11783" max="11783" width="1.33203125" customWidth="1"/>
    <col min="11784" max="11785" width="10.6640625" bestFit="1" customWidth="1"/>
    <col min="12034" max="12034" width="10.44140625" customWidth="1"/>
    <col min="12035" max="12035" width="10.6640625" bestFit="1" customWidth="1"/>
    <col min="12036" max="12036" width="10.5546875" bestFit="1" customWidth="1"/>
    <col min="12037" max="12037" width="12.5546875" bestFit="1" customWidth="1"/>
    <col min="12038" max="12038" width="10.44140625" customWidth="1"/>
    <col min="12039" max="12039" width="1.33203125" customWidth="1"/>
    <col min="12040" max="12041" width="10.6640625" bestFit="1" customWidth="1"/>
    <col min="12290" max="12290" width="10.44140625" customWidth="1"/>
    <col min="12291" max="12291" width="10.6640625" bestFit="1" customWidth="1"/>
    <col min="12292" max="12292" width="10.5546875" bestFit="1" customWidth="1"/>
    <col min="12293" max="12293" width="12.5546875" bestFit="1" customWidth="1"/>
    <col min="12294" max="12294" width="10.44140625" customWidth="1"/>
    <col min="12295" max="12295" width="1.33203125" customWidth="1"/>
    <col min="12296" max="12297" width="10.6640625" bestFit="1" customWidth="1"/>
    <col min="12546" max="12546" width="10.44140625" customWidth="1"/>
    <col min="12547" max="12547" width="10.6640625" bestFit="1" customWidth="1"/>
    <col min="12548" max="12548" width="10.5546875" bestFit="1" customWidth="1"/>
    <col min="12549" max="12549" width="12.5546875" bestFit="1" customWidth="1"/>
    <col min="12550" max="12550" width="10.44140625" customWidth="1"/>
    <col min="12551" max="12551" width="1.33203125" customWidth="1"/>
    <col min="12552" max="12553" width="10.6640625" bestFit="1" customWidth="1"/>
    <col min="12802" max="12802" width="10.44140625" customWidth="1"/>
    <col min="12803" max="12803" width="10.6640625" bestFit="1" customWidth="1"/>
    <col min="12804" max="12804" width="10.5546875" bestFit="1" customWidth="1"/>
    <col min="12805" max="12805" width="12.5546875" bestFit="1" customWidth="1"/>
    <col min="12806" max="12806" width="10.44140625" customWidth="1"/>
    <col min="12807" max="12807" width="1.33203125" customWidth="1"/>
    <col min="12808" max="12809" width="10.6640625" bestFit="1" customWidth="1"/>
    <col min="13058" max="13058" width="10.44140625" customWidth="1"/>
    <col min="13059" max="13059" width="10.6640625" bestFit="1" customWidth="1"/>
    <col min="13060" max="13060" width="10.5546875" bestFit="1" customWidth="1"/>
    <col min="13061" max="13061" width="12.5546875" bestFit="1" customWidth="1"/>
    <col min="13062" max="13062" width="10.44140625" customWidth="1"/>
    <col min="13063" max="13063" width="1.33203125" customWidth="1"/>
    <col min="13064" max="13065" width="10.6640625" bestFit="1" customWidth="1"/>
    <col min="13314" max="13314" width="10.44140625" customWidth="1"/>
    <col min="13315" max="13315" width="10.6640625" bestFit="1" customWidth="1"/>
    <col min="13316" max="13316" width="10.5546875" bestFit="1" customWidth="1"/>
    <col min="13317" max="13317" width="12.5546875" bestFit="1" customWidth="1"/>
    <col min="13318" max="13318" width="10.44140625" customWidth="1"/>
    <col min="13319" max="13319" width="1.33203125" customWidth="1"/>
    <col min="13320" max="13321" width="10.6640625" bestFit="1" customWidth="1"/>
    <col min="13570" max="13570" width="10.44140625" customWidth="1"/>
    <col min="13571" max="13571" width="10.6640625" bestFit="1" customWidth="1"/>
    <col min="13572" max="13572" width="10.5546875" bestFit="1" customWidth="1"/>
    <col min="13573" max="13573" width="12.5546875" bestFit="1" customWidth="1"/>
    <col min="13574" max="13574" width="10.44140625" customWidth="1"/>
    <col min="13575" max="13575" width="1.33203125" customWidth="1"/>
    <col min="13576" max="13577" width="10.6640625" bestFit="1" customWidth="1"/>
    <col min="13826" max="13826" width="10.44140625" customWidth="1"/>
    <col min="13827" max="13827" width="10.6640625" bestFit="1" customWidth="1"/>
    <col min="13828" max="13828" width="10.5546875" bestFit="1" customWidth="1"/>
    <col min="13829" max="13829" width="12.5546875" bestFit="1" customWidth="1"/>
    <col min="13830" max="13830" width="10.44140625" customWidth="1"/>
    <col min="13831" max="13831" width="1.33203125" customWidth="1"/>
    <col min="13832" max="13833" width="10.6640625" bestFit="1" customWidth="1"/>
    <col min="14082" max="14082" width="10.44140625" customWidth="1"/>
    <col min="14083" max="14083" width="10.6640625" bestFit="1" customWidth="1"/>
    <col min="14084" max="14084" width="10.5546875" bestFit="1" customWidth="1"/>
    <col min="14085" max="14085" width="12.5546875" bestFit="1" customWidth="1"/>
    <col min="14086" max="14086" width="10.44140625" customWidth="1"/>
    <col min="14087" max="14087" width="1.33203125" customWidth="1"/>
    <col min="14088" max="14089" width="10.6640625" bestFit="1" customWidth="1"/>
    <col min="14338" max="14338" width="10.44140625" customWidth="1"/>
    <col min="14339" max="14339" width="10.6640625" bestFit="1" customWidth="1"/>
    <col min="14340" max="14340" width="10.5546875" bestFit="1" customWidth="1"/>
    <col min="14341" max="14341" width="12.5546875" bestFit="1" customWidth="1"/>
    <col min="14342" max="14342" width="10.44140625" customWidth="1"/>
    <col min="14343" max="14343" width="1.33203125" customWidth="1"/>
    <col min="14344" max="14345" width="10.6640625" bestFit="1" customWidth="1"/>
    <col min="14594" max="14594" width="10.44140625" customWidth="1"/>
    <col min="14595" max="14595" width="10.6640625" bestFit="1" customWidth="1"/>
    <col min="14596" max="14596" width="10.5546875" bestFit="1" customWidth="1"/>
    <col min="14597" max="14597" width="12.5546875" bestFit="1" customWidth="1"/>
    <col min="14598" max="14598" width="10.44140625" customWidth="1"/>
    <col min="14599" max="14599" width="1.33203125" customWidth="1"/>
    <col min="14600" max="14601" width="10.6640625" bestFit="1" customWidth="1"/>
    <col min="14850" max="14850" width="10.44140625" customWidth="1"/>
    <col min="14851" max="14851" width="10.6640625" bestFit="1" customWidth="1"/>
    <col min="14852" max="14852" width="10.5546875" bestFit="1" customWidth="1"/>
    <col min="14853" max="14853" width="12.5546875" bestFit="1" customWidth="1"/>
    <col min="14854" max="14854" width="10.44140625" customWidth="1"/>
    <col min="14855" max="14855" width="1.33203125" customWidth="1"/>
    <col min="14856" max="14857" width="10.6640625" bestFit="1" customWidth="1"/>
    <col min="15106" max="15106" width="10.44140625" customWidth="1"/>
    <col min="15107" max="15107" width="10.6640625" bestFit="1" customWidth="1"/>
    <col min="15108" max="15108" width="10.5546875" bestFit="1" customWidth="1"/>
    <col min="15109" max="15109" width="12.5546875" bestFit="1" customWidth="1"/>
    <col min="15110" max="15110" width="10.44140625" customWidth="1"/>
    <col min="15111" max="15111" width="1.33203125" customWidth="1"/>
    <col min="15112" max="15113" width="10.6640625" bestFit="1" customWidth="1"/>
    <col min="15362" max="15362" width="10.44140625" customWidth="1"/>
    <col min="15363" max="15363" width="10.6640625" bestFit="1" customWidth="1"/>
    <col min="15364" max="15364" width="10.5546875" bestFit="1" customWidth="1"/>
    <col min="15365" max="15365" width="12.5546875" bestFit="1" customWidth="1"/>
    <col min="15366" max="15366" width="10.44140625" customWidth="1"/>
    <col min="15367" max="15367" width="1.33203125" customWidth="1"/>
    <col min="15368" max="15369" width="10.6640625" bestFit="1" customWidth="1"/>
    <col min="15618" max="15618" width="10.44140625" customWidth="1"/>
    <col min="15619" max="15619" width="10.6640625" bestFit="1" customWidth="1"/>
    <col min="15620" max="15620" width="10.5546875" bestFit="1" customWidth="1"/>
    <col min="15621" max="15621" width="12.5546875" bestFit="1" customWidth="1"/>
    <col min="15622" max="15622" width="10.44140625" customWidth="1"/>
    <col min="15623" max="15623" width="1.33203125" customWidth="1"/>
    <col min="15624" max="15625" width="10.6640625" bestFit="1" customWidth="1"/>
    <col min="15874" max="15874" width="10.44140625" customWidth="1"/>
    <col min="15875" max="15875" width="10.6640625" bestFit="1" customWidth="1"/>
    <col min="15876" max="15876" width="10.5546875" bestFit="1" customWidth="1"/>
    <col min="15877" max="15877" width="12.5546875" bestFit="1" customWidth="1"/>
    <col min="15878" max="15878" width="10.44140625" customWidth="1"/>
    <col min="15879" max="15879" width="1.33203125" customWidth="1"/>
    <col min="15880" max="15881" width="10.6640625" bestFit="1" customWidth="1"/>
    <col min="16130" max="16130" width="10.44140625" customWidth="1"/>
    <col min="16131" max="16131" width="10.6640625" bestFit="1" customWidth="1"/>
    <col min="16132" max="16132" width="10.5546875" bestFit="1" customWidth="1"/>
    <col min="16133" max="16133" width="12.5546875" bestFit="1" customWidth="1"/>
    <col min="16134" max="16134" width="10.44140625" customWidth="1"/>
    <col min="16135" max="16135" width="1.33203125" customWidth="1"/>
    <col min="16136" max="16137" width="10.6640625" bestFit="1" customWidth="1"/>
  </cols>
  <sheetData>
    <row r="1" spans="1:6" x14ac:dyDescent="0.3">
      <c r="A1" s="21" t="s">
        <v>0</v>
      </c>
      <c r="B1" s="21"/>
      <c r="C1" s="21"/>
      <c r="D1" s="21"/>
      <c r="E1" s="21"/>
      <c r="F1" s="21"/>
    </row>
    <row r="2" spans="1:6" x14ac:dyDescent="0.3">
      <c r="A2" s="21" t="s">
        <v>1</v>
      </c>
      <c r="B2" s="21"/>
      <c r="C2" s="21"/>
      <c r="D2" s="21"/>
      <c r="E2" s="21"/>
      <c r="F2" s="21"/>
    </row>
    <row r="3" spans="1:6" x14ac:dyDescent="0.3">
      <c r="A3" s="22" t="s">
        <v>21</v>
      </c>
      <c r="B3" s="22"/>
      <c r="C3" s="22"/>
      <c r="D3" s="22"/>
      <c r="E3" s="22"/>
      <c r="F3" s="22"/>
    </row>
    <row r="4" spans="1:6" ht="15" thickBot="1" x14ac:dyDescent="0.35"/>
    <row r="5" spans="1:6" s="6" customFormat="1" ht="15" thickBot="1" x14ac:dyDescent="0.35">
      <c r="A5" s="3" t="s">
        <v>2</v>
      </c>
      <c r="B5" s="23" t="s">
        <v>3</v>
      </c>
      <c r="C5" s="24"/>
      <c r="D5" s="25"/>
      <c r="E5" s="4" t="s">
        <v>4</v>
      </c>
      <c r="F5" s="5" t="s">
        <v>5</v>
      </c>
    </row>
    <row r="6" spans="1:6" s="6" customFormat="1" ht="15" thickBot="1" x14ac:dyDescent="0.35">
      <c r="A6" s="7"/>
      <c r="B6" s="8" t="s">
        <v>6</v>
      </c>
      <c r="C6" s="8" t="s">
        <v>7</v>
      </c>
      <c r="D6" s="9" t="s">
        <v>8</v>
      </c>
      <c r="E6" s="10" t="s">
        <v>9</v>
      </c>
      <c r="F6" s="11"/>
    </row>
    <row r="8" spans="1:6" s="6" customFormat="1" ht="15" thickBot="1" x14ac:dyDescent="0.35">
      <c r="A8" s="6" t="s">
        <v>10</v>
      </c>
      <c r="D8" s="12">
        <f>+D24+D40+D55+D73+D87+D102+D117+D132+D147+D163+D178</f>
        <v>923000</v>
      </c>
      <c r="E8" s="12">
        <f>+E24+E40+E55+E73+E87+E102+E117+E132+E147+E163+E178</f>
        <v>293831</v>
      </c>
      <c r="F8" s="12">
        <f>+F24+F40+F55+F73+F87+F102+F117+F132+F147+F163+F178</f>
        <v>629169</v>
      </c>
    </row>
    <row r="9" spans="1:6" ht="15" thickTop="1" x14ac:dyDescent="0.3"/>
    <row r="10" spans="1:6" x14ac:dyDescent="0.3">
      <c r="A10" s="6" t="s">
        <v>11</v>
      </c>
    </row>
    <row r="11" spans="1:6" x14ac:dyDescent="0.3">
      <c r="A11" s="13">
        <v>46218</v>
      </c>
      <c r="B11" s="15">
        <v>628</v>
      </c>
      <c r="C11" s="15">
        <v>46216</v>
      </c>
      <c r="D11" s="16">
        <v>100000</v>
      </c>
      <c r="E11" s="16">
        <v>8333</v>
      </c>
      <c r="F11" s="17">
        <f>+D11-E11</f>
        <v>91667</v>
      </c>
    </row>
    <row r="12" spans="1:6" x14ac:dyDescent="0.3">
      <c r="A12" s="13">
        <v>46249</v>
      </c>
      <c r="B12" s="14"/>
      <c r="C12" s="14"/>
      <c r="D12" s="17"/>
      <c r="E12" s="16"/>
      <c r="F12" s="17">
        <f>+F11-E12</f>
        <v>91667</v>
      </c>
    </row>
    <row r="13" spans="1:6" x14ac:dyDescent="0.3">
      <c r="A13" s="13">
        <v>46280</v>
      </c>
      <c r="B13" s="14"/>
      <c r="C13" s="14"/>
      <c r="D13" s="17"/>
      <c r="E13" s="16"/>
      <c r="F13" s="17">
        <f t="shared" ref="F13:F23" si="0">+F12-E13</f>
        <v>91667</v>
      </c>
    </row>
    <row r="14" spans="1:6" x14ac:dyDescent="0.3">
      <c r="A14" s="13">
        <v>46310</v>
      </c>
      <c r="B14" s="14"/>
      <c r="C14" s="15"/>
      <c r="D14" s="17"/>
      <c r="E14" s="16"/>
      <c r="F14" s="17">
        <f t="shared" si="0"/>
        <v>91667</v>
      </c>
    </row>
    <row r="15" spans="1:6" x14ac:dyDescent="0.3">
      <c r="A15" s="13">
        <v>46341</v>
      </c>
      <c r="B15" s="14"/>
      <c r="C15" s="15"/>
      <c r="D15" s="17"/>
      <c r="E15" s="16"/>
      <c r="F15" s="17">
        <f t="shared" si="0"/>
        <v>91667</v>
      </c>
    </row>
    <row r="16" spans="1:6" x14ac:dyDescent="0.3">
      <c r="A16" s="13">
        <v>46371</v>
      </c>
      <c r="B16" s="14"/>
      <c r="C16" s="15"/>
      <c r="D16" s="17"/>
      <c r="E16" s="16"/>
      <c r="F16" s="17">
        <f t="shared" si="0"/>
        <v>91667</v>
      </c>
    </row>
    <row r="17" spans="1:6" x14ac:dyDescent="0.3">
      <c r="A17" s="13">
        <v>46402</v>
      </c>
      <c r="B17" s="14"/>
      <c r="C17" s="15"/>
      <c r="D17" s="17"/>
      <c r="E17" s="16"/>
      <c r="F17" s="17">
        <f t="shared" si="0"/>
        <v>91667</v>
      </c>
    </row>
    <row r="18" spans="1:6" x14ac:dyDescent="0.3">
      <c r="A18" s="13">
        <v>46433</v>
      </c>
      <c r="B18" s="14"/>
      <c r="C18" s="15"/>
      <c r="D18" s="17"/>
      <c r="E18" s="16"/>
      <c r="F18" s="17">
        <f t="shared" si="0"/>
        <v>91667</v>
      </c>
    </row>
    <row r="19" spans="1:6" x14ac:dyDescent="0.3">
      <c r="A19" s="13">
        <v>46461</v>
      </c>
      <c r="B19" s="14"/>
      <c r="C19" s="15"/>
      <c r="D19" s="17"/>
      <c r="E19" s="16"/>
      <c r="F19" s="17">
        <f t="shared" si="0"/>
        <v>91667</v>
      </c>
    </row>
    <row r="20" spans="1:6" x14ac:dyDescent="0.3">
      <c r="A20" s="13">
        <v>46492</v>
      </c>
      <c r="B20" s="14"/>
      <c r="C20" s="15"/>
      <c r="D20" s="17"/>
      <c r="E20" s="16"/>
      <c r="F20" s="17">
        <f t="shared" si="0"/>
        <v>91667</v>
      </c>
    </row>
    <row r="21" spans="1:6" x14ac:dyDescent="0.3">
      <c r="A21" s="13">
        <v>46522</v>
      </c>
      <c r="B21" s="14"/>
      <c r="C21" s="15"/>
      <c r="D21" s="17"/>
      <c r="E21" s="16"/>
      <c r="F21" s="17">
        <f t="shared" si="0"/>
        <v>91667</v>
      </c>
    </row>
    <row r="22" spans="1:6" x14ac:dyDescent="0.3">
      <c r="A22" s="13">
        <v>46553</v>
      </c>
      <c r="B22" s="14"/>
      <c r="C22" s="14"/>
      <c r="D22" s="17"/>
      <c r="E22" s="16"/>
      <c r="F22" s="17">
        <f t="shared" si="0"/>
        <v>91667</v>
      </c>
    </row>
    <row r="23" spans="1:6" x14ac:dyDescent="0.3">
      <c r="A23" s="13">
        <v>46583</v>
      </c>
      <c r="B23" s="14"/>
      <c r="C23" s="14"/>
      <c r="D23" s="17"/>
      <c r="E23" s="16"/>
      <c r="F23" s="17">
        <f t="shared" si="0"/>
        <v>91667</v>
      </c>
    </row>
    <row r="24" spans="1:6" x14ac:dyDescent="0.3">
      <c r="A24" s="6"/>
      <c r="B24" s="6"/>
      <c r="C24" s="6"/>
      <c r="D24" s="18">
        <f>SUM(D11:D23)</f>
        <v>100000</v>
      </c>
      <c r="E24" s="19">
        <f>SUM(E11:E23)</f>
        <v>8333</v>
      </c>
      <c r="F24" s="18">
        <f>+F23</f>
        <v>91667</v>
      </c>
    </row>
    <row r="25" spans="1:6" x14ac:dyDescent="0.3">
      <c r="A25" s="6"/>
      <c r="B25" s="6"/>
      <c r="C25" s="6"/>
      <c r="D25" s="18"/>
      <c r="E25" s="19"/>
      <c r="F25" s="18"/>
    </row>
    <row r="26" spans="1:6" x14ac:dyDescent="0.3">
      <c r="A26" s="6" t="s">
        <v>12</v>
      </c>
    </row>
    <row r="27" spans="1:6" x14ac:dyDescent="0.3">
      <c r="A27" s="13">
        <v>46143</v>
      </c>
      <c r="B27" s="14">
        <v>3926</v>
      </c>
      <c r="C27" s="15">
        <v>46142</v>
      </c>
      <c r="D27" s="16">
        <v>100000</v>
      </c>
      <c r="E27" s="16">
        <v>8333</v>
      </c>
      <c r="F27" s="17">
        <f>+D27-E27</f>
        <v>91667</v>
      </c>
    </row>
    <row r="28" spans="1:6" x14ac:dyDescent="0.3">
      <c r="A28" s="13">
        <v>46174</v>
      </c>
      <c r="B28" s="14"/>
      <c r="C28" s="14"/>
      <c r="D28" s="17"/>
      <c r="E28" s="16">
        <v>8333</v>
      </c>
      <c r="F28" s="17">
        <f>+F27-E28</f>
        <v>83334</v>
      </c>
    </row>
    <row r="29" spans="1:6" x14ac:dyDescent="0.3">
      <c r="A29" s="13">
        <v>46204</v>
      </c>
      <c r="B29" s="14"/>
      <c r="C29" s="14"/>
      <c r="D29" s="17"/>
      <c r="E29" s="16">
        <v>8333</v>
      </c>
      <c r="F29" s="17">
        <f t="shared" ref="F29:F39" si="1">+F28-E29</f>
        <v>75001</v>
      </c>
    </row>
    <row r="30" spans="1:6" x14ac:dyDescent="0.3">
      <c r="A30" s="13">
        <v>46235</v>
      </c>
      <c r="B30" s="14"/>
      <c r="C30" s="15"/>
      <c r="D30" s="17"/>
      <c r="E30" s="16"/>
      <c r="F30" s="17">
        <f t="shared" si="1"/>
        <v>75001</v>
      </c>
    </row>
    <row r="31" spans="1:6" x14ac:dyDescent="0.3">
      <c r="A31" s="13">
        <v>46266</v>
      </c>
      <c r="B31" s="14"/>
      <c r="C31" s="15"/>
      <c r="D31" s="17"/>
      <c r="E31" s="16"/>
      <c r="F31" s="17">
        <f t="shared" si="1"/>
        <v>75001</v>
      </c>
    </row>
    <row r="32" spans="1:6" x14ac:dyDescent="0.3">
      <c r="A32" s="13">
        <v>46296</v>
      </c>
      <c r="B32" s="14"/>
      <c r="C32" s="15"/>
      <c r="D32" s="17"/>
      <c r="E32" s="16"/>
      <c r="F32" s="17">
        <f t="shared" si="1"/>
        <v>75001</v>
      </c>
    </row>
    <row r="33" spans="1:6" x14ac:dyDescent="0.3">
      <c r="A33" s="13">
        <v>46327</v>
      </c>
      <c r="B33" s="14"/>
      <c r="C33" s="15"/>
      <c r="D33" s="17"/>
      <c r="E33" s="16"/>
      <c r="F33" s="17">
        <f t="shared" si="1"/>
        <v>75001</v>
      </c>
    </row>
    <row r="34" spans="1:6" x14ac:dyDescent="0.3">
      <c r="A34" s="13">
        <v>46357</v>
      </c>
      <c r="B34" s="14"/>
      <c r="C34" s="15"/>
      <c r="D34" s="17"/>
      <c r="E34" s="16"/>
      <c r="F34" s="17">
        <f t="shared" si="1"/>
        <v>75001</v>
      </c>
    </row>
    <row r="35" spans="1:6" x14ac:dyDescent="0.3">
      <c r="A35" s="13">
        <v>46388</v>
      </c>
      <c r="B35" s="14"/>
      <c r="C35" s="15"/>
      <c r="D35" s="17"/>
      <c r="E35" s="16"/>
      <c r="F35" s="17">
        <f t="shared" si="1"/>
        <v>75001</v>
      </c>
    </row>
    <row r="36" spans="1:6" x14ac:dyDescent="0.3">
      <c r="A36" s="13">
        <v>46419</v>
      </c>
      <c r="B36" s="14"/>
      <c r="C36" s="15"/>
      <c r="D36" s="17"/>
      <c r="E36" s="16"/>
      <c r="F36" s="17">
        <f t="shared" si="1"/>
        <v>75001</v>
      </c>
    </row>
    <row r="37" spans="1:6" x14ac:dyDescent="0.3">
      <c r="A37" s="13">
        <v>46447</v>
      </c>
      <c r="B37" s="14"/>
      <c r="C37" s="15"/>
      <c r="D37" s="17"/>
      <c r="E37" s="16"/>
      <c r="F37" s="17">
        <f t="shared" si="1"/>
        <v>75001</v>
      </c>
    </row>
    <row r="38" spans="1:6" x14ac:dyDescent="0.3">
      <c r="A38" s="13">
        <v>46478</v>
      </c>
      <c r="B38" s="14"/>
      <c r="C38" s="14"/>
      <c r="D38" s="17"/>
      <c r="E38" s="16"/>
      <c r="F38" s="17">
        <f t="shared" si="1"/>
        <v>75001</v>
      </c>
    </row>
    <row r="39" spans="1:6" x14ac:dyDescent="0.3">
      <c r="A39" s="13">
        <v>46508</v>
      </c>
      <c r="B39" s="14"/>
      <c r="C39" s="14"/>
      <c r="D39" s="17"/>
      <c r="E39" s="16"/>
      <c r="F39" s="17">
        <f t="shared" si="1"/>
        <v>75001</v>
      </c>
    </row>
    <row r="40" spans="1:6" x14ac:dyDescent="0.3">
      <c r="A40" s="6"/>
      <c r="B40" s="6"/>
      <c r="C40" s="6"/>
      <c r="D40" s="18">
        <f>SUM(D27:D39)</f>
        <v>100000</v>
      </c>
      <c r="E40" s="19">
        <f>SUM(E27:E39)</f>
        <v>24999</v>
      </c>
      <c r="F40" s="18">
        <f>+F39</f>
        <v>75001</v>
      </c>
    </row>
    <row r="41" spans="1:6" x14ac:dyDescent="0.3">
      <c r="A41" s="6"/>
      <c r="B41" s="6"/>
      <c r="C41" s="6"/>
      <c r="D41" s="18"/>
      <c r="E41" s="19"/>
      <c r="F41" s="18"/>
    </row>
    <row r="42" spans="1:6" x14ac:dyDescent="0.3">
      <c r="A42" s="6"/>
    </row>
    <row r="43" spans="1:6" x14ac:dyDescent="0.3">
      <c r="A43" s="13"/>
      <c r="B43" s="14"/>
      <c r="C43" s="15"/>
      <c r="D43" s="16"/>
      <c r="E43" s="16"/>
      <c r="F43" s="17"/>
    </row>
    <row r="44" spans="1:6" x14ac:dyDescent="0.3">
      <c r="A44" s="13"/>
      <c r="B44" s="14"/>
      <c r="C44" s="15"/>
      <c r="D44" s="17"/>
      <c r="E44" s="16"/>
      <c r="F44" s="17"/>
    </row>
    <row r="45" spans="1:6" x14ac:dyDescent="0.3">
      <c r="A45" s="13"/>
      <c r="B45" s="14"/>
      <c r="C45" s="14"/>
      <c r="D45" s="17"/>
      <c r="E45" s="20"/>
      <c r="F45" s="17"/>
    </row>
    <row r="46" spans="1:6" x14ac:dyDescent="0.3">
      <c r="A46" s="13"/>
      <c r="B46" s="14"/>
      <c r="C46" s="15"/>
      <c r="D46" s="17"/>
      <c r="E46" s="16"/>
      <c r="F46" s="17"/>
    </row>
    <row r="47" spans="1:6" x14ac:dyDescent="0.3">
      <c r="A47" s="13"/>
      <c r="B47" s="14"/>
      <c r="C47" s="15"/>
      <c r="D47" s="17"/>
      <c r="E47" s="16"/>
      <c r="F47" s="17"/>
    </row>
    <row r="48" spans="1:6" x14ac:dyDescent="0.3">
      <c r="A48" s="13"/>
      <c r="B48" s="14"/>
      <c r="C48" s="15"/>
      <c r="D48" s="17"/>
      <c r="E48" s="16"/>
      <c r="F48" s="17"/>
    </row>
    <row r="49" spans="1:6" x14ac:dyDescent="0.3">
      <c r="A49" s="13"/>
      <c r="B49" s="14"/>
      <c r="C49" s="15"/>
      <c r="D49" s="17"/>
      <c r="E49" s="16"/>
      <c r="F49" s="17"/>
    </row>
    <row r="50" spans="1:6" x14ac:dyDescent="0.3">
      <c r="A50" s="13"/>
      <c r="B50" s="14"/>
      <c r="C50" s="15"/>
      <c r="D50" s="17"/>
      <c r="E50" s="16"/>
      <c r="F50" s="17"/>
    </row>
    <row r="51" spans="1:6" x14ac:dyDescent="0.3">
      <c r="A51" s="13"/>
      <c r="B51" s="14"/>
      <c r="C51" s="15"/>
      <c r="D51" s="17"/>
      <c r="E51" s="16"/>
      <c r="F51" s="17"/>
    </row>
    <row r="52" spans="1:6" x14ac:dyDescent="0.3">
      <c r="A52" s="13"/>
      <c r="B52" s="14"/>
      <c r="C52" s="15"/>
      <c r="D52" s="17"/>
      <c r="E52" s="16"/>
      <c r="F52" s="17"/>
    </row>
    <row r="53" spans="1:6" x14ac:dyDescent="0.3">
      <c r="A53" s="13"/>
      <c r="B53" s="14"/>
      <c r="C53" s="15"/>
      <c r="D53" s="17"/>
      <c r="E53" s="16"/>
      <c r="F53" s="17"/>
    </row>
    <row r="54" spans="1:6" x14ac:dyDescent="0.3">
      <c r="A54" s="13"/>
      <c r="B54" s="14"/>
      <c r="C54" s="14"/>
      <c r="D54" s="17"/>
      <c r="E54" s="16"/>
      <c r="F54" s="17"/>
    </row>
    <row r="55" spans="1:6" x14ac:dyDescent="0.3">
      <c r="A55" s="6"/>
      <c r="B55" s="6"/>
      <c r="C55" s="6"/>
      <c r="D55" s="18"/>
      <c r="E55" s="19"/>
      <c r="F55" s="18"/>
    </row>
    <row r="56" spans="1:6" x14ac:dyDescent="0.3">
      <c r="A56" s="6"/>
      <c r="B56" s="6"/>
      <c r="C56" s="6"/>
      <c r="D56" s="18"/>
      <c r="E56" s="19"/>
      <c r="F56" s="18"/>
    </row>
    <row r="57" spans="1:6" x14ac:dyDescent="0.3">
      <c r="A57" s="6" t="s">
        <v>13</v>
      </c>
    </row>
    <row r="58" spans="1:6" x14ac:dyDescent="0.3">
      <c r="A58" s="13">
        <v>45852</v>
      </c>
      <c r="B58" s="14">
        <v>169</v>
      </c>
      <c r="C58" s="15">
        <v>45852</v>
      </c>
      <c r="D58" s="16">
        <v>70000</v>
      </c>
      <c r="E58" s="16">
        <v>5000</v>
      </c>
      <c r="F58" s="17">
        <f>+D58-E58</f>
        <v>65000</v>
      </c>
    </row>
    <row r="59" spans="1:6" x14ac:dyDescent="0.3">
      <c r="A59" s="13">
        <v>45883</v>
      </c>
      <c r="B59" s="14"/>
      <c r="C59" s="14"/>
      <c r="D59" s="17"/>
      <c r="E59" s="16">
        <v>5000</v>
      </c>
      <c r="F59" s="17">
        <f>+F58-E59</f>
        <v>60000</v>
      </c>
    </row>
    <row r="60" spans="1:6" x14ac:dyDescent="0.3">
      <c r="A60" s="13">
        <v>45914</v>
      </c>
      <c r="B60" s="14"/>
      <c r="C60" s="14"/>
      <c r="D60" s="17"/>
      <c r="E60" s="16">
        <v>5000</v>
      </c>
      <c r="F60" s="17">
        <f t="shared" ref="F60:F72" si="2">+F59-E60</f>
        <v>55000</v>
      </c>
    </row>
    <row r="61" spans="1:6" x14ac:dyDescent="0.3">
      <c r="A61" s="13">
        <v>45944</v>
      </c>
      <c r="B61" s="14"/>
      <c r="C61" s="15"/>
      <c r="D61" s="17"/>
      <c r="E61" s="16">
        <v>5000</v>
      </c>
      <c r="F61" s="17">
        <f t="shared" si="2"/>
        <v>50000</v>
      </c>
    </row>
    <row r="62" spans="1:6" x14ac:dyDescent="0.3">
      <c r="A62" s="13">
        <v>45975</v>
      </c>
      <c r="B62" s="14"/>
      <c r="C62" s="15"/>
      <c r="D62" s="17"/>
      <c r="E62" s="16">
        <v>5000</v>
      </c>
      <c r="F62" s="17">
        <f t="shared" si="2"/>
        <v>45000</v>
      </c>
    </row>
    <row r="63" spans="1:6" x14ac:dyDescent="0.3">
      <c r="A63" s="13">
        <v>46005</v>
      </c>
      <c r="B63" s="14"/>
      <c r="C63" s="15"/>
      <c r="D63" s="17"/>
      <c r="E63" s="16">
        <v>5000</v>
      </c>
      <c r="F63" s="17">
        <f t="shared" si="2"/>
        <v>40000</v>
      </c>
    </row>
    <row r="64" spans="1:6" x14ac:dyDescent="0.3">
      <c r="A64" s="13">
        <v>46036</v>
      </c>
      <c r="B64" s="14"/>
      <c r="C64" s="15"/>
      <c r="D64" s="17"/>
      <c r="E64" s="16">
        <v>5000</v>
      </c>
      <c r="F64" s="17">
        <f t="shared" si="2"/>
        <v>35000</v>
      </c>
    </row>
    <row r="65" spans="1:6" x14ac:dyDescent="0.3">
      <c r="A65" s="13">
        <v>46067</v>
      </c>
      <c r="B65" s="14"/>
      <c r="C65" s="15"/>
      <c r="D65" s="17"/>
      <c r="E65" s="16">
        <v>5000</v>
      </c>
      <c r="F65" s="17">
        <f t="shared" si="2"/>
        <v>30000</v>
      </c>
    </row>
    <row r="66" spans="1:6" x14ac:dyDescent="0.3">
      <c r="A66" s="13">
        <v>46095</v>
      </c>
      <c r="B66" s="14"/>
      <c r="C66" s="15"/>
      <c r="D66" s="17"/>
      <c r="E66" s="16">
        <v>5000</v>
      </c>
      <c r="F66" s="17">
        <f t="shared" si="2"/>
        <v>25000</v>
      </c>
    </row>
    <row r="67" spans="1:6" x14ac:dyDescent="0.3">
      <c r="A67" s="13">
        <v>46126</v>
      </c>
      <c r="B67" s="14"/>
      <c r="C67" s="15"/>
      <c r="D67" s="17"/>
      <c r="E67" s="16">
        <v>5000</v>
      </c>
      <c r="F67" s="17">
        <f t="shared" si="2"/>
        <v>20000</v>
      </c>
    </row>
    <row r="68" spans="1:6" x14ac:dyDescent="0.3">
      <c r="A68" s="13">
        <v>46156</v>
      </c>
      <c r="B68" s="14"/>
      <c r="C68" s="15"/>
      <c r="D68" s="17"/>
      <c r="E68" s="16">
        <v>5000</v>
      </c>
      <c r="F68" s="17">
        <f t="shared" si="2"/>
        <v>15000</v>
      </c>
    </row>
    <row r="69" spans="1:6" x14ac:dyDescent="0.3">
      <c r="A69" s="13">
        <v>46187</v>
      </c>
      <c r="B69" s="14"/>
      <c r="C69" s="15"/>
      <c r="D69" s="17"/>
      <c r="E69" s="16">
        <v>5000</v>
      </c>
      <c r="F69" s="17">
        <f t="shared" si="2"/>
        <v>10000</v>
      </c>
    </row>
    <row r="70" spans="1:6" x14ac:dyDescent="0.3">
      <c r="A70" s="13">
        <v>46217</v>
      </c>
      <c r="B70" s="14"/>
      <c r="C70" s="15"/>
      <c r="D70" s="17"/>
      <c r="E70" s="16">
        <v>5000</v>
      </c>
      <c r="F70" s="17">
        <f t="shared" si="2"/>
        <v>5000</v>
      </c>
    </row>
    <row r="71" spans="1:6" x14ac:dyDescent="0.3">
      <c r="A71" s="13">
        <v>46248</v>
      </c>
      <c r="B71" s="14"/>
      <c r="C71" s="15"/>
      <c r="D71" s="17"/>
      <c r="E71" s="16"/>
      <c r="F71" s="17">
        <f t="shared" si="2"/>
        <v>5000</v>
      </c>
    </row>
    <row r="72" spans="1:6" x14ac:dyDescent="0.3">
      <c r="A72" s="13">
        <v>46279</v>
      </c>
      <c r="B72" s="14"/>
      <c r="C72" s="14"/>
      <c r="D72" s="17"/>
      <c r="E72" s="16"/>
      <c r="F72" s="17">
        <f t="shared" si="2"/>
        <v>5000</v>
      </c>
    </row>
    <row r="73" spans="1:6" x14ac:dyDescent="0.3">
      <c r="A73" s="6"/>
      <c r="B73" s="6"/>
      <c r="C73" s="6"/>
      <c r="D73" s="18">
        <f>SUM(D58:D72)</f>
        <v>70000</v>
      </c>
      <c r="E73" s="19">
        <f>SUM(E58:E72)</f>
        <v>65000</v>
      </c>
      <c r="F73" s="18">
        <f>+F72</f>
        <v>5000</v>
      </c>
    </row>
    <row r="74" spans="1:6" x14ac:dyDescent="0.3">
      <c r="A74" s="6" t="s">
        <v>14</v>
      </c>
    </row>
    <row r="75" spans="1:6" x14ac:dyDescent="0.3">
      <c r="A75" s="13">
        <v>45758</v>
      </c>
      <c r="B75" s="14">
        <v>3652</v>
      </c>
      <c r="C75" s="15">
        <v>46119</v>
      </c>
      <c r="D75" s="17">
        <v>150000</v>
      </c>
      <c r="E75" s="16">
        <v>15000</v>
      </c>
      <c r="F75" s="17">
        <f>+D75-E75</f>
        <v>135000</v>
      </c>
    </row>
    <row r="76" spans="1:6" x14ac:dyDescent="0.3">
      <c r="A76" s="13">
        <v>45788</v>
      </c>
      <c r="B76" s="14"/>
      <c r="C76" s="15"/>
      <c r="D76" s="16"/>
      <c r="E76" s="16">
        <v>15000</v>
      </c>
      <c r="F76" s="17">
        <f t="shared" ref="F76:F86" si="3">+F75-E76</f>
        <v>120000</v>
      </c>
    </row>
    <row r="77" spans="1:6" x14ac:dyDescent="0.3">
      <c r="A77" s="13">
        <v>45819</v>
      </c>
      <c r="B77" s="14"/>
      <c r="C77" s="15"/>
      <c r="D77" s="16"/>
      <c r="E77" s="16">
        <v>15000</v>
      </c>
      <c r="F77" s="17">
        <f t="shared" si="3"/>
        <v>105000</v>
      </c>
    </row>
    <row r="78" spans="1:6" x14ac:dyDescent="0.3">
      <c r="A78" s="13">
        <v>45849</v>
      </c>
      <c r="B78" s="14"/>
      <c r="C78" s="15"/>
      <c r="D78" s="16"/>
      <c r="E78" s="16">
        <v>15000</v>
      </c>
      <c r="F78" s="17">
        <f t="shared" si="3"/>
        <v>90000</v>
      </c>
    </row>
    <row r="79" spans="1:6" x14ac:dyDescent="0.3">
      <c r="A79" s="13">
        <v>45880</v>
      </c>
      <c r="B79" s="14"/>
      <c r="C79" s="15"/>
      <c r="D79" s="16"/>
      <c r="E79" s="16"/>
      <c r="F79" s="17">
        <f t="shared" si="3"/>
        <v>90000</v>
      </c>
    </row>
    <row r="80" spans="1:6" x14ac:dyDescent="0.3">
      <c r="A80" s="13">
        <v>45911</v>
      </c>
      <c r="B80" s="14"/>
      <c r="C80" s="15"/>
      <c r="D80" s="16"/>
      <c r="E80" s="16"/>
      <c r="F80" s="17">
        <f t="shared" si="3"/>
        <v>90000</v>
      </c>
    </row>
    <row r="81" spans="1:6" x14ac:dyDescent="0.3">
      <c r="A81" s="13">
        <v>45941</v>
      </c>
      <c r="B81" s="14"/>
      <c r="C81" s="15"/>
      <c r="D81" s="16"/>
      <c r="E81" s="16"/>
      <c r="F81" s="17">
        <f t="shared" si="3"/>
        <v>90000</v>
      </c>
    </row>
    <row r="82" spans="1:6" x14ac:dyDescent="0.3">
      <c r="A82" s="13">
        <v>45972</v>
      </c>
      <c r="B82" s="14"/>
      <c r="C82" s="15"/>
      <c r="D82" s="16"/>
      <c r="E82" s="16"/>
      <c r="F82" s="17">
        <f t="shared" si="3"/>
        <v>90000</v>
      </c>
    </row>
    <row r="83" spans="1:6" x14ac:dyDescent="0.3">
      <c r="A83" s="13">
        <v>46002</v>
      </c>
      <c r="B83" s="14"/>
      <c r="C83" s="15"/>
      <c r="D83" s="16"/>
      <c r="E83" s="16"/>
      <c r="F83" s="17">
        <f t="shared" si="3"/>
        <v>90000</v>
      </c>
    </row>
    <row r="84" spans="1:6" x14ac:dyDescent="0.3">
      <c r="A84" s="13">
        <v>46033</v>
      </c>
      <c r="B84" s="14"/>
      <c r="C84" s="15"/>
      <c r="D84" s="16"/>
      <c r="E84" s="16"/>
      <c r="F84" s="17">
        <f t="shared" si="3"/>
        <v>90000</v>
      </c>
    </row>
    <row r="85" spans="1:6" x14ac:dyDescent="0.3">
      <c r="A85" s="13">
        <v>46064</v>
      </c>
      <c r="B85" s="14"/>
      <c r="C85" s="15"/>
      <c r="D85" s="16"/>
      <c r="E85" s="16"/>
      <c r="F85" s="17">
        <f t="shared" si="3"/>
        <v>90000</v>
      </c>
    </row>
    <row r="86" spans="1:6" x14ac:dyDescent="0.3">
      <c r="A86" s="13">
        <v>46092</v>
      </c>
      <c r="B86" s="14"/>
      <c r="C86" s="14"/>
      <c r="D86" s="16"/>
      <c r="E86" s="16"/>
      <c r="F86" s="17">
        <f t="shared" si="3"/>
        <v>90000</v>
      </c>
    </row>
    <row r="87" spans="1:6" x14ac:dyDescent="0.3">
      <c r="A87" s="6"/>
      <c r="B87" s="6"/>
      <c r="C87" s="6"/>
      <c r="D87" s="18">
        <f>SUM(D75:D86)</f>
        <v>150000</v>
      </c>
      <c r="E87" s="19">
        <f>SUM(E75:E86)</f>
        <v>60000</v>
      </c>
      <c r="F87" s="18">
        <f>+F86</f>
        <v>90000</v>
      </c>
    </row>
    <row r="89" spans="1:6" x14ac:dyDescent="0.3">
      <c r="A89" s="6" t="s">
        <v>15</v>
      </c>
    </row>
    <row r="90" spans="1:6" x14ac:dyDescent="0.3">
      <c r="A90" s="13">
        <v>46087</v>
      </c>
      <c r="B90" s="14">
        <v>3227</v>
      </c>
      <c r="C90" s="15">
        <v>46087</v>
      </c>
      <c r="D90" s="17">
        <v>48000</v>
      </c>
      <c r="E90" s="16">
        <v>4000</v>
      </c>
      <c r="F90" s="17">
        <f>+D90-E90</f>
        <v>44000</v>
      </c>
    </row>
    <row r="91" spans="1:6" x14ac:dyDescent="0.3">
      <c r="A91" s="13">
        <v>46118</v>
      </c>
      <c r="B91" s="14"/>
      <c r="C91" s="15"/>
      <c r="D91" s="16"/>
      <c r="E91" s="16">
        <v>4000</v>
      </c>
      <c r="F91" s="17">
        <f t="shared" ref="F91:F101" si="4">+F90-E91</f>
        <v>40000</v>
      </c>
    </row>
    <row r="92" spans="1:6" x14ac:dyDescent="0.3">
      <c r="A92" s="13">
        <v>46148</v>
      </c>
      <c r="B92" s="14"/>
      <c r="C92" s="15"/>
      <c r="D92" s="16"/>
      <c r="E92" s="16">
        <v>4000</v>
      </c>
      <c r="F92" s="17">
        <f t="shared" si="4"/>
        <v>36000</v>
      </c>
    </row>
    <row r="93" spans="1:6" x14ac:dyDescent="0.3">
      <c r="A93" s="13">
        <v>46179</v>
      </c>
      <c r="B93" s="14"/>
      <c r="C93" s="15"/>
      <c r="D93" s="16"/>
      <c r="E93" s="16">
        <v>4000</v>
      </c>
      <c r="F93" s="17">
        <f t="shared" si="4"/>
        <v>32000</v>
      </c>
    </row>
    <row r="94" spans="1:6" x14ac:dyDescent="0.3">
      <c r="A94" s="13">
        <v>46209</v>
      </c>
      <c r="B94" s="14"/>
      <c r="C94" s="15"/>
      <c r="D94" s="16"/>
      <c r="E94" s="16">
        <v>4000</v>
      </c>
      <c r="F94" s="17">
        <f t="shared" si="4"/>
        <v>28000</v>
      </c>
    </row>
    <row r="95" spans="1:6" x14ac:dyDescent="0.3">
      <c r="A95" s="13">
        <v>46240</v>
      </c>
      <c r="B95" s="14"/>
      <c r="C95" s="15"/>
      <c r="D95" s="16"/>
      <c r="E95" s="16"/>
      <c r="F95" s="17">
        <f t="shared" si="4"/>
        <v>28000</v>
      </c>
    </row>
    <row r="96" spans="1:6" x14ac:dyDescent="0.3">
      <c r="A96" s="13">
        <v>46271</v>
      </c>
      <c r="B96" s="14"/>
      <c r="C96" s="15"/>
      <c r="D96" s="16"/>
      <c r="E96" s="16"/>
      <c r="F96" s="17">
        <f t="shared" si="4"/>
        <v>28000</v>
      </c>
    </row>
    <row r="97" spans="1:6" x14ac:dyDescent="0.3">
      <c r="A97" s="13">
        <v>46301</v>
      </c>
      <c r="B97" s="14"/>
      <c r="C97" s="15"/>
      <c r="D97" s="16"/>
      <c r="E97" s="16"/>
      <c r="F97" s="17">
        <f t="shared" si="4"/>
        <v>28000</v>
      </c>
    </row>
    <row r="98" spans="1:6" x14ac:dyDescent="0.3">
      <c r="A98" s="13">
        <v>46332</v>
      </c>
      <c r="B98" s="14"/>
      <c r="C98" s="15"/>
      <c r="D98" s="16"/>
      <c r="E98" s="16"/>
      <c r="F98" s="17">
        <f t="shared" si="4"/>
        <v>28000</v>
      </c>
    </row>
    <row r="99" spans="1:6" x14ac:dyDescent="0.3">
      <c r="A99" s="13">
        <v>46362</v>
      </c>
      <c r="B99" s="14"/>
      <c r="C99" s="15"/>
      <c r="D99" s="16"/>
      <c r="E99" s="16"/>
      <c r="F99" s="17">
        <f t="shared" si="4"/>
        <v>28000</v>
      </c>
    </row>
    <row r="100" spans="1:6" x14ac:dyDescent="0.3">
      <c r="A100" s="13">
        <v>46393</v>
      </c>
      <c r="B100" s="14"/>
      <c r="C100" s="15"/>
      <c r="D100" s="16"/>
      <c r="E100" s="16"/>
      <c r="F100" s="17">
        <f t="shared" si="4"/>
        <v>28000</v>
      </c>
    </row>
    <row r="101" spans="1:6" x14ac:dyDescent="0.3">
      <c r="A101" s="13">
        <v>46424</v>
      </c>
      <c r="B101" s="14"/>
      <c r="C101" s="14"/>
      <c r="D101" s="16"/>
      <c r="E101" s="16"/>
      <c r="F101" s="17">
        <f t="shared" si="4"/>
        <v>28000</v>
      </c>
    </row>
    <row r="102" spans="1:6" x14ac:dyDescent="0.3">
      <c r="A102" s="6"/>
      <c r="B102" s="6"/>
      <c r="C102" s="6"/>
      <c r="D102" s="18">
        <f>SUM(D90:D101)</f>
        <v>48000</v>
      </c>
      <c r="E102" s="19">
        <f>SUM(E90:E101)</f>
        <v>20000</v>
      </c>
      <c r="F102" s="18">
        <f>+F101</f>
        <v>28000</v>
      </c>
    </row>
    <row r="103" spans="1:6" x14ac:dyDescent="0.3">
      <c r="A103" s="6"/>
      <c r="B103" s="6"/>
      <c r="C103" s="6"/>
      <c r="D103" s="18"/>
      <c r="E103" s="19"/>
      <c r="F103" s="18"/>
    </row>
    <row r="104" spans="1:6" x14ac:dyDescent="0.3">
      <c r="A104" s="6" t="s">
        <v>16</v>
      </c>
    </row>
    <row r="105" spans="1:6" x14ac:dyDescent="0.3">
      <c r="A105" s="13">
        <v>46087</v>
      </c>
      <c r="B105" s="14">
        <v>3228</v>
      </c>
      <c r="C105" s="15">
        <v>46087</v>
      </c>
      <c r="D105" s="17">
        <v>30000</v>
      </c>
      <c r="E105" s="16">
        <v>2500</v>
      </c>
      <c r="F105" s="17">
        <f>+D105-E105</f>
        <v>27500</v>
      </c>
    </row>
    <row r="106" spans="1:6" x14ac:dyDescent="0.3">
      <c r="A106" s="13">
        <v>46118</v>
      </c>
      <c r="B106" s="14"/>
      <c r="C106" s="15"/>
      <c r="D106" s="16"/>
      <c r="E106" s="16">
        <v>2500</v>
      </c>
      <c r="F106" s="17">
        <f t="shared" ref="F106:F116" si="5">+F105-E106</f>
        <v>25000</v>
      </c>
    </row>
    <row r="107" spans="1:6" x14ac:dyDescent="0.3">
      <c r="A107" s="13">
        <v>46148</v>
      </c>
      <c r="B107" s="14"/>
      <c r="C107" s="15"/>
      <c r="D107" s="16"/>
      <c r="E107" s="16">
        <v>2500</v>
      </c>
      <c r="F107" s="17">
        <f t="shared" si="5"/>
        <v>22500</v>
      </c>
    </row>
    <row r="108" spans="1:6" x14ac:dyDescent="0.3">
      <c r="A108" s="13">
        <v>46179</v>
      </c>
      <c r="B108" s="14"/>
      <c r="C108" s="15"/>
      <c r="D108" s="16"/>
      <c r="E108" s="16">
        <v>2500</v>
      </c>
      <c r="F108" s="17">
        <f t="shared" si="5"/>
        <v>20000</v>
      </c>
    </row>
    <row r="109" spans="1:6" x14ac:dyDescent="0.3">
      <c r="A109" s="13">
        <v>46209</v>
      </c>
      <c r="B109" s="14"/>
      <c r="C109" s="15"/>
      <c r="D109" s="16"/>
      <c r="E109" s="16">
        <v>2500</v>
      </c>
      <c r="F109" s="17">
        <f t="shared" si="5"/>
        <v>17500</v>
      </c>
    </row>
    <row r="110" spans="1:6" x14ac:dyDescent="0.3">
      <c r="A110" s="13">
        <v>46240</v>
      </c>
      <c r="B110" s="14"/>
      <c r="C110" s="15"/>
      <c r="D110" s="16"/>
      <c r="E110" s="16"/>
      <c r="F110" s="17">
        <f t="shared" si="5"/>
        <v>17500</v>
      </c>
    </row>
    <row r="111" spans="1:6" x14ac:dyDescent="0.3">
      <c r="A111" s="13">
        <v>46271</v>
      </c>
      <c r="B111" s="14"/>
      <c r="C111" s="15"/>
      <c r="D111" s="16"/>
      <c r="E111" s="16"/>
      <c r="F111" s="17">
        <f t="shared" si="5"/>
        <v>17500</v>
      </c>
    </row>
    <row r="112" spans="1:6" x14ac:dyDescent="0.3">
      <c r="A112" s="13">
        <v>46301</v>
      </c>
      <c r="B112" s="14"/>
      <c r="C112" s="15"/>
      <c r="D112" s="16"/>
      <c r="E112" s="16"/>
      <c r="F112" s="17">
        <f t="shared" si="5"/>
        <v>17500</v>
      </c>
    </row>
    <row r="113" spans="1:6" x14ac:dyDescent="0.3">
      <c r="A113" s="13">
        <v>46332</v>
      </c>
      <c r="B113" s="14"/>
      <c r="C113" s="15"/>
      <c r="D113" s="16"/>
      <c r="E113" s="16"/>
      <c r="F113" s="17">
        <f t="shared" si="5"/>
        <v>17500</v>
      </c>
    </row>
    <row r="114" spans="1:6" x14ac:dyDescent="0.3">
      <c r="A114" s="13">
        <v>46362</v>
      </c>
      <c r="B114" s="14"/>
      <c r="C114" s="15"/>
      <c r="D114" s="16"/>
      <c r="E114" s="16"/>
      <c r="F114" s="17">
        <f t="shared" si="5"/>
        <v>17500</v>
      </c>
    </row>
    <row r="115" spans="1:6" x14ac:dyDescent="0.3">
      <c r="A115" s="13">
        <v>46393</v>
      </c>
      <c r="B115" s="14"/>
      <c r="C115" s="15"/>
      <c r="D115" s="16"/>
      <c r="E115" s="16"/>
      <c r="F115" s="17">
        <f t="shared" si="5"/>
        <v>17500</v>
      </c>
    </row>
    <row r="116" spans="1:6" x14ac:dyDescent="0.3">
      <c r="A116" s="13">
        <v>46424</v>
      </c>
      <c r="B116" s="14"/>
      <c r="C116" s="14"/>
      <c r="D116" s="16"/>
      <c r="E116" s="16"/>
      <c r="F116" s="17">
        <f t="shared" si="5"/>
        <v>17500</v>
      </c>
    </row>
    <row r="117" spans="1:6" x14ac:dyDescent="0.3">
      <c r="A117" s="6"/>
      <c r="B117" s="6"/>
      <c r="C117" s="6"/>
      <c r="D117" s="18">
        <f>SUM(D105:D116)</f>
        <v>30000</v>
      </c>
      <c r="E117" s="19">
        <f>SUM(E105:E116)</f>
        <v>12500</v>
      </c>
      <c r="F117" s="18">
        <f>+F116</f>
        <v>17500</v>
      </c>
    </row>
    <row r="118" spans="1:6" x14ac:dyDescent="0.3">
      <c r="A118" s="6"/>
      <c r="B118" s="6"/>
      <c r="C118" s="6"/>
      <c r="D118" s="18"/>
      <c r="E118" s="19"/>
      <c r="F118" s="18"/>
    </row>
    <row r="119" spans="1:6" x14ac:dyDescent="0.3">
      <c r="A119" s="6" t="s">
        <v>17</v>
      </c>
    </row>
    <row r="120" spans="1:6" x14ac:dyDescent="0.3">
      <c r="A120" s="13">
        <v>46143</v>
      </c>
      <c r="B120" s="14">
        <v>3965</v>
      </c>
      <c r="C120" s="15">
        <v>46147</v>
      </c>
      <c r="D120" s="16">
        <v>90000</v>
      </c>
      <c r="E120" s="16">
        <v>7500</v>
      </c>
      <c r="F120" s="17">
        <f>+D120-E120</f>
        <v>82500</v>
      </c>
    </row>
    <row r="121" spans="1:6" x14ac:dyDescent="0.3">
      <c r="A121" s="13">
        <v>46174</v>
      </c>
      <c r="B121" s="14"/>
      <c r="C121" s="15"/>
      <c r="D121" s="17"/>
      <c r="E121" s="16">
        <v>7500</v>
      </c>
      <c r="F121" s="17">
        <f t="shared" ref="F121:F131" si="6">+F120-E121</f>
        <v>75000</v>
      </c>
    </row>
    <row r="122" spans="1:6" x14ac:dyDescent="0.3">
      <c r="A122" s="13">
        <v>46204</v>
      </c>
      <c r="B122" s="14"/>
      <c r="C122" s="14"/>
      <c r="D122" s="17"/>
      <c r="E122" s="16">
        <v>7500</v>
      </c>
      <c r="F122" s="17">
        <f t="shared" si="6"/>
        <v>67500</v>
      </c>
    </row>
    <row r="123" spans="1:6" x14ac:dyDescent="0.3">
      <c r="A123" s="13">
        <v>46235</v>
      </c>
      <c r="B123" s="14"/>
      <c r="C123" s="15"/>
      <c r="D123" s="17"/>
      <c r="E123" s="16"/>
      <c r="F123" s="17">
        <f t="shared" si="6"/>
        <v>67500</v>
      </c>
    </row>
    <row r="124" spans="1:6" x14ac:dyDescent="0.3">
      <c r="A124" s="13">
        <v>46266</v>
      </c>
      <c r="B124" s="14"/>
      <c r="C124" s="15"/>
      <c r="D124" s="17"/>
      <c r="E124" s="16"/>
      <c r="F124" s="17">
        <f t="shared" si="6"/>
        <v>67500</v>
      </c>
    </row>
    <row r="125" spans="1:6" x14ac:dyDescent="0.3">
      <c r="A125" s="13">
        <v>46296</v>
      </c>
      <c r="B125" s="14"/>
      <c r="C125" s="15"/>
      <c r="D125" s="17"/>
      <c r="E125" s="16"/>
      <c r="F125" s="17">
        <f t="shared" si="6"/>
        <v>67500</v>
      </c>
    </row>
    <row r="126" spans="1:6" x14ac:dyDescent="0.3">
      <c r="A126" s="13">
        <v>46327</v>
      </c>
      <c r="B126" s="14"/>
      <c r="C126" s="15"/>
      <c r="D126" s="17"/>
      <c r="E126" s="16"/>
      <c r="F126" s="17">
        <f t="shared" si="6"/>
        <v>67500</v>
      </c>
    </row>
    <row r="127" spans="1:6" x14ac:dyDescent="0.3">
      <c r="A127" s="13">
        <v>46357</v>
      </c>
      <c r="B127" s="14"/>
      <c r="C127" s="15"/>
      <c r="D127" s="17"/>
      <c r="E127" s="16"/>
      <c r="F127" s="17">
        <f t="shared" si="6"/>
        <v>67500</v>
      </c>
    </row>
    <row r="128" spans="1:6" x14ac:dyDescent="0.3">
      <c r="A128" s="13">
        <v>46388</v>
      </c>
      <c r="B128" s="14"/>
      <c r="C128" s="15"/>
      <c r="D128" s="17"/>
      <c r="E128" s="16"/>
      <c r="F128" s="17">
        <f t="shared" si="6"/>
        <v>67500</v>
      </c>
    </row>
    <row r="129" spans="1:6" x14ac:dyDescent="0.3">
      <c r="A129" s="13">
        <v>46419</v>
      </c>
      <c r="B129" s="14"/>
      <c r="C129" s="15"/>
      <c r="D129" s="17"/>
      <c r="E129" s="16"/>
      <c r="F129" s="17">
        <f t="shared" si="6"/>
        <v>67500</v>
      </c>
    </row>
    <row r="130" spans="1:6" x14ac:dyDescent="0.3">
      <c r="A130" s="13">
        <v>46447</v>
      </c>
      <c r="B130" s="14"/>
      <c r="C130" s="15"/>
      <c r="D130" s="17"/>
      <c r="E130" s="16"/>
      <c r="F130" s="17">
        <f t="shared" si="6"/>
        <v>67500</v>
      </c>
    </row>
    <row r="131" spans="1:6" x14ac:dyDescent="0.3">
      <c r="A131" s="13">
        <v>46478</v>
      </c>
      <c r="B131" s="14"/>
      <c r="C131" s="14"/>
      <c r="D131" s="17"/>
      <c r="E131" s="16"/>
      <c r="F131" s="17">
        <f t="shared" si="6"/>
        <v>67500</v>
      </c>
    </row>
    <row r="132" spans="1:6" x14ac:dyDescent="0.3">
      <c r="A132" s="6"/>
      <c r="B132" s="6"/>
      <c r="C132" s="6"/>
      <c r="D132" s="18">
        <f>SUM(D120:D131)</f>
        <v>90000</v>
      </c>
      <c r="E132" s="19">
        <f>SUM(E120:E131)</f>
        <v>22500</v>
      </c>
      <c r="F132" s="18">
        <f>+F131</f>
        <v>67500</v>
      </c>
    </row>
    <row r="133" spans="1:6" x14ac:dyDescent="0.3">
      <c r="A133" s="6"/>
      <c r="B133" s="6"/>
      <c r="C133" s="6"/>
      <c r="D133" s="18"/>
      <c r="E133" s="19"/>
      <c r="F133" s="18"/>
    </row>
    <row r="134" spans="1:6" x14ac:dyDescent="0.3">
      <c r="A134" s="6" t="s">
        <v>18</v>
      </c>
    </row>
    <row r="135" spans="1:6" x14ac:dyDescent="0.3">
      <c r="A135" s="13">
        <v>46143</v>
      </c>
      <c r="B135" s="14">
        <v>3964</v>
      </c>
      <c r="C135" s="15">
        <v>46147</v>
      </c>
      <c r="D135" s="16">
        <v>85000</v>
      </c>
      <c r="E135" s="16">
        <v>8500</v>
      </c>
      <c r="F135" s="17">
        <f>+D135-E135</f>
        <v>76500</v>
      </c>
    </row>
    <row r="136" spans="1:6" x14ac:dyDescent="0.3">
      <c r="A136" s="13">
        <v>46174</v>
      </c>
      <c r="B136" s="14"/>
      <c r="C136" s="15"/>
      <c r="D136" s="17"/>
      <c r="E136" s="16">
        <v>8500</v>
      </c>
      <c r="F136" s="17">
        <f t="shared" ref="F136:F146" si="7">+F135-E136</f>
        <v>68000</v>
      </c>
    </row>
    <row r="137" spans="1:6" x14ac:dyDescent="0.3">
      <c r="A137" s="13">
        <v>46204</v>
      </c>
      <c r="B137" s="14"/>
      <c r="C137" s="14"/>
      <c r="D137" s="17"/>
      <c r="E137" s="16">
        <v>8500</v>
      </c>
      <c r="F137" s="17">
        <f t="shared" si="7"/>
        <v>59500</v>
      </c>
    </row>
    <row r="138" spans="1:6" x14ac:dyDescent="0.3">
      <c r="A138" s="13">
        <v>46235</v>
      </c>
      <c r="B138" s="14"/>
      <c r="C138" s="15"/>
      <c r="D138" s="17"/>
      <c r="E138" s="16"/>
      <c r="F138" s="17">
        <f t="shared" si="7"/>
        <v>59500</v>
      </c>
    </row>
    <row r="139" spans="1:6" x14ac:dyDescent="0.3">
      <c r="A139" s="13">
        <v>46266</v>
      </c>
      <c r="B139" s="14"/>
      <c r="C139" s="15"/>
      <c r="D139" s="17"/>
      <c r="E139" s="16"/>
      <c r="F139" s="17">
        <f t="shared" si="7"/>
        <v>59500</v>
      </c>
    </row>
    <row r="140" spans="1:6" x14ac:dyDescent="0.3">
      <c r="A140" s="13">
        <v>46296</v>
      </c>
      <c r="B140" s="14"/>
      <c r="C140" s="15"/>
      <c r="D140" s="17"/>
      <c r="E140" s="16"/>
      <c r="F140" s="17">
        <f t="shared" si="7"/>
        <v>59500</v>
      </c>
    </row>
    <row r="141" spans="1:6" x14ac:dyDescent="0.3">
      <c r="A141" s="13">
        <v>46327</v>
      </c>
      <c r="B141" s="14"/>
      <c r="C141" s="15"/>
      <c r="D141" s="17"/>
      <c r="E141" s="16"/>
      <c r="F141" s="17">
        <f t="shared" si="7"/>
        <v>59500</v>
      </c>
    </row>
    <row r="142" spans="1:6" x14ac:dyDescent="0.3">
      <c r="A142" s="13">
        <v>46357</v>
      </c>
      <c r="B142" s="14"/>
      <c r="C142" s="15"/>
      <c r="D142" s="17"/>
      <c r="E142" s="16"/>
      <c r="F142" s="17">
        <f t="shared" si="7"/>
        <v>59500</v>
      </c>
    </row>
    <row r="143" spans="1:6" x14ac:dyDescent="0.3">
      <c r="A143" s="13">
        <v>46388</v>
      </c>
      <c r="B143" s="14"/>
      <c r="C143" s="15"/>
      <c r="D143" s="17"/>
      <c r="E143" s="16"/>
      <c r="F143" s="17">
        <f t="shared" si="7"/>
        <v>59500</v>
      </c>
    </row>
    <row r="144" spans="1:6" x14ac:dyDescent="0.3">
      <c r="A144" s="13">
        <v>46419</v>
      </c>
      <c r="B144" s="14"/>
      <c r="C144" s="15"/>
      <c r="D144" s="17"/>
      <c r="E144" s="16"/>
      <c r="F144" s="17">
        <f t="shared" si="7"/>
        <v>59500</v>
      </c>
    </row>
    <row r="145" spans="1:6" x14ac:dyDescent="0.3">
      <c r="A145" s="13">
        <v>46447</v>
      </c>
      <c r="B145" s="14"/>
      <c r="C145" s="15"/>
      <c r="D145" s="17"/>
      <c r="E145" s="16"/>
      <c r="F145" s="17">
        <f t="shared" si="7"/>
        <v>59500</v>
      </c>
    </row>
    <row r="146" spans="1:6" x14ac:dyDescent="0.3">
      <c r="A146" s="13">
        <v>46478</v>
      </c>
      <c r="B146" s="14"/>
      <c r="C146" s="14"/>
      <c r="D146" s="17"/>
      <c r="E146" s="16"/>
      <c r="F146" s="17">
        <f t="shared" si="7"/>
        <v>59500</v>
      </c>
    </row>
    <row r="147" spans="1:6" x14ac:dyDescent="0.3">
      <c r="A147" s="6"/>
      <c r="B147" s="6"/>
      <c r="C147" s="6"/>
      <c r="D147" s="18">
        <f>SUM(D135:D146)</f>
        <v>85000</v>
      </c>
      <c r="E147" s="19">
        <f>SUM(E135:E146)</f>
        <v>25500</v>
      </c>
      <c r="F147" s="18">
        <f>+F146</f>
        <v>59500</v>
      </c>
    </row>
    <row r="148" spans="1:6" x14ac:dyDescent="0.3">
      <c r="A148" s="6"/>
      <c r="B148" s="6"/>
      <c r="C148" s="6"/>
      <c r="D148" s="18"/>
      <c r="E148" s="19"/>
      <c r="F148" s="18"/>
    </row>
    <row r="149" spans="1:6" x14ac:dyDescent="0.3">
      <c r="A149" s="6"/>
      <c r="B149" s="6"/>
      <c r="C149" s="6"/>
      <c r="D149" s="18"/>
      <c r="E149" s="19"/>
      <c r="F149" s="18"/>
    </row>
    <row r="150" spans="1:6" x14ac:dyDescent="0.3">
      <c r="A150" s="6" t="s">
        <v>19</v>
      </c>
    </row>
    <row r="151" spans="1:6" x14ac:dyDescent="0.3">
      <c r="A151" s="13">
        <v>46143</v>
      </c>
      <c r="B151" s="14">
        <v>3927</v>
      </c>
      <c r="C151" s="15">
        <v>46142</v>
      </c>
      <c r="D151" s="16">
        <v>100000</v>
      </c>
      <c r="E151" s="16">
        <v>8333</v>
      </c>
      <c r="F151" s="17">
        <f>+D151-E151</f>
        <v>91667</v>
      </c>
    </row>
    <row r="152" spans="1:6" x14ac:dyDescent="0.3">
      <c r="A152" s="13">
        <v>46174</v>
      </c>
      <c r="B152" s="14"/>
      <c r="C152" s="15"/>
      <c r="D152" s="17"/>
      <c r="E152" s="16">
        <v>8333</v>
      </c>
      <c r="F152" s="17">
        <f>+F151-E152</f>
        <v>83334</v>
      </c>
    </row>
    <row r="153" spans="1:6" x14ac:dyDescent="0.3">
      <c r="A153" s="13">
        <v>46204</v>
      </c>
      <c r="B153" s="14"/>
      <c r="C153" s="14"/>
      <c r="D153" s="17"/>
      <c r="E153" s="16">
        <v>8333</v>
      </c>
      <c r="F153" s="17">
        <f t="shared" ref="F153:F162" si="8">+F152-E153</f>
        <v>75001</v>
      </c>
    </row>
    <row r="154" spans="1:6" x14ac:dyDescent="0.3">
      <c r="A154" s="13">
        <v>46235</v>
      </c>
      <c r="B154" s="14"/>
      <c r="C154" s="15"/>
      <c r="D154" s="17"/>
      <c r="E154" s="16"/>
      <c r="F154" s="17">
        <f t="shared" si="8"/>
        <v>75001</v>
      </c>
    </row>
    <row r="155" spans="1:6" x14ac:dyDescent="0.3">
      <c r="A155" s="13">
        <v>46266</v>
      </c>
      <c r="B155" s="14"/>
      <c r="C155" s="15"/>
      <c r="D155" s="17"/>
      <c r="E155" s="16"/>
      <c r="F155" s="17">
        <f t="shared" si="8"/>
        <v>75001</v>
      </c>
    </row>
    <row r="156" spans="1:6" x14ac:dyDescent="0.3">
      <c r="A156" s="13">
        <v>46296</v>
      </c>
      <c r="B156" s="14"/>
      <c r="C156" s="15"/>
      <c r="D156" s="17"/>
      <c r="E156" s="16"/>
      <c r="F156" s="17">
        <f t="shared" si="8"/>
        <v>75001</v>
      </c>
    </row>
    <row r="157" spans="1:6" x14ac:dyDescent="0.3">
      <c r="A157" s="13">
        <v>46327</v>
      </c>
      <c r="B157" s="14"/>
      <c r="C157" s="15"/>
      <c r="D157" s="17"/>
      <c r="E157" s="16"/>
      <c r="F157" s="17">
        <f t="shared" si="8"/>
        <v>75001</v>
      </c>
    </row>
    <row r="158" spans="1:6" x14ac:dyDescent="0.3">
      <c r="A158" s="13">
        <v>46357</v>
      </c>
      <c r="B158" s="14"/>
      <c r="C158" s="15"/>
      <c r="D158" s="17"/>
      <c r="E158" s="16"/>
      <c r="F158" s="17">
        <f t="shared" si="8"/>
        <v>75001</v>
      </c>
    </row>
    <row r="159" spans="1:6" x14ac:dyDescent="0.3">
      <c r="A159" s="13">
        <v>46388</v>
      </c>
      <c r="B159" s="14"/>
      <c r="C159" s="15"/>
      <c r="D159" s="17"/>
      <c r="E159" s="16"/>
      <c r="F159" s="17">
        <f t="shared" si="8"/>
        <v>75001</v>
      </c>
    </row>
    <row r="160" spans="1:6" x14ac:dyDescent="0.3">
      <c r="A160" s="13">
        <v>46419</v>
      </c>
      <c r="B160" s="14"/>
      <c r="C160" s="15"/>
      <c r="D160" s="17"/>
      <c r="E160" s="16"/>
      <c r="F160" s="17">
        <f t="shared" si="8"/>
        <v>75001</v>
      </c>
    </row>
    <row r="161" spans="1:6" x14ac:dyDescent="0.3">
      <c r="A161" s="13">
        <v>46447</v>
      </c>
      <c r="B161" s="14"/>
      <c r="C161" s="15"/>
      <c r="D161" s="17"/>
      <c r="E161" s="16"/>
      <c r="F161" s="17">
        <f t="shared" si="8"/>
        <v>75001</v>
      </c>
    </row>
    <row r="162" spans="1:6" x14ac:dyDescent="0.3">
      <c r="A162" s="13">
        <v>46478</v>
      </c>
      <c r="B162" s="14"/>
      <c r="C162" s="14"/>
      <c r="D162" s="17"/>
      <c r="E162" s="16"/>
      <c r="F162" s="17">
        <f t="shared" si="8"/>
        <v>75001</v>
      </c>
    </row>
    <row r="163" spans="1:6" x14ac:dyDescent="0.3">
      <c r="A163" s="6"/>
      <c r="B163" s="6"/>
      <c r="C163" s="6"/>
      <c r="D163" s="18">
        <f>SUM(D151:D162)</f>
        <v>100000</v>
      </c>
      <c r="E163" s="19">
        <f>SUM(E151:E162)</f>
        <v>24999</v>
      </c>
      <c r="F163" s="18">
        <f>+F162</f>
        <v>75001</v>
      </c>
    </row>
    <row r="165" spans="1:6" x14ac:dyDescent="0.3">
      <c r="A165" s="6" t="s">
        <v>20</v>
      </c>
    </row>
    <row r="166" spans="1:6" x14ac:dyDescent="0.3">
      <c r="A166" s="13">
        <v>46171</v>
      </c>
      <c r="B166" s="14">
        <v>4293</v>
      </c>
      <c r="C166" s="15">
        <v>46171</v>
      </c>
      <c r="D166" s="16">
        <v>150000</v>
      </c>
      <c r="E166" s="16"/>
      <c r="F166" s="17">
        <f>+D166-E166</f>
        <v>150000</v>
      </c>
    </row>
    <row r="167" spans="1:6" x14ac:dyDescent="0.3">
      <c r="A167" s="13">
        <v>46202</v>
      </c>
      <c r="B167" s="14"/>
      <c r="C167" s="15"/>
      <c r="D167" s="17"/>
      <c r="E167" s="16">
        <v>15000</v>
      </c>
      <c r="F167" s="17">
        <f>+F166-E167</f>
        <v>135000</v>
      </c>
    </row>
    <row r="168" spans="1:6" x14ac:dyDescent="0.3">
      <c r="A168" s="13">
        <v>46232</v>
      </c>
      <c r="B168" s="14"/>
      <c r="C168" s="14"/>
      <c r="D168" s="17"/>
      <c r="E168" s="16">
        <v>15000</v>
      </c>
      <c r="F168" s="17">
        <f t="shared" ref="F168:F177" si="9">+F167-E168</f>
        <v>120000</v>
      </c>
    </row>
    <row r="169" spans="1:6" x14ac:dyDescent="0.3">
      <c r="A169" s="13">
        <v>46263</v>
      </c>
      <c r="B169" s="14"/>
      <c r="C169" s="15"/>
      <c r="D169" s="17"/>
      <c r="E169" s="16"/>
      <c r="F169" s="17">
        <f t="shared" si="9"/>
        <v>120000</v>
      </c>
    </row>
    <row r="170" spans="1:6" x14ac:dyDescent="0.3">
      <c r="A170" s="13">
        <v>46294</v>
      </c>
      <c r="B170" s="14"/>
      <c r="C170" s="15"/>
      <c r="D170" s="17"/>
      <c r="E170" s="16"/>
      <c r="F170" s="17">
        <f t="shared" si="9"/>
        <v>120000</v>
      </c>
    </row>
    <row r="171" spans="1:6" x14ac:dyDescent="0.3">
      <c r="A171" s="13">
        <v>46324</v>
      </c>
      <c r="B171" s="14"/>
      <c r="C171" s="15"/>
      <c r="D171" s="17"/>
      <c r="E171" s="16"/>
      <c r="F171" s="17">
        <f t="shared" si="9"/>
        <v>120000</v>
      </c>
    </row>
    <row r="172" spans="1:6" x14ac:dyDescent="0.3">
      <c r="A172" s="13">
        <v>46355</v>
      </c>
      <c r="B172" s="14"/>
      <c r="C172" s="15"/>
      <c r="D172" s="17"/>
      <c r="E172" s="16"/>
      <c r="F172" s="17">
        <f t="shared" si="9"/>
        <v>120000</v>
      </c>
    </row>
    <row r="173" spans="1:6" x14ac:dyDescent="0.3">
      <c r="A173" s="13">
        <v>46385</v>
      </c>
      <c r="B173" s="14"/>
      <c r="C173" s="15"/>
      <c r="D173" s="17"/>
      <c r="E173" s="16"/>
      <c r="F173" s="17">
        <f t="shared" si="9"/>
        <v>120000</v>
      </c>
    </row>
    <row r="174" spans="1:6" x14ac:dyDescent="0.3">
      <c r="A174" s="13">
        <v>46416</v>
      </c>
      <c r="B174" s="14"/>
      <c r="C174" s="15"/>
      <c r="D174" s="17"/>
      <c r="E174" s="16"/>
      <c r="F174" s="17">
        <f t="shared" si="9"/>
        <v>120000</v>
      </c>
    </row>
    <row r="175" spans="1:6" x14ac:dyDescent="0.3">
      <c r="A175" s="13">
        <v>46446</v>
      </c>
      <c r="B175" s="14"/>
      <c r="C175" s="15"/>
      <c r="D175" s="17"/>
      <c r="E175" s="16"/>
      <c r="F175" s="17">
        <f t="shared" si="9"/>
        <v>120000</v>
      </c>
    </row>
    <row r="176" spans="1:6" x14ac:dyDescent="0.3">
      <c r="A176" s="13">
        <v>46475</v>
      </c>
      <c r="B176" s="14"/>
      <c r="C176" s="15"/>
      <c r="D176" s="17"/>
      <c r="E176" s="16"/>
      <c r="F176" s="17">
        <f t="shared" si="9"/>
        <v>120000</v>
      </c>
    </row>
    <row r="177" spans="1:6" x14ac:dyDescent="0.3">
      <c r="A177" s="13">
        <v>46506</v>
      </c>
      <c r="B177" s="14"/>
      <c r="C177" s="14"/>
      <c r="D177" s="17"/>
      <c r="E177" s="16"/>
      <c r="F177" s="17">
        <f t="shared" si="9"/>
        <v>120000</v>
      </c>
    </row>
    <row r="178" spans="1:6" x14ac:dyDescent="0.3">
      <c r="A178" s="6"/>
      <c r="B178" s="6"/>
      <c r="C178" s="6"/>
      <c r="D178" s="18">
        <f>SUM(D166:D177)</f>
        <v>150000</v>
      </c>
      <c r="E178" s="19">
        <f>SUM(E166:E177)</f>
        <v>30000</v>
      </c>
      <c r="F178" s="18">
        <f>+F177</f>
        <v>120000</v>
      </c>
    </row>
  </sheetData>
  <mergeCells count="4">
    <mergeCell ref="A1:F1"/>
    <mergeCell ref="A2:F2"/>
    <mergeCell ref="A3:F3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</dc:creator>
  <cp:lastModifiedBy>Muhammad Huzaifa</cp:lastModifiedBy>
  <dcterms:created xsi:type="dcterms:W3CDTF">2026-07-28T15:21:34Z</dcterms:created>
  <dcterms:modified xsi:type="dcterms:W3CDTF">2026-07-30T05:34:30Z</dcterms:modified>
</cp:coreProperties>
</file>