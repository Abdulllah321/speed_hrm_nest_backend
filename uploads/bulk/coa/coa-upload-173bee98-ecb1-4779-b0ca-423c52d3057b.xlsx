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FA\Software Development\Financial Module\"/>
    </mc:Choice>
  </mc:AlternateContent>
  <xr:revisionPtr revIDLastSave="0" documentId="8_{5E947569-8FF8-4159-B7F5-88DD6C9DAF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COUNT" sheetId="4" r:id="rId1"/>
    <sheet name="Sub Account" sheetId="7" r:id="rId2"/>
    <sheet name="WH TAX TABLE" sheetId="8" r:id="rId3"/>
    <sheet name="Suppliers-Local" sheetId="10" r:id="rId4"/>
    <sheet name="Suppliers-Import" sheetId="11" r:id="rId5"/>
    <sheet name="Customers" sheetId="12" r:id="rId6"/>
    <sheet name="Locations" sheetId="13" r:id="rId7"/>
  </sheets>
  <definedNames>
    <definedName name="_xlnm._FilterDatabase" localSheetId="0" hidden="1">ACCOUNT!$A$4:$AA$3499</definedName>
    <definedName name="_xlnm.Print_Area" localSheetId="0">ACCOUNT!$R$655:$U$671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8" i="4" l="1"/>
  <c r="U156" i="4"/>
  <c r="B49" i="12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155" i="10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11" i="13"/>
  <c r="T543" i="4"/>
  <c r="T533" i="4"/>
  <c r="T762" i="4"/>
  <c r="N3489" i="4"/>
  <c r="I3489" i="4" s="1"/>
  <c r="D3489" i="4" s="1"/>
  <c r="N3483" i="4"/>
  <c r="N3480" i="4"/>
  <c r="N3472" i="4"/>
  <c r="N3468" i="4"/>
  <c r="N3466" i="4"/>
  <c r="N3147" i="4"/>
  <c r="N2977" i="4"/>
  <c r="N2974" i="4"/>
  <c r="N2634" i="4"/>
  <c r="T2477" i="4"/>
  <c r="T1693" i="4"/>
  <c r="N1709" i="4"/>
  <c r="N1702" i="4"/>
  <c r="N1664" i="4"/>
  <c r="N1658" i="4"/>
  <c r="N1653" i="4"/>
  <c r="N1634" i="4"/>
  <c r="N1628" i="4"/>
  <c r="N1604" i="4"/>
  <c r="T1526" i="4"/>
  <c r="N1437" i="4"/>
  <c r="N1369" i="4"/>
  <c r="U1318" i="4"/>
  <c r="N940" i="4"/>
  <c r="N833" i="4"/>
  <c r="T800" i="4"/>
  <c r="U182" i="4"/>
  <c r="U180" i="4"/>
  <c r="O353" i="4"/>
  <c r="O343" i="4"/>
  <c r="O199" i="4"/>
  <c r="O42" i="4"/>
  <c r="O30" i="4"/>
  <c r="O27" i="4"/>
  <c r="O21" i="4"/>
  <c r="O25" i="4"/>
  <c r="I6" i="4"/>
  <c r="D6" i="4" s="1"/>
  <c r="T3338" i="4"/>
  <c r="N3338" i="4" s="1"/>
  <c r="T3474" i="4"/>
  <c r="N3474" i="4" s="1"/>
  <c r="I3474" i="4" s="1"/>
  <c r="T3300" i="4"/>
  <c r="T3253" i="4"/>
  <c r="T3149" i="4"/>
  <c r="N3149" i="4" s="1"/>
  <c r="T2979" i="4"/>
  <c r="T3014" i="4"/>
  <c r="T3139" i="4"/>
  <c r="T3100" i="4"/>
  <c r="T3055" i="4"/>
  <c r="T3249" i="4"/>
  <c r="T3238" i="4"/>
  <c r="T3231" i="4"/>
  <c r="T3220" i="4"/>
  <c r="T3216" i="4"/>
  <c r="T3214" i="4"/>
  <c r="T3211" i="4"/>
  <c r="T3206" i="4"/>
  <c r="T3165" i="4"/>
  <c r="T3160" i="4"/>
  <c r="T3335" i="4"/>
  <c r="N3332" i="4" s="1"/>
  <c r="U3456" i="4"/>
  <c r="T3383" i="4"/>
  <c r="T2948" i="4"/>
  <c r="T2906" i="4"/>
  <c r="T2904" i="4"/>
  <c r="T2864" i="4"/>
  <c r="T2824" i="4"/>
  <c r="T2822" i="4"/>
  <c r="T2782" i="4"/>
  <c r="T2750" i="4"/>
  <c r="T2731" i="4"/>
  <c r="T2679" i="4"/>
  <c r="T2723" i="4"/>
  <c r="T2639" i="4"/>
  <c r="N2639" i="4" s="1"/>
  <c r="T2643" i="4"/>
  <c r="T3445" i="4"/>
  <c r="T3440" i="4"/>
  <c r="T3437" i="4"/>
  <c r="T3432" i="4"/>
  <c r="T3422" i="4"/>
  <c r="T2592" i="4"/>
  <c r="T2584" i="4"/>
  <c r="T2575" i="4"/>
  <c r="T2566" i="4"/>
  <c r="T2562" i="4"/>
  <c r="T2559" i="4"/>
  <c r="T2554" i="4"/>
  <c r="T2527" i="4"/>
  <c r="T2483" i="4"/>
  <c r="T2418" i="4"/>
  <c r="T2387" i="4"/>
  <c r="T2468" i="4"/>
  <c r="T2457" i="4"/>
  <c r="T2360" i="4"/>
  <c r="T2324" i="4"/>
  <c r="T2304" i="4"/>
  <c r="T2266" i="4"/>
  <c r="T2223" i="4"/>
  <c r="T2187" i="4"/>
  <c r="T2152" i="4"/>
  <c r="T2115" i="4"/>
  <c r="T2102" i="4"/>
  <c r="T2063" i="4"/>
  <c r="T1876" i="4"/>
  <c r="T1871" i="4"/>
  <c r="T1973" i="4"/>
  <c r="T2033" i="4"/>
  <c r="T2015" i="4"/>
  <c r="T1932" i="4"/>
  <c r="T1889" i="4"/>
  <c r="T1867" i="4"/>
  <c r="T1824" i="4"/>
  <c r="T1798" i="4"/>
  <c r="T1756" i="4"/>
  <c r="T1685" i="4"/>
  <c r="T1696" i="4"/>
  <c r="T1704" i="4"/>
  <c r="N1704" i="4" s="1"/>
  <c r="T1712" i="4"/>
  <c r="N2822" i="4" l="1"/>
  <c r="N3253" i="4"/>
  <c r="N3383" i="4"/>
  <c r="N2063" i="4"/>
  <c r="N2643" i="4"/>
  <c r="N2115" i="4"/>
  <c r="N3157" i="4"/>
  <c r="N2979" i="4"/>
  <c r="N2559" i="4"/>
  <c r="N2566" i="4"/>
  <c r="N2477" i="4"/>
  <c r="N1712" i="4"/>
  <c r="N2384" i="4"/>
  <c r="N2266" i="4"/>
  <c r="T1630" i="4"/>
  <c r="N1630" i="4" s="1"/>
  <c r="T1606" i="4"/>
  <c r="T1618" i="4"/>
  <c r="T1614" i="4"/>
  <c r="T1611" i="4"/>
  <c r="T1608" i="4"/>
  <c r="U1661" i="4"/>
  <c r="O1658" i="4" s="1"/>
  <c r="T1666" i="4"/>
  <c r="T1601" i="4"/>
  <c r="N1600" i="4" s="1"/>
  <c r="T1591" i="4"/>
  <c r="T1588" i="4"/>
  <c r="T1586" i="4"/>
  <c r="T1579" i="4"/>
  <c r="T1575" i="4"/>
  <c r="T1573" i="4"/>
  <c r="T1571" i="4"/>
  <c r="T1561" i="4"/>
  <c r="T1568" i="4"/>
  <c r="T1555" i="4"/>
  <c r="N1555" i="4" s="1"/>
  <c r="T1558" i="4"/>
  <c r="T1678" i="4"/>
  <c r="T1674" i="4"/>
  <c r="T1672" i="4"/>
  <c r="T1670" i="4"/>
  <c r="T1550" i="4"/>
  <c r="T1548" i="4"/>
  <c r="T1543" i="4"/>
  <c r="T1538" i="4"/>
  <c r="T1532" i="4"/>
  <c r="T1519" i="4"/>
  <c r="T1510" i="4"/>
  <c r="T1503" i="4"/>
  <c r="T1495" i="4"/>
  <c r="T1489" i="4"/>
  <c r="T1485" i="4"/>
  <c r="T1481" i="4"/>
  <c r="T1471" i="4"/>
  <c r="T1475" i="4"/>
  <c r="T1464" i="4"/>
  <c r="T1460" i="4"/>
  <c r="T1451" i="4"/>
  <c r="T1449" i="4"/>
  <c r="T1444" i="4"/>
  <c r="T1442" i="4"/>
  <c r="T1434" i="4"/>
  <c r="T1429" i="4"/>
  <c r="N1495" i="4" l="1"/>
  <c r="I1712" i="4"/>
  <c r="N1579" i="4"/>
  <c r="N1548" i="4"/>
  <c r="N1558" i="4"/>
  <c r="N1606" i="4"/>
  <c r="N1666" i="4"/>
  <c r="N1481" i="4"/>
  <c r="N1460" i="4"/>
  <c r="N1468" i="4"/>
  <c r="N1442" i="4"/>
  <c r="N1519" i="4"/>
  <c r="T1421" i="4"/>
  <c r="T1413" i="4"/>
  <c r="T1405" i="4"/>
  <c r="T1394" i="4"/>
  <c r="T1386" i="4"/>
  <c r="T1384" i="4"/>
  <c r="T1382" i="4"/>
  <c r="T1374" i="4"/>
  <c r="U1361" i="4"/>
  <c r="O1360" i="4" s="1"/>
  <c r="T1357" i="4"/>
  <c r="T1342" i="4"/>
  <c r="T1333" i="4"/>
  <c r="N1332" i="4" s="1"/>
  <c r="U1322" i="4"/>
  <c r="T1320" i="4"/>
  <c r="T696" i="4"/>
  <c r="T1269" i="4"/>
  <c r="U1225" i="4"/>
  <c r="U1201" i="4"/>
  <c r="T1156" i="4"/>
  <c r="T1132" i="4"/>
  <c r="T1085" i="4"/>
  <c r="T1055" i="4"/>
  <c r="U1008" i="4"/>
  <c r="U975" i="4"/>
  <c r="T969" i="4"/>
  <c r="U966" i="4"/>
  <c r="U964" i="4"/>
  <c r="T960" i="4"/>
  <c r="T958" i="4"/>
  <c r="T954" i="4"/>
  <c r="T951" i="4"/>
  <c r="U947" i="4"/>
  <c r="U944" i="4"/>
  <c r="T888" i="4"/>
  <c r="T847" i="4"/>
  <c r="O1318" i="4" l="1"/>
  <c r="J1318" i="4" s="1"/>
  <c r="E1318" i="4" s="1"/>
  <c r="N846" i="4"/>
  <c r="N1374" i="4"/>
  <c r="I1374" i="4" s="1"/>
  <c r="D1374" i="4" s="1"/>
  <c r="N1341" i="4"/>
  <c r="I1332" i="4" s="1"/>
  <c r="D1332" i="4" s="1"/>
  <c r="O974" i="4"/>
  <c r="O943" i="4"/>
  <c r="T938" i="4"/>
  <c r="T934" i="4"/>
  <c r="T932" i="4"/>
  <c r="T936" i="4"/>
  <c r="T930" i="4"/>
  <c r="T928" i="4"/>
  <c r="T926" i="4"/>
  <c r="T924" i="4"/>
  <c r="T922" i="4"/>
  <c r="T920" i="4"/>
  <c r="T746" i="4"/>
  <c r="N739" i="4" s="1"/>
  <c r="T827" i="4"/>
  <c r="T758" i="4"/>
  <c r="T821" i="4"/>
  <c r="J943" i="4" l="1"/>
  <c r="E943" i="4" s="1"/>
  <c r="N920" i="4"/>
  <c r="N936" i="4"/>
  <c r="T788" i="4"/>
  <c r="T781" i="4"/>
  <c r="T766" i="4"/>
  <c r="T760" i="4"/>
  <c r="U756" i="4"/>
  <c r="T751" i="4"/>
  <c r="U652" i="4"/>
  <c r="T640" i="4"/>
  <c r="T626" i="4"/>
  <c r="T633" i="4"/>
  <c r="N749" i="4" l="1"/>
  <c r="N765" i="4"/>
  <c r="T630" i="4"/>
  <c r="N626" i="4" s="1"/>
  <c r="T615" i="4"/>
  <c r="N614" i="4" s="1"/>
  <c r="T736" i="4"/>
  <c r="T734" i="4"/>
  <c r="T730" i="4"/>
  <c r="T724" i="4"/>
  <c r="T721" i="4"/>
  <c r="T705" i="4"/>
  <c r="T703" i="4"/>
  <c r="T701" i="4"/>
  <c r="T655" i="4"/>
  <c r="T686" i="4"/>
  <c r="T691" i="4"/>
  <c r="T672" i="4"/>
  <c r="T576" i="4"/>
  <c r="N576" i="4" s="1"/>
  <c r="T609" i="4"/>
  <c r="T580" i="4"/>
  <c r="N580" i="4" l="1"/>
  <c r="N655" i="4"/>
  <c r="N699" i="4"/>
  <c r="N531" i="4"/>
  <c r="U563" i="4"/>
  <c r="T561" i="4"/>
  <c r="U559" i="4"/>
  <c r="U528" i="4"/>
  <c r="U526" i="4"/>
  <c r="U524" i="4"/>
  <c r="U522" i="4"/>
  <c r="U520" i="4"/>
  <c r="T550" i="4"/>
  <c r="T514" i="4"/>
  <c r="T475" i="4"/>
  <c r="T432" i="4"/>
  <c r="T391" i="4"/>
  <c r="T358" i="4"/>
  <c r="U195" i="4"/>
  <c r="O195" i="4" s="1"/>
  <c r="U347" i="4"/>
  <c r="U345" i="4"/>
  <c r="U337" i="4"/>
  <c r="U310" i="4"/>
  <c r="U185" i="4"/>
  <c r="O185" i="4" s="1"/>
  <c r="U250" i="4"/>
  <c r="U215" i="4"/>
  <c r="U51" i="4"/>
  <c r="O51" i="4" s="1"/>
  <c r="T51" i="4"/>
  <c r="U275" i="4"/>
  <c r="U350" i="4"/>
  <c r="O350" i="4" s="1"/>
  <c r="U340" i="4"/>
  <c r="U48" i="4"/>
  <c r="O45" i="4" s="1"/>
  <c r="T48" i="4"/>
  <c r="U178" i="4"/>
  <c r="U176" i="4"/>
  <c r="U167" i="4"/>
  <c r="U151" i="4"/>
  <c r="U146" i="4"/>
  <c r="U97" i="4"/>
  <c r="U171" i="4"/>
  <c r="U6" i="4"/>
  <c r="T6" i="4"/>
  <c r="U10" i="4"/>
  <c r="U13" i="4"/>
  <c r="T15" i="4"/>
  <c r="U32" i="4"/>
  <c r="U34" i="4"/>
  <c r="U38" i="4"/>
  <c r="O38" i="4" s="1"/>
  <c r="U57" i="4"/>
  <c r="T34" i="4"/>
  <c r="T32" i="4"/>
  <c r="T38" i="4"/>
  <c r="B6" i="13"/>
  <c r="B7" i="13" s="1"/>
  <c r="B8" i="13" s="1"/>
  <c r="B9" i="13" s="1"/>
  <c r="B10" i="13" s="1"/>
  <c r="B7" i="12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T3498" i="4" l="1"/>
  <c r="U3498" i="4"/>
  <c r="I614" i="4"/>
  <c r="N561" i="4"/>
  <c r="N550" i="4"/>
  <c r="O57" i="4"/>
  <c r="N358" i="4"/>
  <c r="O345" i="4"/>
  <c r="O210" i="4"/>
  <c r="O13" i="4"/>
  <c r="O6" i="4"/>
  <c r="O32" i="4"/>
  <c r="J27" i="4" s="1"/>
  <c r="N3498" i="4" l="1"/>
  <c r="U3499" i="4"/>
  <c r="O3498" i="4"/>
  <c r="I358" i="4"/>
  <c r="J6" i="4"/>
  <c r="J45" i="4"/>
  <c r="E27" i="4" s="1"/>
  <c r="O3499" i="4" l="1"/>
  <c r="E6" i="4"/>
  <c r="E3498" i="4" s="1"/>
  <c r="J3498" i="4"/>
  <c r="D358" i="4"/>
  <c r="D3498" i="4" s="1"/>
  <c r="I3498" i="4"/>
  <c r="J3499" i="4" l="1"/>
  <c r="E3499" i="4"/>
</calcChain>
</file>

<file path=xl/sharedStrings.xml><?xml version="1.0" encoding="utf-8"?>
<sst xmlns="http://schemas.openxmlformats.org/spreadsheetml/2006/main" count="9822" uniqueCount="3428">
  <si>
    <t>MOHAMMAD ANWARULLAH ANSARI</t>
  </si>
  <si>
    <t>SARAH AUB MALIK</t>
  </si>
  <si>
    <t>SYED QAISER ALI</t>
  </si>
  <si>
    <t>MALIK MUHAMMAD IRSHAD</t>
  </si>
  <si>
    <t>FARHAN ALI</t>
  </si>
  <si>
    <t>QADIR ALI PASHA</t>
  </si>
  <si>
    <t>MUHAMMAD AWAIS ALI</t>
  </si>
  <si>
    <t>COMPANY</t>
  </si>
  <si>
    <t>SYED MOHSIN ALI</t>
  </si>
  <si>
    <t>ALI ROZ KHAN</t>
  </si>
  <si>
    <t>MEHWISH KHALID</t>
  </si>
  <si>
    <t>KHALID MIAN</t>
  </si>
  <si>
    <t>IMRAN KHALID</t>
  </si>
  <si>
    <t>AHSAN ALI RAHAT</t>
  </si>
  <si>
    <t>ALI ARSALAN</t>
  </si>
  <si>
    <t>MUHAMMAD ALI CHEEMA</t>
  </si>
  <si>
    <t>HAFIZ M. FARHAN ALI</t>
  </si>
  <si>
    <t>MUHAMMAD ALI</t>
  </si>
  <si>
    <t>PEDRO</t>
  </si>
  <si>
    <t>FARAZ ALI</t>
  </si>
  <si>
    <t>AKHTAR ALI</t>
  </si>
  <si>
    <t>AKBAR ALI</t>
  </si>
  <si>
    <t>SYED MUHAMMAD SALMAN ALI</t>
  </si>
  <si>
    <t>MOHSIN ALI KHAN</t>
  </si>
  <si>
    <t>KAZIM MALIK</t>
  </si>
  <si>
    <t>SYED HASAN ALI RIZVI</t>
  </si>
  <si>
    <t>ZAIN ZULFIQAR ALI</t>
  </si>
  <si>
    <t>SYED NOMAN ALI</t>
  </si>
  <si>
    <t>SYED MUHAMMAD HAIDER ALI</t>
  </si>
  <si>
    <t>ALI AHMED</t>
  </si>
  <si>
    <t>ALI AHMED S/O. M. HUSSAIN</t>
  </si>
  <si>
    <t>KHAMSA KHALID ABBASI</t>
  </si>
  <si>
    <t>ALINA MARY</t>
  </si>
  <si>
    <t>SAQIB ALI</t>
  </si>
  <si>
    <t>S. M. JUNAID ALI</t>
  </si>
  <si>
    <t>AHSAN ALI</t>
  </si>
  <si>
    <t>ALINA SHAHID</t>
  </si>
  <si>
    <t>SYED ALI RAZA RIZVI</t>
  </si>
  <si>
    <t>POINT OF SALES - CORPORATE</t>
  </si>
  <si>
    <t>MUJTABA AHMED MALIK</t>
  </si>
  <si>
    <t>Abdul Saboor Khalid</t>
  </si>
  <si>
    <t>Ali Asim</t>
  </si>
  <si>
    <t>Ali Khan</t>
  </si>
  <si>
    <t>Asad Ali</t>
  </si>
  <si>
    <t>Badar Ali</t>
  </si>
  <si>
    <t>Fahad Ali</t>
  </si>
  <si>
    <t>Noman Ali</t>
  </si>
  <si>
    <t>HAIDER ALI AMJAD</t>
  </si>
  <si>
    <t>AL NASIR TRANSPORT SERVICE</t>
  </si>
  <si>
    <t>FOUNTAIN AVENUE</t>
  </si>
  <si>
    <t>QUALITY AVIATION (PVT.) LTD.</t>
  </si>
  <si>
    <t>JOHAN (PVT) LTD.</t>
  </si>
  <si>
    <t>VISAGE</t>
  </si>
  <si>
    <t>LEOPARDS COURIER SERVICES</t>
  </si>
  <si>
    <t>TIMEX</t>
  </si>
  <si>
    <t>KHAYABAN-E-IQBAL</t>
  </si>
  <si>
    <t>PTCL</t>
  </si>
  <si>
    <t>EFU GENERAL INSURANCE CO. LTD.</t>
  </si>
  <si>
    <t>TPL TRAKKER LIMITED</t>
  </si>
  <si>
    <t>AL FEROZ (PVT) LTD.</t>
  </si>
  <si>
    <t>SIGN TECHNICAL SERVICES</t>
  </si>
  <si>
    <t>A2Z CREATORZ</t>
  </si>
  <si>
    <t>FALCON-I (PVT) LIMITED</t>
  </si>
  <si>
    <t>PAK MOBILE COMMUNICATION</t>
  </si>
  <si>
    <t>NADEEM SHAHZAD</t>
  </si>
  <si>
    <t>TETRA PAK (PAKISTAN) LIMITED</t>
  </si>
  <si>
    <t>ADIL MATCHESWALA</t>
  </si>
  <si>
    <t>SERVICE INDUSTRIES LIMITED</t>
  </si>
  <si>
    <t>ZAHEER ASSOCIATES</t>
  </si>
  <si>
    <t>LIMTON WATCH</t>
  </si>
  <si>
    <t>GMT DISTRIBUTORS</t>
  </si>
  <si>
    <t>NIZAM WATCH HOSUE</t>
  </si>
  <si>
    <t>NIZAM WATCH HOUSE 2 ISB</t>
  </si>
  <si>
    <t>UNILEVER</t>
  </si>
  <si>
    <t>INTERNATIONAL WATCH CO.</t>
  </si>
  <si>
    <t>MEHRAN SERVICES</t>
  </si>
  <si>
    <t>SPEED ENTERPRISES</t>
  </si>
  <si>
    <t>NIZAM &amp; COMPANY</t>
  </si>
  <si>
    <t>PRINCELY TRAVELS</t>
  </si>
  <si>
    <t>WASA</t>
  </si>
  <si>
    <t>KUN ADVERTISING AGENCY</t>
  </si>
  <si>
    <t>PRIME BUSINESS SYSTEMS</t>
  </si>
  <si>
    <t>MAINETT PAKISTAN (PVT.) LTD.</t>
  </si>
  <si>
    <t>NASEER AUTOS</t>
  </si>
  <si>
    <t>PAPER MAGAZINE</t>
  </si>
  <si>
    <t>NEW JUBILEE LIFE INSURANCE CO.</t>
  </si>
  <si>
    <t>WATCHMAN SECURITY SYSTEM</t>
  </si>
  <si>
    <t>NICHE LIFE STYLE</t>
  </si>
  <si>
    <t>DOLMEN (PVT.) LTD.</t>
  </si>
  <si>
    <t>PEARL BUTTON MFG CO.</t>
  </si>
  <si>
    <t>UNIVERSAL LOGISTICS SERVICES (PVT.) LTD.</t>
  </si>
  <si>
    <t>PRINCELY JET</t>
  </si>
  <si>
    <t>SAIF PUBLISHIN (PVT.) LTD.</t>
  </si>
  <si>
    <t>SERVICES MESS KARACHI</t>
  </si>
  <si>
    <t>ELEGANT PACKAGES</t>
  </si>
  <si>
    <t>ASIF ENTERPRISES</t>
  </si>
  <si>
    <t>JILANI FLEXIBLE PACKAGES (PVT.) LTD.</t>
  </si>
  <si>
    <t>TCS (PRIVATE) LIMITED</t>
  </si>
  <si>
    <t>AKBAR ENTERPRISES (PVT.) LIMITED</t>
  </si>
  <si>
    <t>ZAMAN TRANSPORT SERVICES</t>
  </si>
  <si>
    <t>NIZAM WATCH HOUSE-3</t>
  </si>
  <si>
    <t>S.M. REHAN &amp; CO.</t>
  </si>
  <si>
    <t>PAK SUZUKI MOTOR CO. LTD.</t>
  </si>
  <si>
    <t>PAK GULF CONSTRCTION (PVT.) LTD.</t>
  </si>
  <si>
    <t>AL-SAFA GOLDEN CO (PVT.) LTD.</t>
  </si>
  <si>
    <t>ANUM ATIQ</t>
  </si>
  <si>
    <t>SAFA GOLD MALL</t>
  </si>
  <si>
    <t>HABIB BANK LTD.</t>
  </si>
  <si>
    <t>NISHAT HOTELS AND PROPERTIES LIMITED</t>
  </si>
  <si>
    <t>CROWN TRAVELS</t>
  </si>
  <si>
    <t>ARSHAD MUNIR SUPPLY &amp; SERVICES</t>
  </si>
  <si>
    <t>KW&amp;SB</t>
  </si>
  <si>
    <t>FAZAL-E-RABBI (PVT.) LTD.</t>
  </si>
  <si>
    <t>SHAHZAD AHMED</t>
  </si>
  <si>
    <t>Dolmen Real Estate Management (Pvt.) Ltd.</t>
  </si>
  <si>
    <t>CDC-TRUSTEE DOLMEN CITY REIT</t>
  </si>
  <si>
    <t>INDUS MOTOR CO. LTD.</t>
  </si>
  <si>
    <t>TOYOTA CENTRAL MOTORS</t>
  </si>
  <si>
    <t>PREMIER AVIATION SERVICES (PVT.) LTD.</t>
  </si>
  <si>
    <t>AL GHURAIR GIGA PAKISTAN (PVT.) LTD.</t>
  </si>
  <si>
    <t>EFU GENERAL - MARINE CARGO IMPORT</t>
  </si>
  <si>
    <t>AMRELIWALA MOTORS (PVT.) LTD.</t>
  </si>
  <si>
    <t>EOBI</t>
  </si>
  <si>
    <t>HBL - ALLIANCE PROGRAM</t>
  </si>
  <si>
    <t>INTELLEXAL SOLUTIONS (PVT.) LTD.</t>
  </si>
  <si>
    <t>DHL PAKISTAN (PVT.) LTD.</t>
  </si>
  <si>
    <t>SIGN TECHNICAL SERVICES (FBR)</t>
  </si>
  <si>
    <t>EBCO (PVT.) LIMITED</t>
  </si>
  <si>
    <t>LUCKY LANDMARK (PVT.) LTD.</t>
  </si>
  <si>
    <t>IMPERIAL FACILITY MANAGEMENT (PVT.) LTD.</t>
  </si>
  <si>
    <t>SUZUKI MACCA MOTORS</t>
  </si>
  <si>
    <t>AL BARKA WATER</t>
  </si>
  <si>
    <t>IBL OPERATION (PVT.) LTD.</t>
  </si>
  <si>
    <t>BRANDANIA ADGOS</t>
  </si>
  <si>
    <t>CYBER INTERNET SERVICES (PVT.) LIMITED</t>
  </si>
  <si>
    <t>UNITED BANK LIMITED</t>
  </si>
  <si>
    <t>PEOPLE MAGAZINE PAKISTAN</t>
  </si>
  <si>
    <t>PULSE INTERNATIONAL</t>
  </si>
  <si>
    <t>AAM DEVELOPERS (PVT.) LTD.</t>
  </si>
  <si>
    <t>PREMIER DEVELOPERS</t>
  </si>
  <si>
    <t>CYBER SOFTWARE</t>
  </si>
  <si>
    <t>BAHRIA TOWN (PVT.) LTD.</t>
  </si>
  <si>
    <t>KINETIC BUSINESS SOLUTIONS</t>
  </si>
  <si>
    <t>PACKAGES REAL ESTATE (PVT.) LTD.</t>
  </si>
  <si>
    <t>ALI RAZA</t>
  </si>
  <si>
    <t>Quality Construction (Pvt.) Limited</t>
  </si>
  <si>
    <t>GRAPHEME STUDIO</t>
  </si>
  <si>
    <t>LESCO</t>
  </si>
  <si>
    <t>K-ELECTRIC</t>
  </si>
  <si>
    <t>INDUS FUMIGATION</t>
  </si>
  <si>
    <t>AM INNOVATION</t>
  </si>
  <si>
    <t>AQUA BLISS</t>
  </si>
  <si>
    <t>MONTHLY BRANDS</t>
  </si>
  <si>
    <t>SOUTHERN PEARL INTERNATIONAL SERVICES (PVT.) LTD.</t>
  </si>
  <si>
    <t>WONDER ADVERTISER AND ENGG SERVICES</t>
  </si>
  <si>
    <t>BIG EYE</t>
  </si>
  <si>
    <t>THE LEGEND</t>
  </si>
  <si>
    <t>AXLE AND OLIO SOLUTIONS PAKISTAN (PVT.) LTD.</t>
  </si>
  <si>
    <t>FAWAD ASGHAR</t>
  </si>
  <si>
    <t>ROBINA KAUSAR</t>
  </si>
  <si>
    <t>KINGSON - REAL ESTATE</t>
  </si>
  <si>
    <t>NETSAT (PRIVATE) LIMITED</t>
  </si>
  <si>
    <t>ELAHEE BUKSH &amp; COMPANY (PVT.) LTD.</t>
  </si>
  <si>
    <t>AERO PACKAGES</t>
  </si>
  <si>
    <t>MUHAMMAD AWAIS</t>
  </si>
  <si>
    <t>AHSAN ABBAS KAZMI</t>
  </si>
  <si>
    <t>RAMNA PREMIUM DRINKING WATER</t>
  </si>
  <si>
    <t>INTERNATIONAL WATCH COMPANY</t>
  </si>
  <si>
    <t>PARAMOUNT ENTERPRISES (PVT.) LTD.</t>
  </si>
  <si>
    <t>BIRKENSTOCK GLOBAL SALES GMBH</t>
  </si>
  <si>
    <t>NAYAB PEST CONTROL SERVICES</t>
  </si>
  <si>
    <t>FLOW MASTER</t>
  </si>
  <si>
    <t>MUNSEEB (PVT.) LTD.</t>
  </si>
  <si>
    <t>7SIGN</t>
  </si>
  <si>
    <t>CONCEPTIONAL MARKETING SOLUTIONS</t>
  </si>
  <si>
    <t>ALLIED BANK LIMITED</t>
  </si>
  <si>
    <t>LUCKY MOTOR CORPORATION LTD.</t>
  </si>
  <si>
    <t>HONDA ATLAS CARS (PAKISTAN) LTD.</t>
  </si>
  <si>
    <t>MATEEN SONS</t>
  </si>
  <si>
    <t>REANDA HAROON ZAKARIA ASSOCIATES</t>
  </si>
  <si>
    <t>KIA MOTOR SITE</t>
  </si>
  <si>
    <t>AK MARKETING</t>
  </si>
  <si>
    <t>HONDA SOUTH (PVT.) LTD.</t>
  </si>
  <si>
    <t>WASEEM JEWELLERS</t>
  </si>
  <si>
    <t>DHA DOLMEN LAHORE (PVT.) LTD.</t>
  </si>
  <si>
    <t>Universal Network Systems (Pvt.) Ltd.</t>
  </si>
  <si>
    <t>PESSI</t>
  </si>
  <si>
    <t>SESSI</t>
  </si>
  <si>
    <t>PAK LOGISTICS SOLUTIONS</t>
  </si>
  <si>
    <t>ASAF ALI HUSSAIN</t>
  </si>
  <si>
    <t>SARFRAZ AHMED</t>
  </si>
  <si>
    <t>ABDUL HANNAN</t>
  </si>
  <si>
    <t>MUHAMMAD ANIS</t>
  </si>
  <si>
    <t>MRS MEHFOOZA BANO</t>
  </si>
  <si>
    <t>ILG EMEA DWC LLC</t>
  </si>
  <si>
    <t>FAHEEM AKTHTER</t>
  </si>
  <si>
    <t>SHAYAN UL HAQ SIDDIQUI</t>
  </si>
  <si>
    <t>KAMRAN HAIDER</t>
  </si>
  <si>
    <t>ASIF ABBAS VAZIR</t>
  </si>
  <si>
    <t>SHEERAZ MOHAMMAD KHAN</t>
  </si>
  <si>
    <t>MUSTAFA</t>
  </si>
  <si>
    <t>ZEESHAN BUTT</t>
  </si>
  <si>
    <t>JUNAID RASHEED</t>
  </si>
  <si>
    <t>MUHAMMAD SADIQ AHMED</t>
  </si>
  <si>
    <t>OBAID GHAFFAR</t>
  </si>
  <si>
    <t>BASIM LONE</t>
  </si>
  <si>
    <t>DR. HASAN RAMZI</t>
  </si>
  <si>
    <t>ZAHID MAHMOOD</t>
  </si>
  <si>
    <t>TANZEEL AHMED</t>
  </si>
  <si>
    <t>ASAD ALAM SIDDIQUI</t>
  </si>
  <si>
    <t>ABDUL SAMAD</t>
  </si>
  <si>
    <t>FAREED BUTT</t>
  </si>
  <si>
    <t>MUHAMMAD HARIS</t>
  </si>
  <si>
    <t>MUHAMMAD ABDULLAH</t>
  </si>
  <si>
    <t>MUHAMMAD NUMAIR ARSHAD</t>
  </si>
  <si>
    <t xml:space="preserve">RAFIA TOOR </t>
  </si>
  <si>
    <t>MUHAMMAD KAMRAN NAZIR</t>
  </si>
  <si>
    <t>BILAL AHMED</t>
  </si>
  <si>
    <t>SHAKEEL AHMED</t>
  </si>
  <si>
    <t>MUHAMAMD OMER</t>
  </si>
  <si>
    <t>FAHEEM RAZA SHAH</t>
  </si>
  <si>
    <t>ATEEQ FAROOQ AHMED</t>
  </si>
  <si>
    <t>TAHIR MASOOD</t>
  </si>
  <si>
    <t>SHEHBAZ SHEIKH</t>
  </si>
  <si>
    <t>AMJAD HUSAIN CHISHITY</t>
  </si>
  <si>
    <t>ABID RAZA ZAIDI</t>
  </si>
  <si>
    <t>ADEEL AKHTAR</t>
  </si>
  <si>
    <t>AMIR JAVED</t>
  </si>
  <si>
    <t>KHURRAM HUSSAIN</t>
  </si>
  <si>
    <t>SAJID RASHID</t>
  </si>
  <si>
    <t>ALAIFYA</t>
  </si>
  <si>
    <t>KHURAM MIRZA</t>
  </si>
  <si>
    <t>SHAHID KHAN</t>
  </si>
  <si>
    <t>NAZIR DOST KHAN</t>
  </si>
  <si>
    <t>MUHAMMAD NAZIM</t>
  </si>
  <si>
    <t>ASHAR KAMRAN BHATTI</t>
  </si>
  <si>
    <t>MUHAMMAD RASHID BALOCH</t>
  </si>
  <si>
    <t>SYED M. ASLAM ZAIDI</t>
  </si>
  <si>
    <t>NASIR HUSSAIN</t>
  </si>
  <si>
    <t>YASER AZAM</t>
  </si>
  <si>
    <t>BUSHRA MAQBOOL</t>
  </si>
  <si>
    <t>NASIR HUSSAIN SHAHID</t>
  </si>
  <si>
    <t>M. AHSAN NAEEM</t>
  </si>
  <si>
    <t>UZMA GEORGE JALAL</t>
  </si>
  <si>
    <t>FARAZ BIN TAHIR</t>
  </si>
  <si>
    <t>NOOR BAHADUR KHAN</t>
  </si>
  <si>
    <t>HAIDER RAZA</t>
  </si>
  <si>
    <t>IRFAN ARIF</t>
  </si>
  <si>
    <t>RUHAMAH SAHIR</t>
  </si>
  <si>
    <t>M. SHAKEEL</t>
  </si>
  <si>
    <t>SHAYAN SALEEM</t>
  </si>
  <si>
    <t>YASIR MUNIR KHOKHAR</t>
  </si>
  <si>
    <t>NASIR JAMAL</t>
  </si>
  <si>
    <t>M. HUSSAIN ASHRAF</t>
  </si>
  <si>
    <t>RUMANA RAMZI</t>
  </si>
  <si>
    <t>ABDULLAH</t>
  </si>
  <si>
    <t>NASEEM DOST KHAN</t>
  </si>
  <si>
    <t>ATTA UR REHMAN</t>
  </si>
  <si>
    <t>ASIM KHURSHID</t>
  </si>
  <si>
    <t>FAYYAZ AHMED</t>
  </si>
  <si>
    <t>ROBINSON</t>
  </si>
  <si>
    <t>TAUQEER JALAL</t>
  </si>
  <si>
    <t>AHMED SIKANDER</t>
  </si>
  <si>
    <t>SYED SALMAN RAZA</t>
  </si>
  <si>
    <t>USMAN AKHTER</t>
  </si>
  <si>
    <t>MUHAMMAD ASIF</t>
  </si>
  <si>
    <t>ATIF RAFIQ</t>
  </si>
  <si>
    <t>SHAHID NAWAZ</t>
  </si>
  <si>
    <t>SALMAN ZAHID DAR</t>
  </si>
  <si>
    <t>DR. ZUBAIR AHMED</t>
  </si>
  <si>
    <t>SHAHZAD HUSSAIN</t>
  </si>
  <si>
    <t>SALEEM RAZA</t>
  </si>
  <si>
    <t>MUHAMMAD HAMID</t>
  </si>
  <si>
    <t>MUHAMMAD SHAHRUKH</t>
  </si>
  <si>
    <t>MUHAMMAD KAFEEL</t>
  </si>
  <si>
    <t>MEHRUN NISA</t>
  </si>
  <si>
    <t>SHERAZ SARFARAZ</t>
  </si>
  <si>
    <t>HASHAM AHMED</t>
  </si>
  <si>
    <t>SHOAIB HASSAN</t>
  </si>
  <si>
    <t>ABDUL RAHIM</t>
  </si>
  <si>
    <t>KAVITA MOHAN SOLANKI</t>
  </si>
  <si>
    <t>AFTAB ASHRAF BHUTTA</t>
  </si>
  <si>
    <t>SAMINA SEHAR</t>
  </si>
  <si>
    <t>M. AKMAL SARWAR BUTT</t>
  </si>
  <si>
    <t>M. MOID UL HAQ KHAN</t>
  </si>
  <si>
    <t>ARSALAN</t>
  </si>
  <si>
    <t>M. IMRAN KHAN</t>
  </si>
  <si>
    <t>M. OWAIS HASSAN</t>
  </si>
  <si>
    <t>JUNAID AHMED</t>
  </si>
  <si>
    <t>M. HUSSAIN BUTT</t>
  </si>
  <si>
    <t>TAFSEER JAMAL</t>
  </si>
  <si>
    <t>RAFAY MANSOOR</t>
  </si>
  <si>
    <t>SYED SAAD NABEEL</t>
  </si>
  <si>
    <t>SANDEEP ROBERT</t>
  </si>
  <si>
    <t>USMAN RAZA</t>
  </si>
  <si>
    <t>AHSAN IQBAL</t>
  </si>
  <si>
    <t>SHEHERYAR AHMED</t>
  </si>
  <si>
    <t>SYED SAMEER AHMED</t>
  </si>
  <si>
    <t>HINA SHAHZADI</t>
  </si>
  <si>
    <t>MAHVISH TABASSUM</t>
  </si>
  <si>
    <t>ZOYA KHAN</t>
  </si>
  <si>
    <t>KASHIF MAZHAR</t>
  </si>
  <si>
    <t>MUHAMMAD DANISH</t>
  </si>
  <si>
    <t>M. KHURRAM NAEEM</t>
  </si>
  <si>
    <t>UMAR SAEED</t>
  </si>
  <si>
    <t>MUNEEB SHAHBAZ</t>
  </si>
  <si>
    <t>MUHAMMAD AZHAR KHAN</t>
  </si>
  <si>
    <t>MUSTAFA KHILJI</t>
  </si>
  <si>
    <t>M. KASHIF AMIN</t>
  </si>
  <si>
    <t>ASHAN JAVED</t>
  </si>
  <si>
    <t>M. ZULFIQAR KHATTAK</t>
  </si>
  <si>
    <t>AHMED BILAL</t>
  </si>
  <si>
    <t>ABDUL LATIF</t>
  </si>
  <si>
    <t>M. ABUBAKAR</t>
  </si>
  <si>
    <t>LUBNA NAZIM</t>
  </si>
  <si>
    <t>SYED NADIR SHAH</t>
  </si>
  <si>
    <t>ASIM SHEHZAD</t>
  </si>
  <si>
    <t>MUHAMMAD IKRAM</t>
  </si>
  <si>
    <t>HASAN TANVEER</t>
  </si>
  <si>
    <t>MASHALL BUTT</t>
  </si>
  <si>
    <t>AZMAT HUSSAIN SHAH</t>
  </si>
  <si>
    <t>BABAR ABDUL REHMAN</t>
  </si>
  <si>
    <t>M. KALEEM AKHTAR</t>
  </si>
  <si>
    <t>WALEED YOUSUF QADRI</t>
  </si>
  <si>
    <t>SIRAJ AHMED</t>
  </si>
  <si>
    <t>ABDUL REHMAN</t>
  </si>
  <si>
    <t>M. AMJAD</t>
  </si>
  <si>
    <t>FAROOQ PERVAIZ</t>
  </si>
  <si>
    <t>RIZWAN</t>
  </si>
  <si>
    <t>BILAL BUTT</t>
  </si>
  <si>
    <t>M. FARAZ ADIL</t>
  </si>
  <si>
    <t>JAHANZEB AHMED</t>
  </si>
  <si>
    <t>SYEEDA YUMNA</t>
  </si>
  <si>
    <t>KHAWAJA ZEESHAN FAKHAR</t>
  </si>
  <si>
    <t>M. FAREED UL HAQ</t>
  </si>
  <si>
    <t>SHAHID IQBAL</t>
  </si>
  <si>
    <t>WAQAS KHAN</t>
  </si>
  <si>
    <t>NAVEED AHMED</t>
  </si>
  <si>
    <t>M. JUNAID KHAN</t>
  </si>
  <si>
    <t>M. DANISH YOUNUS</t>
  </si>
  <si>
    <t>ZULKARNAIN JAVED</t>
  </si>
  <si>
    <t>ASMA HANIF</t>
  </si>
  <si>
    <t>KHAWAJA ARSALAN FAKHAR</t>
  </si>
  <si>
    <t>M. KAMRAN HAYAT KHAN</t>
  </si>
  <si>
    <t>ABRAR HAIDER</t>
  </si>
  <si>
    <t>SOHAIL KHURRAM</t>
  </si>
  <si>
    <t>NIDA JONAD MAZHAR</t>
  </si>
  <si>
    <t>ASAD MOHSIN</t>
  </si>
  <si>
    <t>OSAMA AHMED</t>
  </si>
  <si>
    <t>M. KAMAL</t>
  </si>
  <si>
    <t>M. REHAN</t>
  </si>
  <si>
    <t>M. BILAL KHAN</t>
  </si>
  <si>
    <t>UZAIR QURESHI</t>
  </si>
  <si>
    <t>MUKHTAR AHMED</t>
  </si>
  <si>
    <t>ADEEL AMJAD</t>
  </si>
  <si>
    <t>MEHWISH</t>
  </si>
  <si>
    <t>DEEBA</t>
  </si>
  <si>
    <t>MOHSIN MUKHTAR</t>
  </si>
  <si>
    <t>NARMEEN ARFEEN</t>
  </si>
  <si>
    <t>QURATULAIN</t>
  </si>
  <si>
    <t>FARHAN M. KHAN</t>
  </si>
  <si>
    <t>ROOHI NAZ</t>
  </si>
  <si>
    <t>EJAZ HUSSAIN</t>
  </si>
  <si>
    <t>M. Irfan Nazir</t>
  </si>
  <si>
    <t>SHAFAQ</t>
  </si>
  <si>
    <t>HAJRA NAEEM</t>
  </si>
  <si>
    <t>SHAHRYAR KHALID</t>
  </si>
  <si>
    <t>UMAIR AHMED</t>
  </si>
  <si>
    <t>SHAHZAIB RAZZAQ</t>
  </si>
  <si>
    <t>AHSAN ZAMEER</t>
  </si>
  <si>
    <t>FAISAL UR REHMAN</t>
  </si>
  <si>
    <t>KOMAL RIAZ</t>
  </si>
  <si>
    <t>FAHAD RAMZAN</t>
  </si>
  <si>
    <t>MUHAMMAD FARHAN</t>
  </si>
  <si>
    <t>SYED MUHAMMAD JUNAID</t>
  </si>
  <si>
    <t>MUHAMMAD AZEEM</t>
  </si>
  <si>
    <t>RASHID KHAN MEO</t>
  </si>
  <si>
    <t>MOHIBULLAH</t>
  </si>
  <si>
    <t>SYED WAJID HUSSAIN</t>
  </si>
  <si>
    <t>DANISH AHMED</t>
  </si>
  <si>
    <t>SYED FIDA HUSSAIN</t>
  </si>
  <si>
    <t>ZUBAIR ANWAR</t>
  </si>
  <si>
    <t>MUHAMMAD WALEED</t>
  </si>
  <si>
    <t>MADIHA TARIQ</t>
  </si>
  <si>
    <t>ARSALAN KHAN</t>
  </si>
  <si>
    <t>MUHAMMAD SHAYAN</t>
  </si>
  <si>
    <t>SADAF KHURSHEED</t>
  </si>
  <si>
    <t>TAIMOOR PERWAIZ</t>
  </si>
  <si>
    <t>NUMAIR HASSAN</t>
  </si>
  <si>
    <t>DEEDAR AHMED</t>
  </si>
  <si>
    <t>SHAFIQ AHMED</t>
  </si>
  <si>
    <t>IMRAN SHAHID</t>
  </si>
  <si>
    <t>HAFIZ BILAL AHMED FAYYAZ</t>
  </si>
  <si>
    <t>HAFIZ MUHAMMAD FARHAN JAMIL</t>
  </si>
  <si>
    <t>UZMA JOHN</t>
  </si>
  <si>
    <t>WAQAS UMER</t>
  </si>
  <si>
    <t>USMAN NAZIR</t>
  </si>
  <si>
    <t>HASSAN BIN SAJJAD</t>
  </si>
  <si>
    <t>ZEESHAN AHMED</t>
  </si>
  <si>
    <t>ADIL HUSSAIN</t>
  </si>
  <si>
    <t>AFZAL AHMED</t>
  </si>
  <si>
    <t>MUHAMMAD INZIMAM UL HAQ</t>
  </si>
  <si>
    <t>ABDULLAH NASEER</t>
  </si>
  <si>
    <t>MUHAMMAD FAHEEM</t>
  </si>
  <si>
    <t>WALEED AKHTAR</t>
  </si>
  <si>
    <t>SHEIKH MOHSIN JAMEEL</t>
  </si>
  <si>
    <t>WAQAS AKHTER</t>
  </si>
  <si>
    <t>HASSNAIN TAHIR</t>
  </si>
  <si>
    <t>MOIZ HUSSAIN</t>
  </si>
  <si>
    <t>SIDRA KHANUM</t>
  </si>
  <si>
    <t>NAUMAN AHMED SHAH</t>
  </si>
  <si>
    <t>MUHAMMAD HASNAIN</t>
  </si>
  <si>
    <t>NAEEM FAROOQ</t>
  </si>
  <si>
    <t>ABIDA ADNAN</t>
  </si>
  <si>
    <t>MUHAMMAD AZEEM ASHRAF</t>
  </si>
  <si>
    <t>ASIF MEHMOOD</t>
  </si>
  <si>
    <t>SHAHZAD AHMED S/O NASEER</t>
  </si>
  <si>
    <t>ANEETA KANWAL</t>
  </si>
  <si>
    <t>KOMAL LIAQUAT</t>
  </si>
  <si>
    <t>BUSHRA ANNUM</t>
  </si>
  <si>
    <t>MUHAMMAD MOHIB KHAN</t>
  </si>
  <si>
    <t>FAIZAN AHMED</t>
  </si>
  <si>
    <t>SHAYAN JAWED</t>
  </si>
  <si>
    <t>M. YASIR FAHEEM SIDDIQUI</t>
  </si>
  <si>
    <t>SYED MUHAMMAD KASHIF</t>
  </si>
  <si>
    <t>WAJAHATULLAH SHAIKH</t>
  </si>
  <si>
    <t>NABEEL ABBAS</t>
  </si>
  <si>
    <t>MUHAMMAD IMRAN BUTT</t>
  </si>
  <si>
    <t>KAUSAR ANWAR</t>
  </si>
  <si>
    <t>SALMAN AHMED</t>
  </si>
  <si>
    <t>KASHIF SHAHZAD</t>
  </si>
  <si>
    <t>MUHAMMAD BAQAR</t>
  </si>
  <si>
    <t>SALMAN SIRAJ</t>
  </si>
  <si>
    <t>MUHAMMAD KHURRAM IQBAL</t>
  </si>
  <si>
    <t>MIARA AHMED SHAIKH</t>
  </si>
  <si>
    <t>TANVEER HUSSAIN</t>
  </si>
  <si>
    <t>TASMIYA</t>
  </si>
  <si>
    <t>IMRAN HASAN KHAN</t>
  </si>
  <si>
    <t>MEHWISH YOUSUF</t>
  </si>
  <si>
    <t>SHAHARYAR</t>
  </si>
  <si>
    <t>SYED AHAD HUSSAIN</t>
  </si>
  <si>
    <t>MUHAMMAD UMAMA JAWAID</t>
  </si>
  <si>
    <t>SANA MUSTAFA</t>
  </si>
  <si>
    <t>SYED ARIF HUSSAIN</t>
  </si>
  <si>
    <t>MUHAMMAD ZAIN UL ABEDIN</t>
  </si>
  <si>
    <t>HUMA</t>
  </si>
  <si>
    <t>MUHAMMAD AFFAN MIRZA</t>
  </si>
  <si>
    <t>USAMA NAEEM KHAN</t>
  </si>
  <si>
    <t>ABDUL WAJID KHAN</t>
  </si>
  <si>
    <t>SHAHRUKH KHAN</t>
  </si>
  <si>
    <t>MUHAMMAD ABUZAR GHAFFARI</t>
  </si>
  <si>
    <t>FIZZAH SIDDIQUI</t>
  </si>
  <si>
    <t>ANUM BANO</t>
  </si>
  <si>
    <t>USAMA QURESHI</t>
  </si>
  <si>
    <t>MUHAMMAD DANIAL</t>
  </si>
  <si>
    <t>QURRAT UL AIN</t>
  </si>
  <si>
    <t>MEHAD IRFAN</t>
  </si>
  <si>
    <t>MUHAMMAD SHAHAN BAIG</t>
  </si>
  <si>
    <t>RANA ANWAAR AHMED</t>
  </si>
  <si>
    <t>DILDAR</t>
  </si>
  <si>
    <t>MUHAMMAD USMAN</t>
  </si>
  <si>
    <t>AKHTAR BANO</t>
  </si>
  <si>
    <t>MUHAMMAD SALEEM</t>
  </si>
  <si>
    <t>SIDRA</t>
  </si>
  <si>
    <t>BILAL RASHEED FAROOQUI</t>
  </si>
  <si>
    <t>AHMED SALMAN NAZIR</t>
  </si>
  <si>
    <t>AMREEN BHATTI</t>
  </si>
  <si>
    <t>ANITA KANWAL</t>
  </si>
  <si>
    <t>AISHA</t>
  </si>
  <si>
    <t>MUHAMMAD SHEHROZ</t>
  </si>
  <si>
    <t>HASSAN RAFIQUE</t>
  </si>
  <si>
    <t>ABID KHAN</t>
  </si>
  <si>
    <t>SANA</t>
  </si>
  <si>
    <t>KAMRAN SHEIKH</t>
  </si>
  <si>
    <t>MUHAMMAD ARSALAN HUSSAIN NAQVI</t>
  </si>
  <si>
    <t>ROZINA FATIMA</t>
  </si>
  <si>
    <t>SHABANA BIBI</t>
  </si>
  <si>
    <t>GULFAM HUSSAIN</t>
  </si>
  <si>
    <t>SYED SAAD NAQVI</t>
  </si>
  <si>
    <t>MUHAMMAD NABEEL</t>
  </si>
  <si>
    <t>ASADULLAH KHAN</t>
  </si>
  <si>
    <t>SANA SAEED</t>
  </si>
  <si>
    <t>SHAHAN DILDAR</t>
  </si>
  <si>
    <t>MUHAMMAD FAISAL</t>
  </si>
  <si>
    <t>INAM-UL-HAQ HASHMI</t>
  </si>
  <si>
    <t>MUHAMMAD SALMAN</t>
  </si>
  <si>
    <t>RYANA JOHN</t>
  </si>
  <si>
    <t>SHEHROZ</t>
  </si>
  <si>
    <t>MEHBOOB QADIR</t>
  </si>
  <si>
    <t>MAHAM KHAN</t>
  </si>
  <si>
    <t>SUFIYAN ANEES</t>
  </si>
  <si>
    <t>S.M. OWAIS QURNI</t>
  </si>
  <si>
    <t>HASAN JAHANGIR</t>
  </si>
  <si>
    <t>WAQAS SHAHID</t>
  </si>
  <si>
    <t>TUBA ZAHID</t>
  </si>
  <si>
    <t>SYED SARMAD SAJID</t>
  </si>
  <si>
    <t>MAIRA SHAIKH</t>
  </si>
  <si>
    <t>FABULA O' RIELLY</t>
  </si>
  <si>
    <t>IRSHAD-ULLAH KHAN</t>
  </si>
  <si>
    <t>ISMAIL</t>
  </si>
  <si>
    <t>SEHAR SAJID</t>
  </si>
  <si>
    <t>SAAD ZAFAR</t>
  </si>
  <si>
    <t>MOBIN AHMED</t>
  </si>
  <si>
    <t>DANISH RAZA</t>
  </si>
  <si>
    <t>BILAL IRSHAD</t>
  </si>
  <si>
    <t>SUMBUL ZEHRA</t>
  </si>
  <si>
    <t>TALHA AHMED KHAN</t>
  </si>
  <si>
    <t>FABIAN FRANCIS ROBERT</t>
  </si>
  <si>
    <t>NATASHA YAQOOB</t>
  </si>
  <si>
    <t>PERSICLA JOSEPH</t>
  </si>
  <si>
    <t>AILLA YOUSUF</t>
  </si>
  <si>
    <t>HINA AMJAD</t>
  </si>
  <si>
    <t>SHAKEEL AHMED AWAN</t>
  </si>
  <si>
    <t>MARIA ALLAH BUKSH</t>
  </si>
  <si>
    <t>MUHAMMAD FARAZ</t>
  </si>
  <si>
    <t>M. USMAN ZAFAR</t>
  </si>
  <si>
    <t>MYRA MISHAL</t>
  </si>
  <si>
    <t>MUHAMMAD AFROZ</t>
  </si>
  <si>
    <t>RAJA KHURRAM SHAHZAD</t>
  </si>
  <si>
    <t>AHSAN JAVED</t>
  </si>
  <si>
    <t>RAHEEL AHMED</t>
  </si>
  <si>
    <t>ARSALAN ASHRAF UDDIN</t>
  </si>
  <si>
    <t>HARIS AHSAN</t>
  </si>
  <si>
    <t>SHAHZAD AHMED S/O M. AHMED</t>
  </si>
  <si>
    <t>HAMZA ILYAS</t>
  </si>
  <si>
    <t>SHEHRYAR S/O. M. YOUNUS</t>
  </si>
  <si>
    <t>JAHANZAIB S/O. SHAMRAIZ</t>
  </si>
  <si>
    <t>UMER MIRZA</t>
  </si>
  <si>
    <t>ABDUL REHMAN TAHIR</t>
  </si>
  <si>
    <t>JUNAID SHAH</t>
  </si>
  <si>
    <t>QASIM ASLAM</t>
  </si>
  <si>
    <t>SANA MEHAK</t>
  </si>
  <si>
    <t>MUDDASSIR SANA KHILJI</t>
  </si>
  <si>
    <t>MOHSIN MIR</t>
  </si>
  <si>
    <t>ZEBA JAHANZAIB</t>
  </si>
  <si>
    <t>FAHAD IQBAL</t>
  </si>
  <si>
    <t>ASIM NAZIR</t>
  </si>
  <si>
    <t>NEELAM SHAHZADI</t>
  </si>
  <si>
    <t>SAJJAD ARSHAD</t>
  </si>
  <si>
    <t>ASAD SHAHBAZ</t>
  </si>
  <si>
    <t>SYED HASAN TARIQ</t>
  </si>
  <si>
    <t>JOYNA JOSEPH</t>
  </si>
  <si>
    <t>ABDUL MUNEER</t>
  </si>
  <si>
    <t>KASHAN BAIG</t>
  </si>
  <si>
    <t>SYED SHEERAZ HUSSAIN</t>
  </si>
  <si>
    <t>Aamir Munawar</t>
  </si>
  <si>
    <t>Adil Matcheswalla</t>
  </si>
  <si>
    <t>Attiya</t>
  </si>
  <si>
    <t>Benish Hassan</t>
  </si>
  <si>
    <t>Bilal Rauf Butt</t>
  </si>
  <si>
    <t>Ch. Muhammad Sohaibullah</t>
  </si>
  <si>
    <t>Faisal Rashid</t>
  </si>
  <si>
    <t>Faiza Munir</t>
  </si>
  <si>
    <t>Farkhanda Aslam</t>
  </si>
  <si>
    <t>Ghulam Rasool</t>
  </si>
  <si>
    <t>Hafiz Muhammad Kashif</t>
  </si>
  <si>
    <t>Hasan Iqbal</t>
  </si>
  <si>
    <t>Huma Sohail</t>
  </si>
  <si>
    <t>Husnain</t>
  </si>
  <si>
    <t>Iqra Bashir</t>
  </si>
  <si>
    <t>Jamal Ahmed</t>
  </si>
  <si>
    <t>Jessica Fanyas</t>
  </si>
  <si>
    <t>Junaid Umer</t>
  </si>
  <si>
    <t>Kamal Ud Din</t>
  </si>
  <si>
    <t>Kamran</t>
  </si>
  <si>
    <t>Kinza Haroon</t>
  </si>
  <si>
    <t>Loen Joseph O'Reilly</t>
  </si>
  <si>
    <t>Maham</t>
  </si>
  <si>
    <t>Muhammad Gulraiz Muneer</t>
  </si>
  <si>
    <t>Muhammad Imran Khan</t>
  </si>
  <si>
    <t>Muhammad Kamran Khan</t>
  </si>
  <si>
    <t>Muhammad Nabeel Gulzar</t>
  </si>
  <si>
    <t>Muhammad Sadiq Khan</t>
  </si>
  <si>
    <t>Muhammad Sajeel Haider</t>
  </si>
  <si>
    <t>Muhammad Shahid Shabbir</t>
  </si>
  <si>
    <t>Muhammad Usman Ashraf</t>
  </si>
  <si>
    <t>Muhammad Zubair</t>
  </si>
  <si>
    <t>Mukhtar Ahmed Kiyani</t>
  </si>
  <si>
    <t>Nabeel Samad Butt</t>
  </si>
  <si>
    <t>Ovais Ahmed Khan</t>
  </si>
  <si>
    <t>Owais Sohail</t>
  </si>
  <si>
    <t>Rafiq Butt</t>
  </si>
  <si>
    <t>Rana Waqas Ahmed</t>
  </si>
  <si>
    <t>Raza Shoukat</t>
  </si>
  <si>
    <t>Rehan Muzaffar</t>
  </si>
  <si>
    <t>Saima Shafiq</t>
  </si>
  <si>
    <t>Shahrukh Siddiqui</t>
  </si>
  <si>
    <t>Simrah Tariq</t>
  </si>
  <si>
    <t>Syed Danish Raza Naqvi</t>
  </si>
  <si>
    <t>Syed Daniyal Abbas Naqvi</t>
  </si>
  <si>
    <t>Usman Ijaz</t>
  </si>
  <si>
    <t>Uzair Safdar</t>
  </si>
  <si>
    <t>Zulkarnain Kamran</t>
  </si>
  <si>
    <t>WASEEM AKRAM</t>
  </si>
  <si>
    <t>UMAIR BUTT</t>
  </si>
  <si>
    <t>MUHAMMAD ASAD</t>
  </si>
  <si>
    <t>WALEED REHMAN</t>
  </si>
  <si>
    <t>AHMED RAZZAQ</t>
  </si>
  <si>
    <t>ARSALAN ABBAS RATHORE</t>
  </si>
  <si>
    <t>Muhammad Anas Warsi</t>
  </si>
  <si>
    <t>Muhammad Ammad Aqeel</t>
  </si>
  <si>
    <t>SAJJAD</t>
  </si>
  <si>
    <t>MUHAMMAD NAJAM NASIR KHAN</t>
  </si>
  <si>
    <t>SAQIB AZIZ KHAN</t>
  </si>
  <si>
    <t>SAREEMA</t>
  </si>
  <si>
    <t>MUHAMMAD SALMAN KHAN</t>
  </si>
  <si>
    <t>NABEEL AHMED</t>
  </si>
  <si>
    <t>SYED AHMED FARAZ</t>
  </si>
  <si>
    <t>SYED KAREEM HUSSAIN BUKHARI</t>
  </si>
  <si>
    <t>AHSAN WAHEED ABBASI</t>
  </si>
  <si>
    <t>WALEED MASOOD</t>
  </si>
  <si>
    <t>MUHAMMAD HAMZA IQBAL</t>
  </si>
  <si>
    <t>HAFIZ MUTAHIR CHISHTI</t>
  </si>
  <si>
    <t>FAHAD MUHAMMAD</t>
  </si>
  <si>
    <t>AFAQ SIDDIQUI</t>
  </si>
  <si>
    <t>ABDUL WARIS</t>
  </si>
  <si>
    <t>ABDULLAH TAHIR</t>
  </si>
  <si>
    <t>MUHAMMAD FAHAD KHAN</t>
  </si>
  <si>
    <t>ATIQA</t>
  </si>
  <si>
    <t>M. WASI HAIDER</t>
  </si>
  <si>
    <t>UZMA</t>
  </si>
  <si>
    <t>OBAID LATIF</t>
  </si>
  <si>
    <t>SHERISH</t>
  </si>
  <si>
    <t>ABDUL RAFAY</t>
  </si>
  <si>
    <t>SYED WASEEM HUSSAIN GILANI</t>
  </si>
  <si>
    <t>MUHAMMAD NAFEES</t>
  </si>
  <si>
    <t>HAMZA ADREES</t>
  </si>
  <si>
    <t>SUNBUL</t>
  </si>
  <si>
    <t>MUHAMMAD WAQAR KHAN</t>
  </si>
  <si>
    <t>MUHAMMAD ASIF KHAN</t>
  </si>
  <si>
    <t>JENIFFER</t>
  </si>
  <si>
    <t>SHOAIB AIJAZ SHUJA</t>
  </si>
  <si>
    <t>AQSA JAMEEL</t>
  </si>
  <si>
    <t>ZOHAIB</t>
  </si>
  <si>
    <t>AWAIS AHMED</t>
  </si>
  <si>
    <t>SHOAIB</t>
  </si>
  <si>
    <t>DILDAR SHAH</t>
  </si>
  <si>
    <t>MUHAMMAD FAHAD</t>
  </si>
  <si>
    <t>KHAWAJA MUHAMMAD FAHEEM</t>
  </si>
  <si>
    <t>MUHAMMAD UMAIR MATLOOB</t>
  </si>
  <si>
    <t>AHMED SAEED</t>
  </si>
  <si>
    <t>TAHIR ALI SOHAIL</t>
  </si>
  <si>
    <t>MUHAMMAD ASAD RAFIQ</t>
  </si>
  <si>
    <t>ANJALI GILL</t>
  </si>
  <si>
    <t>HIFZA AMJAD</t>
  </si>
  <si>
    <t>MUHAMMAD SHAFAQAT ALI</t>
  </si>
  <si>
    <t>MUHAMMAD SAAD NAWAZ</t>
  </si>
  <si>
    <t>BUSHRA KHALIL</t>
  </si>
  <si>
    <t>HUZAIFA IQBAL</t>
  </si>
  <si>
    <t>ANAS ALI KHAN</t>
  </si>
  <si>
    <t>SYED MOHIB HUSSAIN SHAH</t>
  </si>
  <si>
    <t>MAHNOOR</t>
  </si>
  <si>
    <t>HASSAN MANZOOR</t>
  </si>
  <si>
    <t>USAMA AFAQ</t>
  </si>
  <si>
    <t>MAHEEN FATIMA</t>
  </si>
  <si>
    <t>SAAMI HAROON</t>
  </si>
  <si>
    <t>FAROOQ KHAN</t>
  </si>
  <si>
    <t>MUHAMMAD USAMA ABBAS</t>
  </si>
  <si>
    <t>HINA JAVED RANA</t>
  </si>
  <si>
    <t>ASAD UL HABIB</t>
  </si>
  <si>
    <t>ROMANA SHAHID</t>
  </si>
  <si>
    <t>MUGHEES AHMED</t>
  </si>
  <si>
    <t>ABDUL RAFAY KHAN</t>
  </si>
  <si>
    <t>MUHAMMAD UMAR</t>
  </si>
  <si>
    <t>FAIZAN KHALIQUE</t>
  </si>
  <si>
    <t>HAROON KHALID</t>
  </si>
  <si>
    <t>HADIQA KHAN</t>
  </si>
  <si>
    <t>ZAINAB TARIQ</t>
  </si>
  <si>
    <t>MUHAMMAD HASAN ASLAM</t>
  </si>
  <si>
    <t>TANIA RIAZ</t>
  </si>
  <si>
    <t>TAHA KHAN</t>
  </si>
  <si>
    <t>SAMAD AHMED</t>
  </si>
  <si>
    <t>SAEEDULLAH</t>
  </si>
  <si>
    <t>DANISH IJAZ</t>
  </si>
  <si>
    <t>ANEEZA ALI</t>
  </si>
  <si>
    <t>S. M. BASIT ALI</t>
  </si>
  <si>
    <t>Asad Amjad</t>
  </si>
  <si>
    <t>Kanwal Naz</t>
  </si>
  <si>
    <t>Mubeen Ahmed</t>
  </si>
  <si>
    <t>Abdul Rehman-1</t>
  </si>
  <si>
    <t>Junaid Baig</t>
  </si>
  <si>
    <t>Muhammad Arsalan Hussain Rizvi</t>
  </si>
  <si>
    <t>Mohsin Riaz</t>
  </si>
  <si>
    <t>Naima Ilyas</t>
  </si>
  <si>
    <t>Shahzeel Khan</t>
  </si>
  <si>
    <t>Muhammad Bilal</t>
  </si>
  <si>
    <t>Shahrukh Khan-1</t>
  </si>
  <si>
    <t>Nauman Shahzad</t>
  </si>
  <si>
    <t>Uraiba</t>
  </si>
  <si>
    <t>Muhammad Faisal-1</t>
  </si>
  <si>
    <t>Muhammad Mubashir Javed Khan</t>
  </si>
  <si>
    <t>Faizan Zahid</t>
  </si>
  <si>
    <t>Umer Nazir</t>
  </si>
  <si>
    <t>Bilal Asghar</t>
  </si>
  <si>
    <t>Simon Sarwar</t>
  </si>
  <si>
    <t>Alex Sohail</t>
  </si>
  <si>
    <t>Syed Abdul Wasay</t>
  </si>
  <si>
    <t>Jan Sher Khan</t>
  </si>
  <si>
    <t>Sheeza</t>
  </si>
  <si>
    <t>Muhammad Sohail</t>
  </si>
  <si>
    <t>Ayesha Ramzan</t>
  </si>
  <si>
    <t>Rushna Ijaj</t>
  </si>
  <si>
    <t>Muhamad Haseeb</t>
  </si>
  <si>
    <t>Suzin</t>
  </si>
  <si>
    <t>Daniyal Jawed</t>
  </si>
  <si>
    <t>Muhammad Hamza Murtaza</t>
  </si>
  <si>
    <t>Malik Israr</t>
  </si>
  <si>
    <t>Fayaz Akhtar</t>
  </si>
  <si>
    <t>Ahsan Ali - 1</t>
  </si>
  <si>
    <t>Muhammad Shumail Qureshi</t>
  </si>
  <si>
    <t>Sobia Perwaiz</t>
  </si>
  <si>
    <t>Zaid Bin Muzammil</t>
  </si>
  <si>
    <t>Syed Usman Ali</t>
  </si>
  <si>
    <t>Bilal Aftab</t>
  </si>
  <si>
    <t>Rizwan - 1</t>
  </si>
  <si>
    <t>Ahsan Perwaiz</t>
  </si>
  <si>
    <t>Hira Maqsood</t>
  </si>
  <si>
    <t>Mahnoor Ishaq</t>
  </si>
  <si>
    <t>Saeed Ul Rehman</t>
  </si>
  <si>
    <t>Syed Mughees Afzal</t>
  </si>
  <si>
    <t>Sadia Changaiz</t>
  </si>
  <si>
    <t>Hassan Shoukat</t>
  </si>
  <si>
    <t>Saad Azeem</t>
  </si>
  <si>
    <t>Salman Zulfiqar</t>
  </si>
  <si>
    <t>M. Shakeel S/o. Saleem</t>
  </si>
  <si>
    <t>USMAN BUTT</t>
  </si>
  <si>
    <t>FAKHAR IMAM</t>
  </si>
  <si>
    <t>SYED ADEEL HUSSAIN</t>
  </si>
  <si>
    <t>MUHAMMAD BILAL SHAH</t>
  </si>
  <si>
    <t>AHSAN BASHIR</t>
  </si>
  <si>
    <t>Azfar Siddiqui</t>
  </si>
  <si>
    <t>TALHA SHAHID</t>
  </si>
  <si>
    <t>YASIR WAKIL</t>
  </si>
  <si>
    <t>Sehar Javed</t>
  </si>
  <si>
    <t>ASAD MEHMOOD</t>
  </si>
  <si>
    <t>Imran Hussain Khan</t>
  </si>
  <si>
    <t>Shaikh Wamiq Noman</t>
  </si>
  <si>
    <t>Faheel Roshan</t>
  </si>
  <si>
    <t>Waseem Salahuddin</t>
  </si>
  <si>
    <t>Muhmmad Shaharyal</t>
  </si>
  <si>
    <t>Muhammad Yasir</t>
  </si>
  <si>
    <t>Muhammad Zeeshan Munir</t>
  </si>
  <si>
    <t>Muhammad Ahtesham</t>
  </si>
  <si>
    <t>Usman Akhtar</t>
  </si>
  <si>
    <t>Asad Ahmed Ali</t>
  </si>
  <si>
    <t>Bushra Jawaid</t>
  </si>
  <si>
    <t>Badar Mehmood Abbasi</t>
  </si>
  <si>
    <t>Waqas Munir</t>
  </si>
  <si>
    <t>Hamza Shahid</t>
  </si>
  <si>
    <t>Chanda</t>
  </si>
  <si>
    <t>Haroon Zaheer</t>
  </si>
  <si>
    <t>Ahsan Pervaiz</t>
  </si>
  <si>
    <t>Zeeshan Khan</t>
  </si>
  <si>
    <t>SYED USAMA ALI</t>
  </si>
  <si>
    <t>AHTISHAM SHAHID</t>
  </si>
  <si>
    <t>SYED AZEEMULLAH QADRI</t>
  </si>
  <si>
    <t>Muhammad Ali Muttaqui</t>
  </si>
  <si>
    <t>Sonia Kamran</t>
  </si>
  <si>
    <t>Syed Muhammad Arif Gillani</t>
  </si>
  <si>
    <t>Mian Muhammad Junaid Aqdas</t>
  </si>
  <si>
    <t>Aqib Nisar</t>
  </si>
  <si>
    <t>Muhammad Ismail</t>
  </si>
  <si>
    <t>Subhan Naseer</t>
  </si>
  <si>
    <t>Muhammad Hamza</t>
  </si>
  <si>
    <t>Virginia Xavier</t>
  </si>
  <si>
    <t>Tooba</t>
  </si>
  <si>
    <t>Muhammad Bilal Khalid</t>
  </si>
  <si>
    <t>Ramiz Abid</t>
  </si>
  <si>
    <t>Moazzan Butt</t>
  </si>
  <si>
    <t>Zainab</t>
  </si>
  <si>
    <t>NARMEEN TAHIR KHAN</t>
  </si>
  <si>
    <t>SYED FARRUKH AHMED</t>
  </si>
  <si>
    <t>ABDUL BASIT</t>
  </si>
  <si>
    <t>Muhammad Obaid</t>
  </si>
  <si>
    <t>AQSA SHAFAQ</t>
  </si>
  <si>
    <t>KHAWAJA DANIYAL BANDAY</t>
  </si>
  <si>
    <t>SYED MUHAMMAD AHSAN</t>
  </si>
  <si>
    <t>MUHAMMAD JAWAD</t>
  </si>
  <si>
    <t>M. MUZAMIL KHAN</t>
  </si>
  <si>
    <t>KINZA MUNAWAR</t>
  </si>
  <si>
    <t>ZANOBIA WARIS</t>
  </si>
  <si>
    <t>ABDUL WAHEED</t>
  </si>
  <si>
    <t>MUHAMMAD SHUJA UDDIN</t>
  </si>
  <si>
    <t>MUHAMMAD SOHAIB KHAN</t>
  </si>
  <si>
    <t>USAMA MEHMOOD GILL</t>
  </si>
  <si>
    <t>MAHA MASOOD</t>
  </si>
  <si>
    <t>ABDUL RAUF</t>
  </si>
  <si>
    <t>S.M. Usman Ali</t>
  </si>
  <si>
    <t>GHULAM MUJTABA</t>
  </si>
  <si>
    <t>ARIF UDDIN</t>
  </si>
  <si>
    <t>HUMAIR ANWAR</t>
  </si>
  <si>
    <t>SAMEER ARSHAD</t>
  </si>
  <si>
    <t>HARIS SHAHID</t>
  </si>
  <si>
    <t>SYED DANIYAL SHAH</t>
  </si>
  <si>
    <t>IMRAN HAIDER</t>
  </si>
  <si>
    <t>ZUBAIR HUSSAIN</t>
  </si>
  <si>
    <t>MUHAMMAD SHAYAN REHMAN</t>
  </si>
  <si>
    <t>SHAHROZ SHAMS</t>
  </si>
  <si>
    <t>SUNEETA AZIZ</t>
  </si>
  <si>
    <t>ASIF ALI KHOKAR</t>
  </si>
  <si>
    <t>NOMAN</t>
  </si>
  <si>
    <t>EBAD NAEEM</t>
  </si>
  <si>
    <t>MUHAMMAD RAFAY KAMRAN</t>
  </si>
  <si>
    <t>BILAL ALI</t>
  </si>
  <si>
    <t>RUBA RASHID</t>
  </si>
  <si>
    <t>IMRAN RASHEED</t>
  </si>
  <si>
    <t>SHAZMAN SOHAIL</t>
  </si>
  <si>
    <t>SAUBAN JAWAID</t>
  </si>
  <si>
    <t>TANVEER ABID</t>
  </si>
  <si>
    <t>TANIA SHAMOON</t>
  </si>
  <si>
    <t>MUHAMMAD AHMED BUTT</t>
  </si>
  <si>
    <t>MUHAMMAD BILAL FAROOQUI</t>
  </si>
  <si>
    <t>MUHAMMAD MUSTUFA</t>
  </si>
  <si>
    <t>AHTISHAM RIAZ</t>
  </si>
  <si>
    <t>AYESHA REHAN</t>
  </si>
  <si>
    <t>USAMA</t>
  </si>
  <si>
    <t>SAMMAN KHALID</t>
  </si>
  <si>
    <t>ZAHID BILAL</t>
  </si>
  <si>
    <t>MEHAR MUHAMMAD ZEESHAN YOUNAS</t>
  </si>
  <si>
    <t>MUHAMMAD HAFIZ IRFAN</t>
  </si>
  <si>
    <t>GHULAM MHUDAIN</t>
  </si>
  <si>
    <t>ZEESHAN SHIRAZI</t>
  </si>
  <si>
    <t>SHAHERYAR SALEEM</t>
  </si>
  <si>
    <t>MANAN MUSHTAQ</t>
  </si>
  <si>
    <t>USAMA BAHADUR ALI</t>
  </si>
  <si>
    <t>SHAHZADA SAYYAB HASSAN</t>
  </si>
  <si>
    <t>ARSALAN ALI</t>
  </si>
  <si>
    <t>SYED SHAHZAIB</t>
  </si>
  <si>
    <t>HASNAIN AKRAM</t>
  </si>
  <si>
    <t>HAFIZ KHIZER AHMED</t>
  </si>
  <si>
    <t>SUBHAN AHMED</t>
  </si>
  <si>
    <t>ANEEB J SAMUEL</t>
  </si>
  <si>
    <t>NEHA AZFAR</t>
  </si>
  <si>
    <t>SAWAIZ SALEEM</t>
  </si>
  <si>
    <t>KHALID SABIR</t>
  </si>
  <si>
    <t>MUHAMMAD BILAL SANI</t>
  </si>
  <si>
    <t>LIFE STYLE COLLECTION</t>
  </si>
  <si>
    <t>AGHA SUPERMARKET</t>
  </si>
  <si>
    <t>WATCH AVENUE</t>
  </si>
  <si>
    <t>GMT ENTERPRISES</t>
  </si>
  <si>
    <t>ENGRO FOODS LIMITED</t>
  </si>
  <si>
    <t>HBL - REWARD PROGRAM</t>
  </si>
  <si>
    <t>ENGRO POLYMER AND CHEMICALS LIMITED</t>
  </si>
  <si>
    <t>CHINA POWER HUB GENERATION COMPANY (PVT.) LTD.</t>
  </si>
  <si>
    <t>PRIMER AVIATION SERVICES (PVT.) LTD.</t>
  </si>
  <si>
    <t>CHINA COMMUNICATION CONSTRUCTION COMPANY</t>
  </si>
  <si>
    <t>PEPSI-COLA INTERNATIONAL (PVT.) LTD.</t>
  </si>
  <si>
    <t>ASKARI BANK LTD</t>
  </si>
  <si>
    <t>SPORTS UNLIMITED (SMC-PRIVATE) LIMITED</t>
  </si>
  <si>
    <t>THE SERVICES GROUP</t>
  </si>
  <si>
    <t>UNIVERSAL NETWORK SYSTEM ( PVT) LIMITED</t>
  </si>
  <si>
    <t>ENGRO ENERGY LIMITED</t>
  </si>
  <si>
    <t>ENGRO CORPORATION LTD.</t>
  </si>
  <si>
    <t>JS BANK LIMITED</t>
  </si>
  <si>
    <t>APCO PARK ONE (PRIVATE) LIMITED</t>
  </si>
  <si>
    <t>ANDLEEB SEHAR</t>
  </si>
  <si>
    <t>HENNERY JONATHON</t>
  </si>
  <si>
    <t>SYED ZEESHAN ALI</t>
  </si>
  <si>
    <t>ANUM SAEED</t>
  </si>
  <si>
    <t>NIKE</t>
  </si>
  <si>
    <t>ADIDAS</t>
  </si>
  <si>
    <t>UNDER ARMOUR</t>
  </si>
  <si>
    <t>IDEA LO</t>
  </si>
  <si>
    <t>LEOPARDS COURIER SERVICES (PVT.) LTD.</t>
  </si>
  <si>
    <t>ASICS</t>
  </si>
  <si>
    <t>TIMBERLAND</t>
  </si>
  <si>
    <t>PUMA</t>
  </si>
  <si>
    <t>CHARLES &amp; KEITH</t>
  </si>
  <si>
    <t>TAG HEUER</t>
  </si>
  <si>
    <t>BIRKENSTOCK</t>
  </si>
  <si>
    <t>POLICE</t>
  </si>
  <si>
    <t xml:space="preserve">NON CURRENT LIABILITIES </t>
  </si>
  <si>
    <t xml:space="preserve">DEFERRED COST </t>
  </si>
  <si>
    <t xml:space="preserve">CURRENT LIABILITIES </t>
  </si>
  <si>
    <t xml:space="preserve">NON CURRENT ASSETS </t>
  </si>
  <si>
    <t xml:space="preserve">CURRENT ASSETS </t>
  </si>
  <si>
    <t xml:space="preserve">COST OF SALES </t>
  </si>
  <si>
    <t xml:space="preserve">ADMINISTRATIVE EXPENSES </t>
  </si>
  <si>
    <t xml:space="preserve">FINANCIAL CHARGES </t>
  </si>
  <si>
    <t xml:space="preserve">SHARE CAPITAL &amp; RESERVES </t>
  </si>
  <si>
    <t xml:space="preserve">UN APPROPRIATED PROFIT/(LOSS) </t>
  </si>
  <si>
    <t xml:space="preserve">RESERVES </t>
  </si>
  <si>
    <t xml:space="preserve">SUBORDINATED LOAN </t>
  </si>
  <si>
    <t xml:space="preserve">LONG TERM LOAN-SECURED </t>
  </si>
  <si>
    <t xml:space="preserve">LONG TERM LOAN-UN SECURED </t>
  </si>
  <si>
    <t xml:space="preserve">LONG TERM DEPOSITS-P/A </t>
  </si>
  <si>
    <t xml:space="preserve">RETENTION MONEY PAYABLE </t>
  </si>
  <si>
    <t xml:space="preserve">OTHER LIABILITIES </t>
  </si>
  <si>
    <t xml:space="preserve">ACCREUD MARK UP ON LOAN </t>
  </si>
  <si>
    <t xml:space="preserve">PROPERTY, PLANT &amp; EQUIPMENT-LEASED </t>
  </si>
  <si>
    <t xml:space="preserve">CAPITAL WORK IN PROGRESS </t>
  </si>
  <si>
    <t xml:space="preserve">LONG TERM DEPOSITS R/A </t>
  </si>
  <si>
    <t xml:space="preserve">STOCK IN TRADE </t>
  </si>
  <si>
    <t xml:space="preserve">INVESTMENTS </t>
  </si>
  <si>
    <t xml:space="preserve">OTHER RECEIVABLES </t>
  </si>
  <si>
    <t xml:space="preserve">SALES TAX CONTROL ACCOUNT </t>
  </si>
  <si>
    <t xml:space="preserve">BANK BALANCES-CURRENT ACCOUNTS </t>
  </si>
  <si>
    <t xml:space="preserve">BANK BALANCES-DEPOSIT ACCOUNTS </t>
  </si>
  <si>
    <t xml:space="preserve">BANK BALANCE-FOREIGN CURRENCY </t>
  </si>
  <si>
    <t xml:space="preserve">CASH IN HAND </t>
  </si>
  <si>
    <t xml:space="preserve">TERM DEPOSIT </t>
  </si>
  <si>
    <t xml:space="preserve">WHOLE SALES </t>
  </si>
  <si>
    <t xml:space="preserve">RETAIL SALES </t>
  </si>
  <si>
    <t xml:space="preserve">OPENING STOCKS </t>
  </si>
  <si>
    <t xml:space="preserve">PURCHASES </t>
  </si>
  <si>
    <t xml:space="preserve">CLOSING STOCKS </t>
  </si>
  <si>
    <t xml:space="preserve">DIRECT COST </t>
  </si>
  <si>
    <t xml:space="preserve">RENT RATE &amp; TAXES </t>
  </si>
  <si>
    <t xml:space="preserve">COMMUNICATIONS </t>
  </si>
  <si>
    <t xml:space="preserve">UTILITIES </t>
  </si>
  <si>
    <t xml:space="preserve">PRINTING &amp; STATIONERY </t>
  </si>
  <si>
    <t xml:space="preserve">VEHICLE RUNNING EXPENSES </t>
  </si>
  <si>
    <t xml:space="preserve">TRAVELLING &amp; CONVEYANCE </t>
  </si>
  <si>
    <t xml:space="preserve">LEGAL &amp; PROFESSIONAL CHARGES </t>
  </si>
  <si>
    <t xml:space="preserve">REPAIR &amp; MAINTENANCE </t>
  </si>
  <si>
    <t xml:space="preserve">INSURANCE EXPENSES </t>
  </si>
  <si>
    <t xml:space="preserve">AUDITORS REMUNERATION </t>
  </si>
  <si>
    <t xml:space="preserve">FEE &amp; SUBSCRIPTION </t>
  </si>
  <si>
    <t xml:space="preserve">DEPRECIATION </t>
  </si>
  <si>
    <t xml:space="preserve">DISTRIBUTION EXPENSES </t>
  </si>
  <si>
    <t xml:space="preserve">TAXATION-CURRENT </t>
  </si>
  <si>
    <t xml:space="preserve">SERVICE CENTRE </t>
  </si>
  <si>
    <t xml:space="preserve">DONATION </t>
  </si>
  <si>
    <t xml:space="preserve">LEVY </t>
  </si>
  <si>
    <t xml:space="preserve">FINANCIAL CHARGES-BANKS </t>
  </si>
  <si>
    <t xml:space="preserve">BANK CHARGES-IMPORT </t>
  </si>
  <si>
    <t xml:space="preserve">ADVANCE AG. PURC. OF VEHICLE </t>
  </si>
  <si>
    <t xml:space="preserve">CLAIM VOUCHERS </t>
  </si>
  <si>
    <t xml:space="preserve">POS INTEGRATION FEE - PAYABLE </t>
  </si>
  <si>
    <t xml:space="preserve">AUTHORIZED CAPITAL </t>
  </si>
  <si>
    <t xml:space="preserve">DIVIDEND </t>
  </si>
  <si>
    <t xml:space="preserve">CAPITAL RSERVES </t>
  </si>
  <si>
    <t xml:space="preserve">REVENUE RESERVES </t>
  </si>
  <si>
    <t xml:space="preserve">ADVANCE AGAINST EQUITY </t>
  </si>
  <si>
    <t xml:space="preserve">LOAN FROM DIRECTORS </t>
  </si>
  <si>
    <t xml:space="preserve">LT LOAN-SECURED </t>
  </si>
  <si>
    <t xml:space="preserve">DEFERRED GRANT </t>
  </si>
  <si>
    <t xml:space="preserve">LT LOAN-UN SECURED </t>
  </si>
  <si>
    <t xml:space="preserve">LONG TERM DEPOSITS P/A-WATCHES </t>
  </si>
  <si>
    <t xml:space="preserve">LONG TERM DEPOSITS P/A-OTHERS </t>
  </si>
  <si>
    <t xml:space="preserve">PROVISION FOR BONUS </t>
  </si>
  <si>
    <t xml:space="preserve">PROVISION FOR IMPAIRMENT </t>
  </si>
  <si>
    <t xml:space="preserve">PROVISION FOR SALES TAX </t>
  </si>
  <si>
    <t xml:space="preserve">CREDIT VOUCHERS </t>
  </si>
  <si>
    <t xml:space="preserve">GIFT VOUCHERS </t>
  </si>
  <si>
    <t xml:space="preserve">EXCHANGE VOUCHERS </t>
  </si>
  <si>
    <t xml:space="preserve">ALLIANCE &amp; REWARD PROGRAM </t>
  </si>
  <si>
    <t xml:space="preserve">ACC MARK UP ON RF </t>
  </si>
  <si>
    <t xml:space="preserve">ACC MARK UP ON SHORT TERM LOAN </t>
  </si>
  <si>
    <t xml:space="preserve">PROVISION FOR TAXATION </t>
  </si>
  <si>
    <t xml:space="preserve">TAX PAYABLE-OTHERS </t>
  </si>
  <si>
    <t xml:space="preserve">FURNITURE, FIXTURES &amp; FITTINGS-OWN </t>
  </si>
  <si>
    <t xml:space="preserve">OFFICE EQUIPMENTS-OWN </t>
  </si>
  <si>
    <t xml:space="preserve">MOTOR VEHICLES-OWN </t>
  </si>
  <si>
    <t xml:space="preserve">OFFICE EQUIPMENTS-LEASED </t>
  </si>
  <si>
    <t xml:space="preserve">COMPUTERS-LEASED </t>
  </si>
  <si>
    <t xml:space="preserve">MOTOR VEHICLES-LEASED </t>
  </si>
  <si>
    <t xml:space="preserve">ACC. DEP. OFFICE &amp; SHOPS BUILDUPS-LEASED </t>
  </si>
  <si>
    <t xml:space="preserve">ACC. DEP. FURNITURE, FIXTURES &amp; FITTINGS-LEASED </t>
  </si>
  <si>
    <t xml:space="preserve">ACC. DEP. OFFICE EQUIPMENTS-LEASED </t>
  </si>
  <si>
    <t xml:space="preserve">ACC. DEP. COMPUTERS-LEASED </t>
  </si>
  <si>
    <t xml:space="preserve">ACC. DEP. MOTOR VEHICLES-LEASED </t>
  </si>
  <si>
    <t xml:space="preserve">ADVANCE TO SUPPLIERS </t>
  </si>
  <si>
    <t xml:space="preserve">ADVANCE FOR EXPENSES </t>
  </si>
  <si>
    <t xml:space="preserve">SECURITY DEPOSIT </t>
  </si>
  <si>
    <t xml:space="preserve">LC MARGIN </t>
  </si>
  <si>
    <t xml:space="preserve">PREPAID GENERAL INSURANCE </t>
  </si>
  <si>
    <t xml:space="preserve">PREPAID GROUP LIFE INSURANCE </t>
  </si>
  <si>
    <t xml:space="preserve">PREPAID RENT </t>
  </si>
  <si>
    <t xml:space="preserve">PREPAID SERVICE CHARGES </t>
  </si>
  <si>
    <t xml:space="preserve">PREPAID ADVERTISEMENT </t>
  </si>
  <si>
    <t xml:space="preserve">PREPAID PROFESSIONAL CHARGES </t>
  </si>
  <si>
    <t xml:space="preserve">PREPAID MAINTENANCE CHARGES </t>
  </si>
  <si>
    <t xml:space="preserve">PREPAID LEASE RENTAL </t>
  </si>
  <si>
    <t xml:space="preserve">PREPAID OTHERS </t>
  </si>
  <si>
    <t xml:space="preserve">PREPAID HEALTH INSURANCE </t>
  </si>
  <si>
    <t xml:space="preserve">PREPAID STAMP DUTY </t>
  </si>
  <si>
    <t xml:space="preserve">CONSIGNMENT STOCK </t>
  </si>
  <si>
    <t xml:space="preserve">INVESTMENT </t>
  </si>
  <si>
    <t xml:space="preserve">A/R-INSTITUTES </t>
  </si>
  <si>
    <t xml:space="preserve">A/R-WATCHES </t>
  </si>
  <si>
    <t xml:space="preserve">PROVISION FOR BAD DEBTS </t>
  </si>
  <si>
    <t xml:space="preserve">ADVANCE TAX ON IMPORTS </t>
  </si>
  <si>
    <t xml:space="preserve">ADVANCE TAX ON SUPPLY OF GOODS </t>
  </si>
  <si>
    <t xml:space="preserve">ADVANCE TAX ON BANK PROFIT </t>
  </si>
  <si>
    <t xml:space="preserve">ADVANCE TAX WITH RETURNS </t>
  </si>
  <si>
    <t xml:space="preserve">ADVANCE TAX ON ELECTRICITY </t>
  </si>
  <si>
    <t xml:space="preserve">ADVANCE TAX ON PHONE-PTCL </t>
  </si>
  <si>
    <t xml:space="preserve">ADVANCE TAX ON PHONE-MOBILE </t>
  </si>
  <si>
    <t xml:space="preserve">ADVANCE TAX ON CASH WITHDRAWAL </t>
  </si>
  <si>
    <t xml:space="preserve">ADVANCE TAX-OTHERS </t>
  </si>
  <si>
    <t xml:space="preserve">ADVANCE TAX ON INTERNET </t>
  </si>
  <si>
    <t xml:space="preserve">ADVANCE INCOME TAX U/S 147 </t>
  </si>
  <si>
    <t xml:space="preserve">ASSOCIATED UNDERTAKING </t>
  </si>
  <si>
    <t xml:space="preserve">INSURANCE CLAIM </t>
  </si>
  <si>
    <t xml:space="preserve">RECEIVABLES-OTHERS </t>
  </si>
  <si>
    <t xml:space="preserve">REIMB.ABLE EXP. REC.ABLE </t>
  </si>
  <si>
    <t xml:space="preserve">RECEIVABLES E-COMMERCE </t>
  </si>
  <si>
    <t xml:space="preserve">SALES TAX CURRENT ACCOUNT </t>
  </si>
  <si>
    <t xml:space="preserve">SALES TAX WITHHELD SRB </t>
  </si>
  <si>
    <t xml:space="preserve">SALES TAX ON SERVICES </t>
  </si>
  <si>
    <t xml:space="preserve">SALES TAX WITHHELD ON SALES </t>
  </si>
  <si>
    <t xml:space="preserve">SALES TAX WITHHELD PRA </t>
  </si>
  <si>
    <t xml:space="preserve">SALES TAX-OTHERS </t>
  </si>
  <si>
    <t xml:space="preserve">SALES TAX ON GOODS </t>
  </si>
  <si>
    <t xml:space="preserve">SALES TAX ON SERVICES (PRA) </t>
  </si>
  <si>
    <t xml:space="preserve">SALES TAX ON SERVICES (SRB) </t>
  </si>
  <si>
    <t xml:space="preserve">SALES TAX ON SERVICES (ICT) </t>
  </si>
  <si>
    <t xml:space="preserve">SALES TAX REFUNDABLE </t>
  </si>
  <si>
    <t xml:space="preserve">STANDARD CHARTERED </t>
  </si>
  <si>
    <t xml:space="preserve">JS BANK LIMITED </t>
  </si>
  <si>
    <t xml:space="preserve">JS BANK LIMITED - CURRENT A/C </t>
  </si>
  <si>
    <t xml:space="preserve">BANK AL-FALAH LIMITED </t>
  </si>
  <si>
    <t xml:space="preserve">HABIB BANK LIMITED </t>
  </si>
  <si>
    <t xml:space="preserve">BANK AL-HABIB LIMITED </t>
  </si>
  <si>
    <t xml:space="preserve">JS BANK LIMITED - SAVING A/C </t>
  </si>
  <si>
    <t xml:space="preserve">ALLIED BANK LIMITED </t>
  </si>
  <si>
    <t xml:space="preserve">STANDARD CHARTERED BANK-SAVING A/C </t>
  </si>
  <si>
    <t xml:space="preserve">STANDARD CHARTERED FC </t>
  </si>
  <si>
    <t xml:space="preserve">CASH IMPREST </t>
  </si>
  <si>
    <t xml:space="preserve">CASH FLOAT </t>
  </si>
  <si>
    <t xml:space="preserve">WHOLE SALES-TAXABLE 18% </t>
  </si>
  <si>
    <t xml:space="preserve">WHOLE SALES - TAXABLE 25% </t>
  </si>
  <si>
    <t xml:space="preserve">WHOLE SALES DISCOUNT </t>
  </si>
  <si>
    <t xml:space="preserve">WHOLE SALES DISCOUNT 18% </t>
  </si>
  <si>
    <t xml:space="preserve">WHOLE SALES DISCOUNT 25% </t>
  </si>
  <si>
    <t xml:space="preserve">WHOLE SALES RETURN </t>
  </si>
  <si>
    <t xml:space="preserve">WHOLE SALES RETURN 18% </t>
  </si>
  <si>
    <t xml:space="preserve">WHOLE SALES RETURN 25% </t>
  </si>
  <si>
    <t xml:space="preserve">WHOLE SALES DISCOUNT RETURN </t>
  </si>
  <si>
    <t xml:space="preserve">WHOLE SALES DISCOUNT RETURN 18% </t>
  </si>
  <si>
    <t xml:space="preserve">WHOLE SALES DISCOUNT RETURN 25% </t>
  </si>
  <si>
    <t xml:space="preserve">SALES TAX-OUTPUT WHOLE SALES </t>
  </si>
  <si>
    <t xml:space="preserve">WHOLE SALES RETURN-CONTROL A/C </t>
  </si>
  <si>
    <t xml:space="preserve">RETAIL SALES-TAXABLE 18% </t>
  </si>
  <si>
    <t xml:space="preserve">RETAIL SALES - TAXABLE 25% </t>
  </si>
  <si>
    <t xml:space="preserve">RETAIL SALES DISCOUNT </t>
  </si>
  <si>
    <t xml:space="preserve">RETAIL SALES DISCOUNT-TAXABLE 18% </t>
  </si>
  <si>
    <t xml:space="preserve">RETAIL SALES DISCOUNT - TAXABLE 25% </t>
  </si>
  <si>
    <t xml:space="preserve">RETAIL SALES RETURN </t>
  </si>
  <si>
    <t xml:space="preserve">RETAIL SALES RETURN 18% </t>
  </si>
  <si>
    <t xml:space="preserve">RETAIL SALES RETURN 25% </t>
  </si>
  <si>
    <t xml:space="preserve">RETAIL SALES DISCOUNT RETURN </t>
  </si>
  <si>
    <t xml:space="preserve">RETAIL SALES DISCOUNT RETURN 18% </t>
  </si>
  <si>
    <t xml:space="preserve">RETAIL SALES DISCOUNT RETURN 25% </t>
  </si>
  <si>
    <t xml:space="preserve">SALES TAX-OUTPUT RETAIL SALES </t>
  </si>
  <si>
    <t xml:space="preserve">RETAIL SALES RETURN-CONTROL A/C </t>
  </si>
  <si>
    <t xml:space="preserve">PROFIT ON BANK DEPOSITS </t>
  </si>
  <si>
    <t xml:space="preserve">INTERST INCOME </t>
  </si>
  <si>
    <t xml:space="preserve">DIVIDEND INCOME </t>
  </si>
  <si>
    <t xml:space="preserve">GRANT INCOME </t>
  </si>
  <si>
    <t xml:space="preserve">OPENING STOCKS-STORES </t>
  </si>
  <si>
    <t xml:space="preserve">OPENING STOCKS-WAREHOUSE </t>
  </si>
  <si>
    <t xml:space="preserve">OPENING STOCK-SPARE PARTS </t>
  </si>
  <si>
    <t xml:space="preserve">PURCHASES IMPORT </t>
  </si>
  <si>
    <t xml:space="preserve">PURCHASES LOCAL </t>
  </si>
  <si>
    <t xml:space="preserve">PURCHASES CONSIGNMENT </t>
  </si>
  <si>
    <t xml:space="preserve">CLOSING STOCKS-STORES </t>
  </si>
  <si>
    <t xml:space="preserve">CLOSING STOCKS-WAREHOUSE </t>
  </si>
  <si>
    <t xml:space="preserve">CLOSING STOCK-SPARE PARTS </t>
  </si>
  <si>
    <t xml:space="preserve">STOCK ADJUSTMENTS </t>
  </si>
  <si>
    <t xml:space="preserve">INVENTORY SHORT/EXCESS </t>
  </si>
  <si>
    <t xml:space="preserve">DEFECTIVE PRODUCTS </t>
  </si>
  <si>
    <t xml:space="preserve">RENT </t>
  </si>
  <si>
    <t xml:space="preserve">SALARIES &amp; ALLOWANCES </t>
  </si>
  <si>
    <t xml:space="preserve">BONUS </t>
  </si>
  <si>
    <t xml:space="preserve">INCENTIVES </t>
  </si>
  <si>
    <t xml:space="preserve">MEDICAL REIMBURSEMENT </t>
  </si>
  <si>
    <t xml:space="preserve">EOBI CONTRIBUTION </t>
  </si>
  <si>
    <t xml:space="preserve">SESSI CONTRIBUTION </t>
  </si>
  <si>
    <t xml:space="preserve">P.F. CONTRIBUTION </t>
  </si>
  <si>
    <t xml:space="preserve">STAFF TRAINING EXPENSES </t>
  </si>
  <si>
    <t xml:space="preserve">GROUP LIFE INSURANCE </t>
  </si>
  <si>
    <t xml:space="preserve">LEAVE ENCASHMENT </t>
  </si>
  <si>
    <t xml:space="preserve">SALARIES-FINAL SETTLEMENT </t>
  </si>
  <si>
    <t xml:space="preserve">COMPENSATION-CONTRACT STAFF </t>
  </si>
  <si>
    <t xml:space="preserve">LEAVE FARE ASSISTANCE </t>
  </si>
  <si>
    <t xml:space="preserve">IESSI CONTRIBUTION </t>
  </si>
  <si>
    <t xml:space="preserve">PESSI CONTRIBUTION </t>
  </si>
  <si>
    <t xml:space="preserve">SERVICE CHARGES </t>
  </si>
  <si>
    <t xml:space="preserve">TAXES </t>
  </si>
  <si>
    <t xml:space="preserve">CENTRAL EXCISE DUTY </t>
  </si>
  <si>
    <t xml:space="preserve">SINDH SALES TAX ON RENT </t>
  </si>
  <si>
    <t xml:space="preserve">TELEPHONE EXPENSES-PTCL </t>
  </si>
  <si>
    <t xml:space="preserve">MOBILE PHONE EXPENSES </t>
  </si>
  <si>
    <t xml:space="preserve">INTERNET EXPENSES </t>
  </si>
  <si>
    <t xml:space="preserve">POSTAGE </t>
  </si>
  <si>
    <t xml:space="preserve">ELECTRICITY EXPENSES </t>
  </si>
  <si>
    <t xml:space="preserve">GENERATOR EXPENSES </t>
  </si>
  <si>
    <t xml:space="preserve">GAS </t>
  </si>
  <si>
    <t xml:space="preserve">WATER CHARGES </t>
  </si>
  <si>
    <t xml:space="preserve">AC CHARGES </t>
  </si>
  <si>
    <t xml:space="preserve">DRINKING WATER </t>
  </si>
  <si>
    <t xml:space="preserve">ENTERTAINMENT-OFFICE </t>
  </si>
  <si>
    <t xml:space="preserve">ENTERTAINMENT-CLIENTS </t>
  </si>
  <si>
    <t xml:space="preserve">PRINTING EXPENSES </t>
  </si>
  <si>
    <t xml:space="preserve">STATIONERY EXPENSES </t>
  </si>
  <si>
    <t xml:space="preserve">OFFICE SUPPLIES-PRINTER </t>
  </si>
  <si>
    <t xml:space="preserve">OFFICE SUPPLIES-COMPUTER </t>
  </si>
  <si>
    <t xml:space="preserve">OFFICE SUPPLIES-PAPERS </t>
  </si>
  <si>
    <t xml:space="preserve">OFFICE SUPPLIES OTHERS </t>
  </si>
  <si>
    <t xml:space="preserve">OFFICE SUPPLIES-HANGERS </t>
  </si>
  <si>
    <t xml:space="preserve">OFFICE SUPPLIES-CARRY BAGS </t>
  </si>
  <si>
    <t xml:space="preserve">PARKING CHARGES </t>
  </si>
  <si>
    <t xml:space="preserve">TRAVELLING EXPENSES-OTHERS </t>
  </si>
  <si>
    <t xml:space="preserve">RETAINERSHIP FEE-TAX </t>
  </si>
  <si>
    <t xml:space="preserve">RETAINERSHIP FEE-LAWYER </t>
  </si>
  <si>
    <t xml:space="preserve">RETAINERSHIP FEE-OTHERS </t>
  </si>
  <si>
    <t xml:space="preserve">DOCUMENTATION CHARGES </t>
  </si>
  <si>
    <t xml:space="preserve">PROFESSIONAL CHARGES </t>
  </si>
  <si>
    <t xml:space="preserve">STAMPS DUTY </t>
  </si>
  <si>
    <t xml:space="preserve">PROFESSIONAL TAX </t>
  </si>
  <si>
    <t xml:space="preserve">MOTOR VEHICLE TAX </t>
  </si>
  <si>
    <t xml:space="preserve">SIGNAGE TAX </t>
  </si>
  <si>
    <t xml:space="preserve">TRADE LICENCE FEE </t>
  </si>
  <si>
    <t xml:space="preserve">SHOPS &amp; ESTABLISHMENT </t>
  </si>
  <si>
    <t xml:space="preserve">CIVIL DEFENCE </t>
  </si>
  <si>
    <t xml:space="preserve">REPAIR &amp; MAINTENANCE-EQUIPMENT </t>
  </si>
  <si>
    <t xml:space="preserve">COMPUTER SOFTWARE MAINTENANCE </t>
  </si>
  <si>
    <t xml:space="preserve">REPAIR &amp; MAINTENANCE-OTHERS </t>
  </si>
  <si>
    <t xml:space="preserve">REPAIR &amp; MAINTENANCE-GENERAL </t>
  </si>
  <si>
    <t xml:space="preserve">ELECTRICAL CONTRACT </t>
  </si>
  <si>
    <t xml:space="preserve">ELECTRICAL ACCESSORIES </t>
  </si>
  <si>
    <t xml:space="preserve">JANITORIAL CHARGES </t>
  </si>
  <si>
    <t xml:space="preserve">TOILETORIES </t>
  </si>
  <si>
    <t xml:space="preserve">INSURANCE EXPENSES-VEHICLES </t>
  </si>
  <si>
    <t xml:space="preserve">INSURANCE-CASH IN SAFE </t>
  </si>
  <si>
    <t xml:space="preserve">INSURANCE-CASH IN TRANSIT </t>
  </si>
  <si>
    <t xml:space="preserve">INSURANCE-FIDELITY </t>
  </si>
  <si>
    <t xml:space="preserve">INSURANCE-ASSETS </t>
  </si>
  <si>
    <t xml:space="preserve">INSURANCE-IN LAND TRANSIT </t>
  </si>
  <si>
    <t xml:space="preserve">INSURANCE-STOCKS </t>
  </si>
  <si>
    <t xml:space="preserve">INSURANCE-PLATE GLASS </t>
  </si>
  <si>
    <t xml:space="preserve">INSURANCE-OTHERS </t>
  </si>
  <si>
    <t xml:space="preserve">NEWSPAPER </t>
  </si>
  <si>
    <t xml:space="preserve">BOOKS &amp; PERIODICALS </t>
  </si>
  <si>
    <t xml:space="preserve">AUDIT FEE </t>
  </si>
  <si>
    <t xml:space="preserve">AUDITORS OUT OF POCKET EXPENSE </t>
  </si>
  <si>
    <t xml:space="preserve">OPERATING EXPENSES-MISC </t>
  </si>
  <si>
    <t xml:space="preserve">CASH SHORTAGE &amp; OVERAGES </t>
  </si>
  <si>
    <t xml:space="preserve">INVENTORY SHORTAGES </t>
  </si>
  <si>
    <t xml:space="preserve">INTEREST EXPENSES </t>
  </si>
  <si>
    <t xml:space="preserve">ADVERTISEMENT-BILLBOARD </t>
  </si>
  <si>
    <t xml:space="preserve">ADVERTISEMENT-PRINT </t>
  </si>
  <si>
    <t xml:space="preserve">ADVERTISEMENT-MEDIA </t>
  </si>
  <si>
    <t xml:space="preserve">ADVERTISEMENT-SIGN/GRAPHICS </t>
  </si>
  <si>
    <t xml:space="preserve">ADVERTISEMENT-FASHION &amp; EVENTS </t>
  </si>
  <si>
    <t xml:space="preserve">ADVERTISEMENT-OTHERS </t>
  </si>
  <si>
    <t xml:space="preserve">PROMOTIONAL EXP-PRODUCT </t>
  </si>
  <si>
    <t xml:space="preserve">PROMOTIONAL EXP-STAFF UNIFORMS </t>
  </si>
  <si>
    <t xml:space="preserve">PROMOTIONAL EXP-GIVEAWAYS </t>
  </si>
  <si>
    <t xml:space="preserve">PROMOTIONAL EXP-OTHERS </t>
  </si>
  <si>
    <t xml:space="preserve">PROMOTIONAL EXP-DISCOUNT STORES </t>
  </si>
  <si>
    <t xml:space="preserve">PROMOTIONAL EXP-CARRY BAGS </t>
  </si>
  <si>
    <t xml:space="preserve">PROMOTIONAL EXP-MEGA SALES </t>
  </si>
  <si>
    <t xml:space="preserve">PROMOTIONAL EXP-PROMOTION LEVY </t>
  </si>
  <si>
    <t xml:space="preserve">PROMOTIONAL EXP-MARKETING LEVY </t>
  </si>
  <si>
    <t xml:space="preserve">PROMOTIONAL EXP-RETAILER INCENTIVE </t>
  </si>
  <si>
    <t xml:space="preserve">PROMOTIONAL EXP-PRINTED MATERIAL </t>
  </si>
  <si>
    <t xml:space="preserve">DISTRIBUTION EXPENSES-OTHERS </t>
  </si>
  <si>
    <t xml:space="preserve">CARTAGE </t>
  </si>
  <si>
    <t xml:space="preserve">TAXATION </t>
  </si>
  <si>
    <t xml:space="preserve">TURN OVER TAX </t>
  </si>
  <si>
    <t xml:space="preserve">WWF </t>
  </si>
  <si>
    <t xml:space="preserve">SPARE PARTS CONSUMED </t>
  </si>
  <si>
    <t xml:space="preserve">TECHNICIAN SALARY &amp; BENEFITS </t>
  </si>
  <si>
    <t xml:space="preserve">DEPRECIATION-TOOLS &amp; EQUIPMENT </t>
  </si>
  <si>
    <t xml:space="preserve">IMPAIRMENT EXPENSES </t>
  </si>
  <si>
    <t xml:space="preserve">LEVY - MINIMUM TAX </t>
  </si>
  <si>
    <t xml:space="preserve">BANK CHARGES &amp; COMMISSION </t>
  </si>
  <si>
    <t xml:space="preserve">LEASE FINANCIAL CHARGES </t>
  </si>
  <si>
    <t xml:space="preserve">CONFIRMATION CHARGES IMPORT </t>
  </si>
  <si>
    <t xml:space="preserve">EXCHANGE LOSS IMPORT </t>
  </si>
  <si>
    <t xml:space="preserve">FOREIGN BANK CHARGES IMPORT </t>
  </si>
  <si>
    <t xml:space="preserve">REIMBURSEMENT CHARGES IMPORT </t>
  </si>
  <si>
    <t xml:space="preserve">GIFT VOUCHERS CORPORATE </t>
  </si>
  <si>
    <t>Code</t>
  </si>
  <si>
    <t xml:space="preserve">C10001 </t>
  </si>
  <si>
    <t xml:space="preserve">C10002 </t>
  </si>
  <si>
    <t xml:space="preserve">C10003 </t>
  </si>
  <si>
    <t xml:space="preserve">C10004 </t>
  </si>
  <si>
    <t xml:space="preserve">DIR001 </t>
  </si>
  <si>
    <t xml:space="preserve">DIR002 </t>
  </si>
  <si>
    <t xml:space="preserve">DIR003 </t>
  </si>
  <si>
    <t xml:space="preserve">EMP001 </t>
  </si>
  <si>
    <t xml:space="preserve">EMP002 </t>
  </si>
  <si>
    <t xml:space="preserve">EMP003 </t>
  </si>
  <si>
    <t xml:space="preserve">EMP004 </t>
  </si>
  <si>
    <t xml:space="preserve">EMP005 </t>
  </si>
  <si>
    <t xml:space="preserve">EMP006 </t>
  </si>
  <si>
    <t xml:space="preserve">EMP007 </t>
  </si>
  <si>
    <t xml:space="preserve">EMP008 </t>
  </si>
  <si>
    <t xml:space="preserve">EMP009 </t>
  </si>
  <si>
    <t xml:space="preserve">EMP010 </t>
  </si>
  <si>
    <t xml:space="preserve">EMP011 </t>
  </si>
  <si>
    <t xml:space="preserve">EMP012 </t>
  </si>
  <si>
    <t xml:space="preserve">EMP013 </t>
  </si>
  <si>
    <t xml:space="preserve">EMP014 </t>
  </si>
  <si>
    <t xml:space="preserve">EMP015 </t>
  </si>
  <si>
    <t xml:space="preserve">EMP016 </t>
  </si>
  <si>
    <t xml:space="preserve">EMP017 </t>
  </si>
  <si>
    <t xml:space="preserve">EMP018 </t>
  </si>
  <si>
    <t xml:space="preserve">EMP019 </t>
  </si>
  <si>
    <t xml:space="preserve">EMP020 </t>
  </si>
  <si>
    <t xml:space="preserve">EMP021 </t>
  </si>
  <si>
    <t xml:space="preserve">EMP022 </t>
  </si>
  <si>
    <t xml:space="preserve">EMP023 </t>
  </si>
  <si>
    <t xml:space="preserve">EMP024 </t>
  </si>
  <si>
    <t xml:space="preserve">EMP025 </t>
  </si>
  <si>
    <t xml:space="preserve">EMP026 </t>
  </si>
  <si>
    <t xml:space="preserve">EMP027 </t>
  </si>
  <si>
    <t xml:space="preserve">EMP028 </t>
  </si>
  <si>
    <t xml:space="preserve">EMP029 </t>
  </si>
  <si>
    <t xml:space="preserve">EMP030 </t>
  </si>
  <si>
    <t xml:space="preserve">EMP031 </t>
  </si>
  <si>
    <t xml:space="preserve">EMP032 </t>
  </si>
  <si>
    <t xml:space="preserve">EMP033 </t>
  </si>
  <si>
    <t xml:space="preserve">EMP034 </t>
  </si>
  <si>
    <t xml:space="preserve">EMP035 </t>
  </si>
  <si>
    <t xml:space="preserve">EMP036 </t>
  </si>
  <si>
    <t xml:space="preserve">EMP037 </t>
  </si>
  <si>
    <t xml:space="preserve">EMP038 </t>
  </si>
  <si>
    <t xml:space="preserve">EMP039 </t>
  </si>
  <si>
    <t xml:space="preserve">EMP040 </t>
  </si>
  <si>
    <t xml:space="preserve">EMP041 </t>
  </si>
  <si>
    <t xml:space="preserve">EMP042 </t>
  </si>
  <si>
    <t xml:space="preserve">EMP043 </t>
  </si>
  <si>
    <t xml:space="preserve">EMP044 </t>
  </si>
  <si>
    <t xml:space="preserve">EMP045 </t>
  </si>
  <si>
    <t xml:space="preserve">EMP046 </t>
  </si>
  <si>
    <t xml:space="preserve">EMP047 </t>
  </si>
  <si>
    <t xml:space="preserve">EMP048 </t>
  </si>
  <si>
    <t xml:space="preserve">EMP049 </t>
  </si>
  <si>
    <t xml:space="preserve">EMP050 </t>
  </si>
  <si>
    <t xml:space="preserve">EMP051 </t>
  </si>
  <si>
    <t xml:space="preserve">EMP052 </t>
  </si>
  <si>
    <t xml:space="preserve">EMP053 </t>
  </si>
  <si>
    <t xml:space="preserve">EMP054 </t>
  </si>
  <si>
    <t xml:space="preserve">EMP055 </t>
  </si>
  <si>
    <t xml:space="preserve">EMP056 </t>
  </si>
  <si>
    <t xml:space="preserve">EMP057 </t>
  </si>
  <si>
    <t xml:space="preserve">EMP058 </t>
  </si>
  <si>
    <t xml:space="preserve">EMP059 </t>
  </si>
  <si>
    <t xml:space="preserve">EMP060 </t>
  </si>
  <si>
    <t xml:space="preserve">EMP061 </t>
  </si>
  <si>
    <t xml:space="preserve">EMP062 </t>
  </si>
  <si>
    <t xml:space="preserve">EMP063 </t>
  </si>
  <si>
    <t xml:space="preserve">EMP064 </t>
  </si>
  <si>
    <t xml:space="preserve">EMP065 </t>
  </si>
  <si>
    <t xml:space="preserve">EMP066 </t>
  </si>
  <si>
    <t xml:space="preserve">EMP067 </t>
  </si>
  <si>
    <t xml:space="preserve">EMP068 </t>
  </si>
  <si>
    <t xml:space="preserve">EMP069 </t>
  </si>
  <si>
    <t xml:space="preserve">EMP070 </t>
  </si>
  <si>
    <t xml:space="preserve">EMP071 </t>
  </si>
  <si>
    <t xml:space="preserve">EMP072 </t>
  </si>
  <si>
    <t xml:space="preserve">EMP073 </t>
  </si>
  <si>
    <t xml:space="preserve">EMP074 </t>
  </si>
  <si>
    <t xml:space="preserve">EMP075 </t>
  </si>
  <si>
    <t xml:space="preserve">EMP076 </t>
  </si>
  <si>
    <t xml:space="preserve">EMP077 </t>
  </si>
  <si>
    <t xml:space="preserve">EMP078 </t>
  </si>
  <si>
    <t xml:space="preserve">EMP079 </t>
  </si>
  <si>
    <t xml:space="preserve">EMP080 </t>
  </si>
  <si>
    <t xml:space="preserve">EMP081 </t>
  </si>
  <si>
    <t xml:space="preserve">EMP082 </t>
  </si>
  <si>
    <t xml:space="preserve">EMP083 </t>
  </si>
  <si>
    <t xml:space="preserve">EMP084 </t>
  </si>
  <si>
    <t xml:space="preserve">EMP085 </t>
  </si>
  <si>
    <t xml:space="preserve">EMP086 </t>
  </si>
  <si>
    <t xml:space="preserve">EMP087 </t>
  </si>
  <si>
    <t xml:space="preserve">EMP088 </t>
  </si>
  <si>
    <t xml:space="preserve">EMP089 </t>
  </si>
  <si>
    <t xml:space="preserve">EMP090 </t>
  </si>
  <si>
    <t xml:space="preserve">EMP091 </t>
  </si>
  <si>
    <t xml:space="preserve">EMP092 </t>
  </si>
  <si>
    <t xml:space="preserve">EMP093 </t>
  </si>
  <si>
    <t xml:space="preserve">EMP094 </t>
  </si>
  <si>
    <t xml:space="preserve">EMP095 </t>
  </si>
  <si>
    <t xml:space="preserve">EMP096 </t>
  </si>
  <si>
    <t xml:space="preserve">EMP097 </t>
  </si>
  <si>
    <t xml:space="preserve">EMP098 </t>
  </si>
  <si>
    <t xml:space="preserve">EMP099 </t>
  </si>
  <si>
    <t xml:space="preserve">EMP100 </t>
  </si>
  <si>
    <t xml:space="preserve">EMP101 </t>
  </si>
  <si>
    <t xml:space="preserve">EMP102 </t>
  </si>
  <si>
    <t xml:space="preserve">EMP103 </t>
  </si>
  <si>
    <t xml:space="preserve">EMP104 </t>
  </si>
  <si>
    <t xml:space="preserve">EMP105 </t>
  </si>
  <si>
    <t xml:space="preserve">EMP106 </t>
  </si>
  <si>
    <t xml:space="preserve">EMP107 </t>
  </si>
  <si>
    <t xml:space="preserve">EMP108 </t>
  </si>
  <si>
    <t xml:space="preserve">EMP109 </t>
  </si>
  <si>
    <t xml:space="preserve">EMP110 </t>
  </si>
  <si>
    <t xml:space="preserve">EMP111 </t>
  </si>
  <si>
    <t xml:space="preserve">EMP112 </t>
  </si>
  <si>
    <t xml:space="preserve">EMP113 </t>
  </si>
  <si>
    <t xml:space="preserve">EMP114 </t>
  </si>
  <si>
    <t xml:space="preserve">EMP115 </t>
  </si>
  <si>
    <t xml:space="preserve">EMP116 </t>
  </si>
  <si>
    <t xml:space="preserve">EMP117 </t>
  </si>
  <si>
    <t xml:space="preserve">EMP118 </t>
  </si>
  <si>
    <t xml:space="preserve">EMP119 </t>
  </si>
  <si>
    <t xml:space="preserve">EMP120 </t>
  </si>
  <si>
    <t xml:space="preserve">EMP121 </t>
  </si>
  <si>
    <t xml:space="preserve">EMP122 </t>
  </si>
  <si>
    <t xml:space="preserve">EMP123 </t>
  </si>
  <si>
    <t xml:space="preserve">EMP124 </t>
  </si>
  <si>
    <t xml:space="preserve">EMP125 </t>
  </si>
  <si>
    <t xml:space="preserve">EMP126 </t>
  </si>
  <si>
    <t xml:space="preserve">EMP127 </t>
  </si>
  <si>
    <t xml:space="preserve">EMP128 </t>
  </si>
  <si>
    <t xml:space="preserve">EMP129 </t>
  </si>
  <si>
    <t xml:space="preserve">EMP130 </t>
  </si>
  <si>
    <t xml:space="preserve">EMP131 </t>
  </si>
  <si>
    <t xml:space="preserve">EMP132 </t>
  </si>
  <si>
    <t xml:space="preserve">EMP133 </t>
  </si>
  <si>
    <t xml:space="preserve">EMP134 </t>
  </si>
  <si>
    <t xml:space="preserve">EMP135 </t>
  </si>
  <si>
    <t xml:space="preserve">EMP136 </t>
  </si>
  <si>
    <t xml:space="preserve">EMP137 </t>
  </si>
  <si>
    <t xml:space="preserve">EMP138 </t>
  </si>
  <si>
    <t xml:space="preserve">EMP139 </t>
  </si>
  <si>
    <t xml:space="preserve">EMP140 </t>
  </si>
  <si>
    <t xml:space="preserve">EMP141 </t>
  </si>
  <si>
    <t xml:space="preserve">EMP142 </t>
  </si>
  <si>
    <t xml:space="preserve">EMP143 </t>
  </si>
  <si>
    <t xml:space="preserve">EMP144 </t>
  </si>
  <si>
    <t xml:space="preserve">EMP145 </t>
  </si>
  <si>
    <t xml:space="preserve">EMP146 </t>
  </si>
  <si>
    <t xml:space="preserve">EMP147 </t>
  </si>
  <si>
    <t xml:space="preserve">EMP148 </t>
  </si>
  <si>
    <t xml:space="preserve">EMP149 </t>
  </si>
  <si>
    <t xml:space="preserve">EMP150 </t>
  </si>
  <si>
    <t xml:space="preserve">EMP151 </t>
  </si>
  <si>
    <t xml:space="preserve">EMP152 </t>
  </si>
  <si>
    <t xml:space="preserve">EMP153 </t>
  </si>
  <si>
    <t xml:space="preserve">EMP154 </t>
  </si>
  <si>
    <t xml:space="preserve">EMP155 </t>
  </si>
  <si>
    <t xml:space="preserve">EMP156 </t>
  </si>
  <si>
    <t xml:space="preserve">EMP157 </t>
  </si>
  <si>
    <t xml:space="preserve">EMP158 </t>
  </si>
  <si>
    <t xml:space="preserve">EMP159 </t>
  </si>
  <si>
    <t xml:space="preserve">EMP160 </t>
  </si>
  <si>
    <t xml:space="preserve">EMP161 </t>
  </si>
  <si>
    <t xml:space="preserve">EMP162 </t>
  </si>
  <si>
    <t xml:space="preserve">EMP163 </t>
  </si>
  <si>
    <t xml:space="preserve">EMP164 </t>
  </si>
  <si>
    <t xml:space="preserve">EMP165 </t>
  </si>
  <si>
    <t xml:space="preserve">EMP166 </t>
  </si>
  <si>
    <t xml:space="preserve">EMP167 </t>
  </si>
  <si>
    <t xml:space="preserve">EMP168 </t>
  </si>
  <si>
    <t xml:space="preserve">EMP169 </t>
  </si>
  <si>
    <t xml:space="preserve">EMP170 </t>
  </si>
  <si>
    <t xml:space="preserve">EMP171 </t>
  </si>
  <si>
    <t xml:space="preserve">EMP172 </t>
  </si>
  <si>
    <t xml:space="preserve">EMP173 </t>
  </si>
  <si>
    <t xml:space="preserve">EMP174 </t>
  </si>
  <si>
    <t xml:space="preserve">EMP175 </t>
  </si>
  <si>
    <t xml:space="preserve">EMP176 </t>
  </si>
  <si>
    <t xml:space="preserve">EMP177 </t>
  </si>
  <si>
    <t xml:space="preserve">EMP178 </t>
  </si>
  <si>
    <t xml:space="preserve">EMP179 </t>
  </si>
  <si>
    <t xml:space="preserve">EMP180 </t>
  </si>
  <si>
    <t xml:space="preserve">EMP181 </t>
  </si>
  <si>
    <t xml:space="preserve">EMP182 </t>
  </si>
  <si>
    <t xml:space="preserve">EMP183 </t>
  </si>
  <si>
    <t xml:space="preserve">EMP184 </t>
  </si>
  <si>
    <t xml:space="preserve">EMP185 </t>
  </si>
  <si>
    <t xml:space="preserve">EMP186 </t>
  </si>
  <si>
    <t xml:space="preserve">EMP187 </t>
  </si>
  <si>
    <t xml:space="preserve">EMP188 </t>
  </si>
  <si>
    <t xml:space="preserve">EMP189 </t>
  </si>
  <si>
    <t xml:space="preserve">EMP190 </t>
  </si>
  <si>
    <t xml:space="preserve">EMP191 </t>
  </si>
  <si>
    <t xml:space="preserve">EMP192 </t>
  </si>
  <si>
    <t xml:space="preserve">EMP193 </t>
  </si>
  <si>
    <t xml:space="preserve">EMP194 </t>
  </si>
  <si>
    <t xml:space="preserve">EMP195 </t>
  </si>
  <si>
    <t xml:space="preserve">EMP196 </t>
  </si>
  <si>
    <t xml:space="preserve">EMP197 </t>
  </si>
  <si>
    <t xml:space="preserve">EMP198 </t>
  </si>
  <si>
    <t xml:space="preserve">EMP199 </t>
  </si>
  <si>
    <t xml:space="preserve">EMP200 </t>
  </si>
  <si>
    <t xml:space="preserve">EMP201 </t>
  </si>
  <si>
    <t xml:space="preserve">EMP202 </t>
  </si>
  <si>
    <t xml:space="preserve">EMP203 </t>
  </si>
  <si>
    <t xml:space="preserve">EMP204 </t>
  </si>
  <si>
    <t xml:space="preserve">EMP205 </t>
  </si>
  <si>
    <t xml:space="preserve">EMP206 </t>
  </si>
  <si>
    <t xml:space="preserve">EMP207 </t>
  </si>
  <si>
    <t xml:space="preserve">EMP208 </t>
  </si>
  <si>
    <t xml:space="preserve">EMP209 </t>
  </si>
  <si>
    <t xml:space="preserve">EMP210 </t>
  </si>
  <si>
    <t xml:space="preserve">EMP211 </t>
  </si>
  <si>
    <t xml:space="preserve">EMP212 </t>
  </si>
  <si>
    <t xml:space="preserve">EMP213 </t>
  </si>
  <si>
    <t xml:space="preserve">EMP214 </t>
  </si>
  <si>
    <t xml:space="preserve">EMP215 </t>
  </si>
  <si>
    <t xml:space="preserve">EMP216 </t>
  </si>
  <si>
    <t xml:space="preserve">EMP217 </t>
  </si>
  <si>
    <t xml:space="preserve">EMP218 </t>
  </si>
  <si>
    <t xml:space="preserve">EMP219 </t>
  </si>
  <si>
    <t xml:space="preserve">EMP220 </t>
  </si>
  <si>
    <t xml:space="preserve">EMP221 </t>
  </si>
  <si>
    <t xml:space="preserve">EMP222 </t>
  </si>
  <si>
    <t xml:space="preserve">EMP223 </t>
  </si>
  <si>
    <t xml:space="preserve">EMP224 </t>
  </si>
  <si>
    <t xml:space="preserve">EMP225 </t>
  </si>
  <si>
    <t xml:space="preserve">EMP226 </t>
  </si>
  <si>
    <t xml:space="preserve">EMP227 </t>
  </si>
  <si>
    <t xml:space="preserve">EMP228 </t>
  </si>
  <si>
    <t xml:space="preserve">EMP229 </t>
  </si>
  <si>
    <t xml:space="preserve">EMP230 </t>
  </si>
  <si>
    <t xml:space="preserve">EMP231 </t>
  </si>
  <si>
    <t xml:space="preserve">EMP232 </t>
  </si>
  <si>
    <t xml:space="preserve">EMP233 </t>
  </si>
  <si>
    <t xml:space="preserve">EMP234 </t>
  </si>
  <si>
    <t xml:space="preserve">EMP235 </t>
  </si>
  <si>
    <t xml:space="preserve">EMP236 </t>
  </si>
  <si>
    <t xml:space="preserve">EMP237 </t>
  </si>
  <si>
    <t xml:space="preserve">EMP238 </t>
  </si>
  <si>
    <t xml:space="preserve">EMP239 </t>
  </si>
  <si>
    <t xml:space="preserve">EMP240 </t>
  </si>
  <si>
    <t xml:space="preserve">EMP241 </t>
  </si>
  <si>
    <t xml:space="preserve">EMP242 </t>
  </si>
  <si>
    <t xml:space="preserve">EMP243 </t>
  </si>
  <si>
    <t xml:space="preserve">EMP244 </t>
  </si>
  <si>
    <t xml:space="preserve">EMP245 </t>
  </si>
  <si>
    <t xml:space="preserve">EMP246 </t>
  </si>
  <si>
    <t xml:space="preserve">EMP247 </t>
  </si>
  <si>
    <t xml:space="preserve">EMP248 </t>
  </si>
  <si>
    <t xml:space="preserve">EMP249 </t>
  </si>
  <si>
    <t xml:space="preserve">EMP250 </t>
  </si>
  <si>
    <t xml:space="preserve">EMP251 </t>
  </si>
  <si>
    <t xml:space="preserve">EMP252 </t>
  </si>
  <si>
    <t xml:space="preserve">EMP253 </t>
  </si>
  <si>
    <t xml:space="preserve">EMP254 </t>
  </si>
  <si>
    <t xml:space="preserve">EMP255 </t>
  </si>
  <si>
    <t xml:space="preserve">EMP256 </t>
  </si>
  <si>
    <t xml:space="preserve">EMP257 </t>
  </si>
  <si>
    <t xml:space="preserve">EMP258 </t>
  </si>
  <si>
    <t xml:space="preserve">EMP259 </t>
  </si>
  <si>
    <t xml:space="preserve">EMP260 </t>
  </si>
  <si>
    <t xml:space="preserve">EMP261 </t>
  </si>
  <si>
    <t xml:space="preserve">EMP262 </t>
  </si>
  <si>
    <t xml:space="preserve">EMP263 </t>
  </si>
  <si>
    <t xml:space="preserve">EMP264 </t>
  </si>
  <si>
    <t xml:space="preserve">EMP265 </t>
  </si>
  <si>
    <t xml:space="preserve">EMP266 </t>
  </si>
  <si>
    <t xml:space="preserve">EMP267 </t>
  </si>
  <si>
    <t xml:space="preserve">EMP268 </t>
  </si>
  <si>
    <t xml:space="preserve">EMP269 </t>
  </si>
  <si>
    <t xml:space="preserve">EMP270 </t>
  </si>
  <si>
    <t xml:space="preserve">EMP271 </t>
  </si>
  <si>
    <t xml:space="preserve">EMP272 </t>
  </si>
  <si>
    <t xml:space="preserve">EMP273 </t>
  </si>
  <si>
    <t xml:space="preserve">EMP274 </t>
  </si>
  <si>
    <t xml:space="preserve">EMP275 </t>
  </si>
  <si>
    <t xml:space="preserve">EMP276 </t>
  </si>
  <si>
    <t xml:space="preserve">EMP277 </t>
  </si>
  <si>
    <t xml:space="preserve">EMP278 </t>
  </si>
  <si>
    <t xml:space="preserve">EMP279 </t>
  </si>
  <si>
    <t xml:space="preserve">EMP280 </t>
  </si>
  <si>
    <t xml:space="preserve">EMP281 </t>
  </si>
  <si>
    <t xml:space="preserve">EMP282 </t>
  </si>
  <si>
    <t xml:space="preserve">EMP283 </t>
  </si>
  <si>
    <t xml:space="preserve">EMP284 </t>
  </si>
  <si>
    <t xml:space="preserve">EMP285 </t>
  </si>
  <si>
    <t xml:space="preserve">EMP286 </t>
  </si>
  <si>
    <t xml:space="preserve">EMP287 </t>
  </si>
  <si>
    <t xml:space="preserve">EMP288 </t>
  </si>
  <si>
    <t xml:space="preserve">EMP289 </t>
  </si>
  <si>
    <t xml:space="preserve">EMP290 </t>
  </si>
  <si>
    <t xml:space="preserve">EMP291 </t>
  </si>
  <si>
    <t xml:space="preserve">EMP292 </t>
  </si>
  <si>
    <t xml:space="preserve">EMP293 </t>
  </si>
  <si>
    <t xml:space="preserve">EMP294 </t>
  </si>
  <si>
    <t xml:space="preserve">EMP295 </t>
  </si>
  <si>
    <t xml:space="preserve">EMP296 </t>
  </si>
  <si>
    <t xml:space="preserve">EMP297 </t>
  </si>
  <si>
    <t xml:space="preserve">EMP298 </t>
  </si>
  <si>
    <t xml:space="preserve">EMP299 </t>
  </si>
  <si>
    <t xml:space="preserve">EMP300 </t>
  </si>
  <si>
    <t xml:space="preserve">EMP301 </t>
  </si>
  <si>
    <t xml:space="preserve">EMP302 </t>
  </si>
  <si>
    <t xml:space="preserve">EMP303 </t>
  </si>
  <si>
    <t xml:space="preserve">EMP304 </t>
  </si>
  <si>
    <t xml:space="preserve">EMP305 </t>
  </si>
  <si>
    <t xml:space="preserve">EMP306 </t>
  </si>
  <si>
    <t xml:space="preserve">EMP307 </t>
  </si>
  <si>
    <t xml:space="preserve">EMP308 </t>
  </si>
  <si>
    <t xml:space="preserve">EMP309 </t>
  </si>
  <si>
    <t xml:space="preserve">EMP310 </t>
  </si>
  <si>
    <t xml:space="preserve">EMP311 </t>
  </si>
  <si>
    <t xml:space="preserve">EMP312 </t>
  </si>
  <si>
    <t xml:space="preserve">EMP313 </t>
  </si>
  <si>
    <t xml:space="preserve">EMP314 </t>
  </si>
  <si>
    <t xml:space="preserve">EMP315 </t>
  </si>
  <si>
    <t xml:space="preserve">EMP316 </t>
  </si>
  <si>
    <t xml:space="preserve">EMP317 </t>
  </si>
  <si>
    <t xml:space="preserve">EMP318 </t>
  </si>
  <si>
    <t xml:space="preserve">EMP319 </t>
  </si>
  <si>
    <t xml:space="preserve">EMP320 </t>
  </si>
  <si>
    <t xml:space="preserve">EMP321 </t>
  </si>
  <si>
    <t xml:space="preserve">EMP322 </t>
  </si>
  <si>
    <t xml:space="preserve">EMP323 </t>
  </si>
  <si>
    <t xml:space="preserve">EMP324 </t>
  </si>
  <si>
    <t xml:space="preserve">EMP325 </t>
  </si>
  <si>
    <t xml:space="preserve">EMP326 </t>
  </si>
  <si>
    <t xml:space="preserve">EMP327 </t>
  </si>
  <si>
    <t xml:space="preserve">EMP328 </t>
  </si>
  <si>
    <t xml:space="preserve">EMP329 </t>
  </si>
  <si>
    <t xml:space="preserve">EMP330 </t>
  </si>
  <si>
    <t xml:space="preserve">EMP331 </t>
  </si>
  <si>
    <t xml:space="preserve">EMP332 </t>
  </si>
  <si>
    <t xml:space="preserve">EMP333 </t>
  </si>
  <si>
    <t xml:space="preserve">EMP334 </t>
  </si>
  <si>
    <t xml:space="preserve">EMP335 </t>
  </si>
  <si>
    <t xml:space="preserve">EMP336 </t>
  </si>
  <si>
    <t xml:space="preserve">EMP337 </t>
  </si>
  <si>
    <t xml:space="preserve">EMP338 </t>
  </si>
  <si>
    <t xml:space="preserve">EMP339 </t>
  </si>
  <si>
    <t xml:space="preserve">EMP340 </t>
  </si>
  <si>
    <t xml:space="preserve">EMP341 </t>
  </si>
  <si>
    <t xml:space="preserve">EMP342 </t>
  </si>
  <si>
    <t xml:space="preserve">EMP343 </t>
  </si>
  <si>
    <t xml:space="preserve">EMP344 </t>
  </si>
  <si>
    <t xml:space="preserve">EMP345 </t>
  </si>
  <si>
    <t xml:space="preserve">EMP346 </t>
  </si>
  <si>
    <t xml:space="preserve">EMP347 </t>
  </si>
  <si>
    <t xml:space="preserve">EMP348 </t>
  </si>
  <si>
    <t xml:space="preserve">EMP349 </t>
  </si>
  <si>
    <t xml:space="preserve">EMP350 </t>
  </si>
  <si>
    <t xml:space="preserve">EMP351 </t>
  </si>
  <si>
    <t xml:space="preserve">EMP352 </t>
  </si>
  <si>
    <t xml:space="preserve">EMP353 </t>
  </si>
  <si>
    <t xml:space="preserve">EMP354 </t>
  </si>
  <si>
    <t xml:space="preserve">EMP355 </t>
  </si>
  <si>
    <t xml:space="preserve">EMP356 </t>
  </si>
  <si>
    <t xml:space="preserve">EMP357 </t>
  </si>
  <si>
    <t xml:space="preserve">EMP358 </t>
  </si>
  <si>
    <t xml:space="preserve">EMP359 </t>
  </si>
  <si>
    <t xml:space="preserve">EMP360 </t>
  </si>
  <si>
    <t xml:space="preserve">EMP361 </t>
  </si>
  <si>
    <t xml:space="preserve">EMP362 </t>
  </si>
  <si>
    <t xml:space="preserve">EMP363 </t>
  </si>
  <si>
    <t xml:space="preserve">EMP364 </t>
  </si>
  <si>
    <t xml:space="preserve">EMP365 </t>
  </si>
  <si>
    <t xml:space="preserve">EMP366 </t>
  </si>
  <si>
    <t xml:space="preserve">EMP367 </t>
  </si>
  <si>
    <t xml:space="preserve">EMP368 </t>
  </si>
  <si>
    <t xml:space="preserve">EMP369 </t>
  </si>
  <si>
    <t xml:space="preserve">EMP370 </t>
  </si>
  <si>
    <t xml:space="preserve">EMP371 </t>
  </si>
  <si>
    <t xml:space="preserve">EMP372 </t>
  </si>
  <si>
    <t xml:space="preserve">EMP373 </t>
  </si>
  <si>
    <t xml:space="preserve">EMP374 </t>
  </si>
  <si>
    <t xml:space="preserve">EMP375 </t>
  </si>
  <si>
    <t xml:space="preserve">EMP376 </t>
  </si>
  <si>
    <t xml:space="preserve">EMP377 </t>
  </si>
  <si>
    <t xml:space="preserve">EMP378 </t>
  </si>
  <si>
    <t xml:space="preserve">EMP379 </t>
  </si>
  <si>
    <t xml:space="preserve">EMP380 </t>
  </si>
  <si>
    <t xml:space="preserve">EMP381 </t>
  </si>
  <si>
    <t xml:space="preserve">EMP382 </t>
  </si>
  <si>
    <t xml:space="preserve">EMP383 </t>
  </si>
  <si>
    <t xml:space="preserve">EMP384 </t>
  </si>
  <si>
    <t xml:space="preserve">EMP385 </t>
  </si>
  <si>
    <t xml:space="preserve">EMP386 </t>
  </si>
  <si>
    <t xml:space="preserve">EMP387 </t>
  </si>
  <si>
    <t xml:space="preserve">EMP388 </t>
  </si>
  <si>
    <t xml:space="preserve">EMP389 </t>
  </si>
  <si>
    <t xml:space="preserve">EMP390 </t>
  </si>
  <si>
    <t xml:space="preserve">EMP391 </t>
  </si>
  <si>
    <t xml:space="preserve">EMP392 </t>
  </si>
  <si>
    <t xml:space="preserve">EMP393 </t>
  </si>
  <si>
    <t xml:space="preserve">EMP394 </t>
  </si>
  <si>
    <t xml:space="preserve">EMP395 </t>
  </si>
  <si>
    <t xml:space="preserve">EMP396 </t>
  </si>
  <si>
    <t xml:space="preserve">EMP397 </t>
  </si>
  <si>
    <t xml:space="preserve">EMP398 </t>
  </si>
  <si>
    <t xml:space="preserve">EMP399 </t>
  </si>
  <si>
    <t xml:space="preserve">EMP400 </t>
  </si>
  <si>
    <t xml:space="preserve">EMP401 </t>
  </si>
  <si>
    <t xml:space="preserve">EMP402 </t>
  </si>
  <si>
    <t xml:space="preserve">EMP403 </t>
  </si>
  <si>
    <t xml:space="preserve">EMP404 </t>
  </si>
  <si>
    <t xml:space="preserve">EMP405 </t>
  </si>
  <si>
    <t xml:space="preserve">EMP406 </t>
  </si>
  <si>
    <t xml:space="preserve">EMP407 </t>
  </si>
  <si>
    <t xml:space="preserve">EMP408 </t>
  </si>
  <si>
    <t xml:space="preserve">EMP409 </t>
  </si>
  <si>
    <t xml:space="preserve">EMP410 </t>
  </si>
  <si>
    <t xml:space="preserve">EMP411 </t>
  </si>
  <si>
    <t xml:space="preserve">EMP412 </t>
  </si>
  <si>
    <t xml:space="preserve">EMP413 </t>
  </si>
  <si>
    <t xml:space="preserve">EMP414 </t>
  </si>
  <si>
    <t xml:space="preserve">EMP415 </t>
  </si>
  <si>
    <t xml:space="preserve">EMP416 </t>
  </si>
  <si>
    <t xml:space="preserve">EMP417 </t>
  </si>
  <si>
    <t xml:space="preserve">EMP418 </t>
  </si>
  <si>
    <t xml:space="preserve">EMP419 </t>
  </si>
  <si>
    <t xml:space="preserve">EMP420 </t>
  </si>
  <si>
    <t xml:space="preserve">EMP421 </t>
  </si>
  <si>
    <t xml:space="preserve">EMP422 </t>
  </si>
  <si>
    <t xml:space="preserve">EMP423 </t>
  </si>
  <si>
    <t xml:space="preserve">EMP424 </t>
  </si>
  <si>
    <t xml:space="preserve">EMP425 </t>
  </si>
  <si>
    <t xml:space="preserve">EMP426 </t>
  </si>
  <si>
    <t xml:space="preserve">EMP427 </t>
  </si>
  <si>
    <t xml:space="preserve">EMP428 </t>
  </si>
  <si>
    <t xml:space="preserve">EMP429 </t>
  </si>
  <si>
    <t xml:space="preserve">EMP430 </t>
  </si>
  <si>
    <t xml:space="preserve">EMP431 </t>
  </si>
  <si>
    <t xml:space="preserve">EMP432 </t>
  </si>
  <si>
    <t xml:space="preserve">EMP433 </t>
  </si>
  <si>
    <t xml:space="preserve">EMP434 </t>
  </si>
  <si>
    <t xml:space="preserve">EMP435 </t>
  </si>
  <si>
    <t xml:space="preserve">EMP436 </t>
  </si>
  <si>
    <t xml:space="preserve">EMP437 </t>
  </si>
  <si>
    <t xml:space="preserve">EMP438 </t>
  </si>
  <si>
    <t xml:space="preserve">EMP439 </t>
  </si>
  <si>
    <t xml:space="preserve">EMP440 </t>
  </si>
  <si>
    <t xml:space="preserve">EMP441 </t>
  </si>
  <si>
    <t xml:space="preserve">EMP442 </t>
  </si>
  <si>
    <t xml:space="preserve">EMP443 </t>
  </si>
  <si>
    <t xml:space="preserve">EMP444 </t>
  </si>
  <si>
    <t xml:space="preserve">EMP445 </t>
  </si>
  <si>
    <t xml:space="preserve">EMP446 </t>
  </si>
  <si>
    <t xml:space="preserve">EMP447 </t>
  </si>
  <si>
    <t xml:space="preserve">EMP448 </t>
  </si>
  <si>
    <t xml:space="preserve">EMP449 </t>
  </si>
  <si>
    <t xml:space="preserve">EMP450 </t>
  </si>
  <si>
    <t xml:space="preserve">EMP451 </t>
  </si>
  <si>
    <t xml:space="preserve">EMP452 </t>
  </si>
  <si>
    <t xml:space="preserve">EMP453 </t>
  </si>
  <si>
    <t xml:space="preserve">EMP454 </t>
  </si>
  <si>
    <t xml:space="preserve">EMP455 </t>
  </si>
  <si>
    <t xml:space="preserve">EMP456 </t>
  </si>
  <si>
    <t xml:space="preserve">EMP457 </t>
  </si>
  <si>
    <t xml:space="preserve">EMP458 </t>
  </si>
  <si>
    <t xml:space="preserve">EMP459 </t>
  </si>
  <si>
    <t xml:space="preserve">EMP460 </t>
  </si>
  <si>
    <t xml:space="preserve">EMP461 </t>
  </si>
  <si>
    <t xml:space="preserve">EMP462 </t>
  </si>
  <si>
    <t xml:space="preserve">EMP463 </t>
  </si>
  <si>
    <t xml:space="preserve">EMP464 </t>
  </si>
  <si>
    <t xml:space="preserve">EMP465 </t>
  </si>
  <si>
    <t xml:space="preserve">EMP466 </t>
  </si>
  <si>
    <t xml:space="preserve">EMP467 </t>
  </si>
  <si>
    <t xml:space="preserve">EMP468 </t>
  </si>
  <si>
    <t xml:space="preserve">EMP469 </t>
  </si>
  <si>
    <t xml:space="preserve">EMP470 </t>
  </si>
  <si>
    <t xml:space="preserve">EMP471 </t>
  </si>
  <si>
    <t xml:space="preserve">EMP472 </t>
  </si>
  <si>
    <t xml:space="preserve">EMP473 </t>
  </si>
  <si>
    <t xml:space="preserve">EMP474 </t>
  </si>
  <si>
    <t xml:space="preserve">EMP475 </t>
  </si>
  <si>
    <t xml:space="preserve">EMP476 </t>
  </si>
  <si>
    <t xml:space="preserve">EMP477 </t>
  </si>
  <si>
    <t xml:space="preserve">EMP478 </t>
  </si>
  <si>
    <t xml:space="preserve">EMP479 </t>
  </si>
  <si>
    <t xml:space="preserve">EMP480 </t>
  </si>
  <si>
    <t xml:space="preserve">EMP481 </t>
  </si>
  <si>
    <t xml:space="preserve">EMP482 </t>
  </si>
  <si>
    <t xml:space="preserve">EMP483 </t>
  </si>
  <si>
    <t xml:space="preserve">EMP484 </t>
  </si>
  <si>
    <t xml:space="preserve">EMP485 </t>
  </si>
  <si>
    <t xml:space="preserve">EMP486 </t>
  </si>
  <si>
    <t xml:space="preserve">EMP487 </t>
  </si>
  <si>
    <t xml:space="preserve">EMP488 </t>
  </si>
  <si>
    <t xml:space="preserve">EMP489 </t>
  </si>
  <si>
    <t xml:space="preserve">EMP490 </t>
  </si>
  <si>
    <t xml:space="preserve">EMP491 </t>
  </si>
  <si>
    <t xml:space="preserve">EMP492 </t>
  </si>
  <si>
    <t xml:space="preserve">EMP493 </t>
  </si>
  <si>
    <t xml:space="preserve">EMP494 </t>
  </si>
  <si>
    <t xml:space="preserve">EMP495 </t>
  </si>
  <si>
    <t xml:space="preserve">EMP496 </t>
  </si>
  <si>
    <t xml:space="preserve">EMP497 </t>
  </si>
  <si>
    <t xml:space="preserve">EMP498 </t>
  </si>
  <si>
    <t xml:space="preserve">EMP499 </t>
  </si>
  <si>
    <t xml:space="preserve">EMP500 </t>
  </si>
  <si>
    <t xml:space="preserve">EMP501 </t>
  </si>
  <si>
    <t xml:space="preserve">EMP502 </t>
  </si>
  <si>
    <t xml:space="preserve">EMP503 </t>
  </si>
  <si>
    <t xml:space="preserve">EMP504 </t>
  </si>
  <si>
    <t xml:space="preserve">EMP505 </t>
  </si>
  <si>
    <t xml:space="preserve">EMP506 </t>
  </si>
  <si>
    <t xml:space="preserve">EMP507 </t>
  </si>
  <si>
    <t xml:space="preserve">EMP508 </t>
  </si>
  <si>
    <t xml:space="preserve">EMP509 </t>
  </si>
  <si>
    <t xml:space="preserve">EMP510 </t>
  </si>
  <si>
    <t xml:space="preserve">EMP511 </t>
  </si>
  <si>
    <t xml:space="preserve">EMP512 </t>
  </si>
  <si>
    <t xml:space="preserve">EMP513 </t>
  </si>
  <si>
    <t xml:space="preserve">EMP514 </t>
  </si>
  <si>
    <t xml:space="preserve">EMP515 </t>
  </si>
  <si>
    <t xml:space="preserve">EMP516 </t>
  </si>
  <si>
    <t xml:space="preserve">EMP517 </t>
  </si>
  <si>
    <t xml:space="preserve">EMP518 </t>
  </si>
  <si>
    <t xml:space="preserve">EMP519 </t>
  </si>
  <si>
    <t xml:space="preserve">EMP520 </t>
  </si>
  <si>
    <t xml:space="preserve">EMP521 </t>
  </si>
  <si>
    <t xml:space="preserve">EMP522 </t>
  </si>
  <si>
    <t xml:space="preserve">EMP523 </t>
  </si>
  <si>
    <t xml:space="preserve">EMP524 </t>
  </si>
  <si>
    <t xml:space="preserve">EMP525 </t>
  </si>
  <si>
    <t xml:space="preserve">EMP526 </t>
  </si>
  <si>
    <t xml:space="preserve">EMP527 </t>
  </si>
  <si>
    <t xml:space="preserve">EMP528 </t>
  </si>
  <si>
    <t xml:space="preserve">EMP529 </t>
  </si>
  <si>
    <t xml:space="preserve">EMP530 </t>
  </si>
  <si>
    <t xml:space="preserve">EMP531 </t>
  </si>
  <si>
    <t xml:space="preserve">EMP532 </t>
  </si>
  <si>
    <t xml:space="preserve">EMP533 </t>
  </si>
  <si>
    <t xml:space="preserve">EMP534 </t>
  </si>
  <si>
    <t xml:space="preserve">EMP535 </t>
  </si>
  <si>
    <t xml:space="preserve">EMP536 </t>
  </si>
  <si>
    <t xml:space="preserve">EMP537 </t>
  </si>
  <si>
    <t xml:space="preserve">EMP538 </t>
  </si>
  <si>
    <t xml:space="preserve">EMP539 </t>
  </si>
  <si>
    <t xml:space="preserve">EMP540 </t>
  </si>
  <si>
    <t xml:space="preserve">EMP541 </t>
  </si>
  <si>
    <t xml:space="preserve">EMP542 </t>
  </si>
  <si>
    <t xml:space="preserve">EMP543 </t>
  </si>
  <si>
    <t xml:space="preserve">EMP544 </t>
  </si>
  <si>
    <t xml:space="preserve">EMP545 </t>
  </si>
  <si>
    <t xml:space="preserve">EMP546 </t>
  </si>
  <si>
    <t xml:space="preserve">EMP547 </t>
  </si>
  <si>
    <t xml:space="preserve">EMP548 </t>
  </si>
  <si>
    <t xml:space="preserve">EMP549 </t>
  </si>
  <si>
    <t xml:space="preserve">EMP550 </t>
  </si>
  <si>
    <t xml:space="preserve">EMP551 </t>
  </si>
  <si>
    <t xml:space="preserve">EMP552 </t>
  </si>
  <si>
    <t xml:space="preserve">EMP553 </t>
  </si>
  <si>
    <t xml:space="preserve">EMP554 </t>
  </si>
  <si>
    <t xml:space="preserve">EMP555 </t>
  </si>
  <si>
    <t xml:space="preserve">EMP556 </t>
  </si>
  <si>
    <t xml:space="preserve">EMP557 </t>
  </si>
  <si>
    <t xml:space="preserve">EMP558 </t>
  </si>
  <si>
    <t xml:space="preserve">EMP559 </t>
  </si>
  <si>
    <t xml:space="preserve">EMP560 </t>
  </si>
  <si>
    <t xml:space="preserve">EMP561 </t>
  </si>
  <si>
    <t xml:space="preserve">EMP562 </t>
  </si>
  <si>
    <t xml:space="preserve">EMP563 </t>
  </si>
  <si>
    <t xml:space="preserve">EMP564 </t>
  </si>
  <si>
    <t xml:space="preserve">EMP565 </t>
  </si>
  <si>
    <t xml:space="preserve">EMP566 </t>
  </si>
  <si>
    <t xml:space="preserve">EMP567 </t>
  </si>
  <si>
    <t xml:space="preserve">EMP568 </t>
  </si>
  <si>
    <t xml:space="preserve">EMP569 </t>
  </si>
  <si>
    <t xml:space="preserve">EMP570 </t>
  </si>
  <si>
    <t xml:space="preserve">EMP571 </t>
  </si>
  <si>
    <t xml:space="preserve">EMP572 </t>
  </si>
  <si>
    <t xml:space="preserve">EMP573 </t>
  </si>
  <si>
    <t xml:space="preserve">EMP574 </t>
  </si>
  <si>
    <t xml:space="preserve">EMP575 </t>
  </si>
  <si>
    <t xml:space="preserve">EMP576 </t>
  </si>
  <si>
    <t xml:space="preserve">EMP577 </t>
  </si>
  <si>
    <t xml:space="preserve">EMP578 </t>
  </si>
  <si>
    <t xml:space="preserve">EMP579 </t>
  </si>
  <si>
    <t xml:space="preserve">EMP580 </t>
  </si>
  <si>
    <t xml:space="preserve">EMP581 </t>
  </si>
  <si>
    <t xml:space="preserve">EMP582 </t>
  </si>
  <si>
    <t xml:space="preserve">EMP583 </t>
  </si>
  <si>
    <t xml:space="preserve">EMP584 </t>
  </si>
  <si>
    <t xml:space="preserve">EMP585 </t>
  </si>
  <si>
    <t xml:space="preserve">EMP586 </t>
  </si>
  <si>
    <t xml:space="preserve">EMP587 </t>
  </si>
  <si>
    <t xml:space="preserve">EMP588 </t>
  </si>
  <si>
    <t xml:space="preserve">EMP589 </t>
  </si>
  <si>
    <t xml:space="preserve">EMP590 </t>
  </si>
  <si>
    <t xml:space="preserve">EMP591 </t>
  </si>
  <si>
    <t xml:space="preserve">EMP592 </t>
  </si>
  <si>
    <t xml:space="preserve">EMP593 </t>
  </si>
  <si>
    <t xml:space="preserve">EMP594 </t>
  </si>
  <si>
    <t xml:space="preserve">EMP595 </t>
  </si>
  <si>
    <t xml:space="preserve">EMP596 </t>
  </si>
  <si>
    <t xml:space="preserve">EMP597 </t>
  </si>
  <si>
    <t xml:space="preserve">EMP598 </t>
  </si>
  <si>
    <t xml:space="preserve">EMP599 </t>
  </si>
  <si>
    <t xml:space="preserve">EMP600 </t>
  </si>
  <si>
    <t xml:space="preserve">EMP601 </t>
  </si>
  <si>
    <t xml:space="preserve">EMP602 </t>
  </si>
  <si>
    <t xml:space="preserve">EMP603 </t>
  </si>
  <si>
    <t xml:space="preserve">EMP604 </t>
  </si>
  <si>
    <t xml:space="preserve">EMP605 </t>
  </si>
  <si>
    <t xml:space="preserve">EMP606 </t>
  </si>
  <si>
    <t xml:space="preserve">EMP607 </t>
  </si>
  <si>
    <t xml:space="preserve">EMP608 </t>
  </si>
  <si>
    <t xml:space="preserve">EMP609 </t>
  </si>
  <si>
    <t xml:space="preserve">EMP610 </t>
  </si>
  <si>
    <t xml:space="preserve">EMP611 </t>
  </si>
  <si>
    <t xml:space="preserve">EMP612 </t>
  </si>
  <si>
    <t xml:space="preserve">EMP613 </t>
  </si>
  <si>
    <t xml:space="preserve">EMP614 </t>
  </si>
  <si>
    <t xml:space="preserve">EMP615 </t>
  </si>
  <si>
    <t xml:space="preserve">EMP616 </t>
  </si>
  <si>
    <t xml:space="preserve">EMP617 </t>
  </si>
  <si>
    <t xml:space="preserve">EMP618 </t>
  </si>
  <si>
    <t xml:space="preserve">EMP619 </t>
  </si>
  <si>
    <t xml:space="preserve">EMP620 </t>
  </si>
  <si>
    <t xml:space="preserve">EMP621 </t>
  </si>
  <si>
    <t xml:space="preserve">EMP622 </t>
  </si>
  <si>
    <t xml:space="preserve">EMP623 </t>
  </si>
  <si>
    <t xml:space="preserve">EMP624 </t>
  </si>
  <si>
    <t xml:space="preserve">EMP625 </t>
  </si>
  <si>
    <t xml:space="preserve">EMP626 </t>
  </si>
  <si>
    <t xml:space="preserve">EMP627 </t>
  </si>
  <si>
    <t xml:space="preserve">EMP628 </t>
  </si>
  <si>
    <t xml:space="preserve">EMP629 </t>
  </si>
  <si>
    <t xml:space="preserve">EMP630 </t>
  </si>
  <si>
    <t xml:space="preserve">EMP631 </t>
  </si>
  <si>
    <t xml:space="preserve">EMP632 </t>
  </si>
  <si>
    <t xml:space="preserve">EMP633 </t>
  </si>
  <si>
    <t xml:space="preserve">EMP634 </t>
  </si>
  <si>
    <t xml:space="preserve">EMP635 </t>
  </si>
  <si>
    <t xml:space="preserve">EMP636 </t>
  </si>
  <si>
    <t xml:space="preserve">EMP637 </t>
  </si>
  <si>
    <t xml:space="preserve">EMP638 </t>
  </si>
  <si>
    <t xml:space="preserve">EMP639 </t>
  </si>
  <si>
    <t xml:space="preserve">EMP640 </t>
  </si>
  <si>
    <t xml:space="preserve">EMP641 </t>
  </si>
  <si>
    <t xml:space="preserve">EMP642 </t>
  </si>
  <si>
    <t xml:space="preserve">EMP643 </t>
  </si>
  <si>
    <t xml:space="preserve">EMP644 </t>
  </si>
  <si>
    <t xml:space="preserve">EMP645 </t>
  </si>
  <si>
    <t xml:space="preserve">EMP646 </t>
  </si>
  <si>
    <t xml:space="preserve">EMP647 </t>
  </si>
  <si>
    <t xml:space="preserve">EMP648 </t>
  </si>
  <si>
    <t xml:space="preserve">EMP649 </t>
  </si>
  <si>
    <t xml:space="preserve">EMP650 </t>
  </si>
  <si>
    <t xml:space="preserve">EMP651 </t>
  </si>
  <si>
    <t xml:space="preserve">EMP652 </t>
  </si>
  <si>
    <t xml:space="preserve">EMP653 </t>
  </si>
  <si>
    <t xml:space="preserve">EMP654 </t>
  </si>
  <si>
    <t xml:space="preserve">EMP655 </t>
  </si>
  <si>
    <t xml:space="preserve">EMP656 </t>
  </si>
  <si>
    <t xml:space="preserve">EMP657 </t>
  </si>
  <si>
    <t xml:space="preserve">EMP658 </t>
  </si>
  <si>
    <t xml:space="preserve">EMP659 </t>
  </si>
  <si>
    <t xml:space="preserve">EMP660 </t>
  </si>
  <si>
    <t xml:space="preserve">EMP661 </t>
  </si>
  <si>
    <t xml:space="preserve">EMP662 </t>
  </si>
  <si>
    <t xml:space="preserve">EMP663 </t>
  </si>
  <si>
    <t xml:space="preserve">EMP664 </t>
  </si>
  <si>
    <t xml:space="preserve">EMP665 </t>
  </si>
  <si>
    <t xml:space="preserve">EMP666 </t>
  </si>
  <si>
    <t xml:space="preserve">EMP667 </t>
  </si>
  <si>
    <t xml:space="preserve">EMP668 </t>
  </si>
  <si>
    <t xml:space="preserve">EMP669 </t>
  </si>
  <si>
    <t xml:space="preserve">EMP670 </t>
  </si>
  <si>
    <t xml:space="preserve">EMP671 </t>
  </si>
  <si>
    <t xml:space="preserve">EMP672 </t>
  </si>
  <si>
    <t xml:space="preserve">EMP673 </t>
  </si>
  <si>
    <t xml:space="preserve">EMP674 </t>
  </si>
  <si>
    <t xml:space="preserve">EMP675 </t>
  </si>
  <si>
    <t xml:space="preserve">EMP676 </t>
  </si>
  <si>
    <t xml:space="preserve">EMP677 </t>
  </si>
  <si>
    <t xml:space="preserve">EMP678 </t>
  </si>
  <si>
    <t xml:space="preserve">EMP679 </t>
  </si>
  <si>
    <t xml:space="preserve">EMP680 </t>
  </si>
  <si>
    <t xml:space="preserve">EMP681 </t>
  </si>
  <si>
    <t xml:space="preserve">EMP682 </t>
  </si>
  <si>
    <t xml:space="preserve">EMP683 </t>
  </si>
  <si>
    <t xml:space="preserve">EMP684 </t>
  </si>
  <si>
    <t xml:space="preserve">EMP685 </t>
  </si>
  <si>
    <t xml:space="preserve">EMP686 </t>
  </si>
  <si>
    <t xml:space="preserve">EMP687 </t>
  </si>
  <si>
    <t xml:space="preserve">EMP688 </t>
  </si>
  <si>
    <t xml:space="preserve">EMP689 </t>
  </si>
  <si>
    <t xml:space="preserve">EMP690 </t>
  </si>
  <si>
    <t xml:space="preserve">EMP691 </t>
  </si>
  <si>
    <t xml:space="preserve">EMP692 </t>
  </si>
  <si>
    <t xml:space="preserve">EMP693 </t>
  </si>
  <si>
    <t xml:space="preserve">IMP001 </t>
  </si>
  <si>
    <t xml:space="preserve">IMP002 </t>
  </si>
  <si>
    <t xml:space="preserve">IMP003 </t>
  </si>
  <si>
    <t xml:space="preserve">IMP004 </t>
  </si>
  <si>
    <t xml:space="preserve">IMP005 </t>
  </si>
  <si>
    <t xml:space="preserve">IMP006 </t>
  </si>
  <si>
    <t xml:space="preserve">IMP007 </t>
  </si>
  <si>
    <t xml:space="preserve">IMP008 </t>
  </si>
  <si>
    <t xml:space="preserve">IMP009 </t>
  </si>
  <si>
    <t xml:space="preserve">IMP010 </t>
  </si>
  <si>
    <t xml:space="preserve">IMP011 </t>
  </si>
  <si>
    <t xml:space="preserve">IMP012 </t>
  </si>
  <si>
    <t xml:space="preserve">IMP013 </t>
  </si>
  <si>
    <t xml:space="preserve">IMP014 </t>
  </si>
  <si>
    <t xml:space="preserve">IMP015 </t>
  </si>
  <si>
    <t xml:space="preserve">P10001 </t>
  </si>
  <si>
    <t xml:space="preserve">SP0001 </t>
  </si>
  <si>
    <t xml:space="preserve">SP0002 </t>
  </si>
  <si>
    <t xml:space="preserve">SS1001 </t>
  </si>
  <si>
    <t xml:space="preserve">SS1010 </t>
  </si>
  <si>
    <t xml:space="preserve">T00001 </t>
  </si>
  <si>
    <t xml:space="preserve">W10001 </t>
  </si>
  <si>
    <t>Payee - Directors</t>
  </si>
  <si>
    <t>Payee - Employees</t>
  </si>
  <si>
    <t xml:space="preserve">CODE </t>
  </si>
  <si>
    <t>PRINTING &amp; STATIONARY</t>
  </si>
  <si>
    <t>OFFICE SUPPLIES</t>
  </si>
  <si>
    <t>JANITORIAL ITEMS</t>
  </si>
  <si>
    <t>ELECTRICAL ACCESSORIES</t>
  </si>
  <si>
    <t>CARRY BAGS</t>
  </si>
  <si>
    <t>UNIFORM</t>
  </si>
  <si>
    <t>VM/CASH DESK MATEIRAL</t>
  </si>
  <si>
    <t>UTILITIES</t>
  </si>
  <si>
    <t xml:space="preserve">MEEZAN BANK LIMITED </t>
  </si>
  <si>
    <t>GRANT THORNTON ANJUM RAHMAN</t>
  </si>
  <si>
    <t>HOTEL HILLVIEW (PVT.) LTD.</t>
  </si>
  <si>
    <t>SAFE &amp; SECURE SYSTEMS</t>
  </si>
  <si>
    <t>POSTECH ENTERPRISES</t>
  </si>
  <si>
    <t>PAKO COMPUTERS</t>
  </si>
  <si>
    <t>THE FRESH DROPS</t>
  </si>
  <si>
    <t>H.N TECH SERVICES</t>
  </si>
  <si>
    <t>SUPER LINE PEST CONTROL</t>
  </si>
  <si>
    <t>NEOCOM</t>
  </si>
  <si>
    <t>KARACHI CHAMBER OF COMMERCE AND INDUSTRY</t>
  </si>
  <si>
    <t>THE AMERICAN BUSINESS COUNCIL OF PAKISTAN</t>
  </si>
  <si>
    <t>SPRINT SERVICES RAWALPINDI LIMITED</t>
  </si>
  <si>
    <t>HIMS ENTERPRISES</t>
  </si>
  <si>
    <t>WAQAS LIAQAT</t>
  </si>
  <si>
    <t>FAIZAN MUSHTAQ</t>
  </si>
  <si>
    <t>INNOVATIVE NETWORK (PVT.) LTD.</t>
  </si>
  <si>
    <t>STRATEGIC ENTERPRISES</t>
  </si>
  <si>
    <t>ALLIED RECORD MANAGEMENT CO (PVT) LTD.</t>
  </si>
  <si>
    <t>NORINCO INTERNATIONAL COOPERATION LIMITED</t>
  </si>
  <si>
    <t>POSTEX</t>
  </si>
  <si>
    <t>A10001</t>
  </si>
  <si>
    <t>ADIDAS-LUCKY ONE MALL</t>
  </si>
  <si>
    <t>A10002</t>
  </si>
  <si>
    <t>A10003</t>
  </si>
  <si>
    <t>EMP694</t>
  </si>
  <si>
    <t>SUBHAN JAVED</t>
  </si>
  <si>
    <t>EMP695</t>
  </si>
  <si>
    <t>NABRAS ZAFAR</t>
  </si>
  <si>
    <t>EMP696</t>
  </si>
  <si>
    <t>AQSA MUKHTAR</t>
  </si>
  <si>
    <t>EMP697</t>
  </si>
  <si>
    <t>ABDULLAH KAMRAN</t>
  </si>
  <si>
    <t>EMP698</t>
  </si>
  <si>
    <t>SAQLAIN ABBAS</t>
  </si>
  <si>
    <t>EMP699</t>
  </si>
  <si>
    <t>MUHAMMAD SHAHZAD S/O. SHAHID</t>
  </si>
  <si>
    <t>EMP700</t>
  </si>
  <si>
    <t>TALHA MUMTAZA</t>
  </si>
  <si>
    <t>EMP701</t>
  </si>
  <si>
    <t>SHAHID FAROOQ</t>
  </si>
  <si>
    <t>EMP702</t>
  </si>
  <si>
    <t>MUHAMMAD ANAS</t>
  </si>
  <si>
    <t>EMP703</t>
  </si>
  <si>
    <t>ALTAF HUSSAIN</t>
  </si>
  <si>
    <t>EMP704</t>
  </si>
  <si>
    <t>RAHUL ILYAS</t>
  </si>
  <si>
    <t>EMP705</t>
  </si>
  <si>
    <t>HENERRY JOHNATHAN</t>
  </si>
  <si>
    <t>EMP706</t>
  </si>
  <si>
    <t>REHMAN ZAHID</t>
  </si>
  <si>
    <t>EMP707</t>
  </si>
  <si>
    <t>MUHAMMAD HUNAIN KHAN</t>
  </si>
  <si>
    <t>EMP708</t>
  </si>
  <si>
    <t>ZOHAIB HASSAN</t>
  </si>
  <si>
    <t>EMP709</t>
  </si>
  <si>
    <t>OMER ISHAQ</t>
  </si>
  <si>
    <t>EMP710</t>
  </si>
  <si>
    <t>ZOHAIB ALI MALIK</t>
  </si>
  <si>
    <t>EMP711</t>
  </si>
  <si>
    <t>ABDULLAH LONE</t>
  </si>
  <si>
    <t>EMP712</t>
  </si>
  <si>
    <t>SAAD ALI</t>
  </si>
  <si>
    <t>EMP713</t>
  </si>
  <si>
    <t>ANAS RAZA</t>
  </si>
  <si>
    <t>EMP714</t>
  </si>
  <si>
    <t>SAMAM WAHID</t>
  </si>
  <si>
    <t>EMP715</t>
  </si>
  <si>
    <t>ZEESHAN HUSSAIN</t>
  </si>
  <si>
    <t>EMP716</t>
  </si>
  <si>
    <t>ANAS ISHTIAQ</t>
  </si>
  <si>
    <t>EMP717</t>
  </si>
  <si>
    <t>TUBA USMAN</t>
  </si>
  <si>
    <t>EMP718</t>
  </si>
  <si>
    <t>FATIMA SALEEM</t>
  </si>
  <si>
    <t>PU1001</t>
  </si>
  <si>
    <t>PU1002</t>
  </si>
  <si>
    <t>SPL POS-IWC DOLMEN TARIQ ROAD</t>
  </si>
  <si>
    <t>SPL POS-IWC DOLMEN LAHORE</t>
  </si>
  <si>
    <t>SPL POS-IWC RAWALPINDI</t>
  </si>
  <si>
    <t>SPL POS-IWC LUCKY ONE</t>
  </si>
  <si>
    <t>GL DESCRIPTION</t>
  </si>
  <si>
    <t>CONTROL ACCOUNT</t>
  </si>
  <si>
    <t>MAIN</t>
  </si>
  <si>
    <t>SUB CONTROL ACCOUNT</t>
  </si>
  <si>
    <t xml:space="preserve">SHARE PREMIUM </t>
  </si>
  <si>
    <t>CAPITAL</t>
  </si>
  <si>
    <t>LIABILITIES</t>
  </si>
  <si>
    <t>SHARE HOLDERS' EQUITY</t>
  </si>
  <si>
    <t>LONG TERM DEPOSITS P/A-SPORTS BRANDS</t>
  </si>
  <si>
    <t>LEASE LIABILITY</t>
  </si>
  <si>
    <t>TRADE CREDITORS</t>
  </si>
  <si>
    <t>BILLS PAYABLE-IMPORTS SPORTS BRANDS</t>
  </si>
  <si>
    <t>BILLS PAYABLE-IMPORTS FASHION BRANDS</t>
  </si>
  <si>
    <t>BILLS PAYABLE-IMPORTS WATCH BRNDS</t>
  </si>
  <si>
    <t xml:space="preserve">BILLS PAYABLE-LOCAL </t>
  </si>
  <si>
    <t>ACCRUED LIABILITIES</t>
  </si>
  <si>
    <t>CURRENT MATURITY OF LEASE LIABILITY</t>
  </si>
  <si>
    <t>A/P SALARIES</t>
  </si>
  <si>
    <t>A/P EMPLOYEES</t>
  </si>
  <si>
    <t>A/P EOBI</t>
  </si>
  <si>
    <t>A/P PROVIDENT FUND</t>
  </si>
  <si>
    <t>A/P SALARIES-FINAL SETTLEMENT</t>
  </si>
  <si>
    <t>A/P P.O.-PEDRO</t>
  </si>
  <si>
    <t>A/P P.O.-NIKE</t>
  </si>
  <si>
    <t>A/P P.O.-ADIDAS</t>
  </si>
  <si>
    <t>A/P P.O.-PUMA</t>
  </si>
  <si>
    <t>A/P P.O.-SPEED SPORTS</t>
  </si>
  <si>
    <t>PROVISION FOR EXPENSES</t>
  </si>
  <si>
    <t>SALES TAX PAYABLE</t>
  </si>
  <si>
    <t>SALES TAX PAYABLE-FEDERAL</t>
  </si>
  <si>
    <t>SALES TAX PAYABLE-PROVINCIAL</t>
  </si>
  <si>
    <t>DUTY &amp; TAXES PAYABLE</t>
  </si>
  <si>
    <t>SHORT TERM LOAN</t>
  </si>
  <si>
    <t>ADVANCE CUSTOMERS-UNSECURED</t>
  </si>
  <si>
    <t>ADVANCE FROM CUSTOMERS</t>
  </si>
  <si>
    <t xml:space="preserve">CURRENT ACCOUNT-CASH </t>
  </si>
  <si>
    <t xml:space="preserve">CURRENT ACCOUNT-CARDS </t>
  </si>
  <si>
    <t xml:space="preserve">CURRENT ACCOUNT-WHOLE SALES </t>
  </si>
  <si>
    <t>CURRENT ACCOUNT-AFTER SALES</t>
  </si>
  <si>
    <t>TAXATION-NET</t>
  </si>
  <si>
    <t>WORKERS'S WELFARE FUND PAYABLE</t>
  </si>
  <si>
    <t>PROVISION FOR SALES TAX</t>
  </si>
  <si>
    <t>ASSETS</t>
  </si>
  <si>
    <t xml:space="preserve">PROPERTY, PLANT AND EQUIPMENT-OWN </t>
  </si>
  <si>
    <t xml:space="preserve">LEASE HOLD IMPROVEMENTS-OWN </t>
  </si>
  <si>
    <t>CWIP-LEASE HOLD IMPROVEMENTS</t>
  </si>
  <si>
    <t>CWIP-OFFICE EQUIPMENTS</t>
  </si>
  <si>
    <t>CWIP-MOTOR VEHICLES</t>
  </si>
  <si>
    <t>CWIP-COMPUTERS</t>
  </si>
  <si>
    <t xml:space="preserve">COMPUTERS-OWN </t>
  </si>
  <si>
    <t>INTENGIBLES</t>
  </si>
  <si>
    <t>SOFTWARE</t>
  </si>
  <si>
    <t xml:space="preserve">LEASE HOLD IMPROVEMENTS-LEASED </t>
  </si>
  <si>
    <t>RIGHT OF USE ASSETS</t>
  </si>
  <si>
    <t>RIGHT OF USE ASSETS-BUILDING</t>
  </si>
  <si>
    <t>ACC. DEP. RIGHT OF ASSETS-BUILDING</t>
  </si>
  <si>
    <t>STOCK IN TRANSIT</t>
  </si>
  <si>
    <t>TRADE DEBTS-NET</t>
  </si>
  <si>
    <t xml:space="preserve">A/R-AFTER SALES   </t>
  </si>
  <si>
    <t>A/R-SPORTS BRANDS</t>
  </si>
  <si>
    <t>PROVISION FOR STOCKS</t>
  </si>
  <si>
    <t>ALLOWANCE FOR EXPECTED CREDIT LOSE</t>
  </si>
  <si>
    <t xml:space="preserve">LOAN AND ADVANCES </t>
  </si>
  <si>
    <t>ADVANCE AGAINST SALARY</t>
  </si>
  <si>
    <t>LOAN TO EMPLOYEES</t>
  </si>
  <si>
    <t>SHORT TERM DEPOSITS &amp; PREPAYMENTS</t>
  </si>
  <si>
    <t>STORES AND SUPPLIES</t>
  </si>
  <si>
    <t>DUE FROM RELATED PARTIES</t>
  </si>
  <si>
    <t>ADVANCE INCOME TAX E-COMM U/S 6A</t>
  </si>
  <si>
    <t>SALES TAX WITHHELD ON PURCHASES</t>
  </si>
  <si>
    <t>REVENUE</t>
  </si>
  <si>
    <t>SALES-NET</t>
  </si>
  <si>
    <t>COST OF SALES</t>
  </si>
  <si>
    <t xml:space="preserve">GROUP HEALTH INSURANCE </t>
  </si>
  <si>
    <t>ADMINISTRATIVE EXPENSES</t>
  </si>
  <si>
    <t>FEDERAL EXCISE DUTY</t>
  </si>
  <si>
    <t xml:space="preserve">FEDERAL EXCISE DUTY </t>
  </si>
  <si>
    <t>OFFICE AMENITIES</t>
  </si>
  <si>
    <t xml:space="preserve">STAFF BIRTHDAY </t>
  </si>
  <si>
    <t xml:space="preserve">LATE SITTING </t>
  </si>
  <si>
    <t xml:space="preserve">IFTAR ALLOWANCE </t>
  </si>
  <si>
    <t>OFFICE AMENITIES AND WELFARE</t>
  </si>
  <si>
    <t>VEHICLE RUNNING-FUEL</t>
  </si>
  <si>
    <t>VEHICLE RUNNING-MAINTENANCE</t>
  </si>
  <si>
    <t xml:space="preserve">AIR TICKET EXPENSES </t>
  </si>
  <si>
    <t xml:space="preserve">HOTEL EXPENSES </t>
  </si>
  <si>
    <t xml:space="preserve">TRAVELLING ALLOWANCE </t>
  </si>
  <si>
    <t xml:space="preserve">CONVEYANCE EXPENSES </t>
  </si>
  <si>
    <t>SHOP/BUILDING MAINTENANCE CHARGES</t>
  </si>
  <si>
    <t>SECURITY CHARGES</t>
  </si>
  <si>
    <t>CONSUMABLES</t>
  </si>
  <si>
    <t xml:space="preserve">DEPRECIATION LEASE HOLD IMPORVEMENTS-OWN </t>
  </si>
  <si>
    <t xml:space="preserve">DEPRECIATION FURNITURE, FIXTURES &amp; FITTINGS-OWN </t>
  </si>
  <si>
    <t xml:space="preserve">DEPRECIATION OFFICE EQUIPMENTS-OWN </t>
  </si>
  <si>
    <t xml:space="preserve">DEPRECIATION COMPUTERS-OWN </t>
  </si>
  <si>
    <t xml:space="preserve">DEPRECIATIONMOTOR VEHICLES-OWN </t>
  </si>
  <si>
    <t>DEPRECIATION LEASE HOLD IMPORVEMENTS-LEASED</t>
  </si>
  <si>
    <t>DEPRECIATION FURNITURE, FIXTURES &amp; FITTINGS-LEASED</t>
  </si>
  <si>
    <t>DEPRECIATION OFFICE EQUIPMENTS-LEASED</t>
  </si>
  <si>
    <t>DEPRECIATION COMPUTERS-LEASED</t>
  </si>
  <si>
    <t>DEPRECIATIONMOTOR VEHICLES-LEASED</t>
  </si>
  <si>
    <t>AMORTIZATION</t>
  </si>
  <si>
    <t>ACCUMULATED AMORTIZATION</t>
  </si>
  <si>
    <t>DEPRECIATION-RIGHT OF USE ASSETS</t>
  </si>
  <si>
    <t>DEPRECIATION-ROUA</t>
  </si>
  <si>
    <t xml:space="preserve">ADVERTISEMENT AND PROMOTIONAL EXPENSES </t>
  </si>
  <si>
    <t>ADVERTISEMENT-NEWSPAPER &amp; MAGAZINE</t>
  </si>
  <si>
    <t>DISTRIBUTION AND LOGITITICS EXPENSES</t>
  </si>
  <si>
    <t xml:space="preserve">DISTRIBUTION AND LOGISTICS E-COMMERCE </t>
  </si>
  <si>
    <t>SERVICE CENTRE ALLOCATED EXPNSES</t>
  </si>
  <si>
    <t>BANK COMMISSIONS-MERCHANT</t>
  </si>
  <si>
    <t>OTHERS</t>
  </si>
  <si>
    <t>BAD DEBTS EXPENSES</t>
  </si>
  <si>
    <t>EXPECTED CREDIT LOSE</t>
  </si>
  <si>
    <t>SELLING AND DISTRIBUTION EXPNENSES</t>
  </si>
  <si>
    <t xml:space="preserve">SALARIES, ALLOWANCES AND BENEFITS </t>
  </si>
  <si>
    <t xml:space="preserve">REPAIR AND MAINTENANCE </t>
  </si>
  <si>
    <t xml:space="preserve">MARK UP ON LOAN </t>
  </si>
  <si>
    <t xml:space="preserve">FINANCIAL CHARGES-LEASE </t>
  </si>
  <si>
    <t xml:space="preserve">INTEREST ON LEASE-ROU ASSETS </t>
  </si>
  <si>
    <t>MAINTENANCE CHARGES-FIXED</t>
  </si>
  <si>
    <t>AFTER SALES</t>
  </si>
  <si>
    <t>A/P SESSI/PESSI/IESSI</t>
  </si>
  <si>
    <t>CAPITAL GAIN</t>
  </si>
  <si>
    <t>EXCHANGE GAIN</t>
  </si>
  <si>
    <t xml:space="preserve">UNREALIZED GAIN ON INVESTMENT </t>
  </si>
  <si>
    <t xml:space="preserve">GAIN ON RENT CONCESSION </t>
  </si>
  <si>
    <t xml:space="preserve">GAIN ON DISPOSAL OF ROU ASSETS </t>
  </si>
  <si>
    <t>OTHER OPERATING EXPENSES</t>
  </si>
  <si>
    <t>CAPITAL LOSS</t>
  </si>
  <si>
    <t xml:space="preserve">EXCHANGE LOSS </t>
  </si>
  <si>
    <t xml:space="preserve">UNREALIZED LOSS ON INVESTMENT </t>
  </si>
  <si>
    <t xml:space="preserve">LOSS ON RENT CONCESSION </t>
  </si>
  <si>
    <t xml:space="preserve">LOSS ON DISPOSAL OF ROU ASSETS </t>
  </si>
  <si>
    <t>LOSS ON SALES OF PROPERTY AND EQUIPMENT</t>
  </si>
  <si>
    <t>GAIN ON SALES OF PROPERTY AND EQUIPMENT</t>
  </si>
  <si>
    <t>LOSS ON REASSESMENT OF LEASE LIABILITY</t>
  </si>
  <si>
    <t>SPEED (PRIVATE) LIMITED</t>
  </si>
  <si>
    <t>OTHER INCOME</t>
  </si>
  <si>
    <t xml:space="preserve">OTHER OPERATING INCOME </t>
  </si>
  <si>
    <t>OTHER EXPENSES</t>
  </si>
  <si>
    <t>Payee - PAYBLES</t>
  </si>
  <si>
    <t>Payee - RECEIVABLES</t>
  </si>
  <si>
    <t>Payee - LOCATIONS</t>
  </si>
  <si>
    <t>Payee - MERCHANDISE</t>
  </si>
  <si>
    <t>Payee - SALARY</t>
  </si>
  <si>
    <t>Payee - TAXES</t>
  </si>
  <si>
    <t>C00001</t>
  </si>
  <si>
    <t>MUHAMMAD GHOUSE AKBAR</t>
  </si>
  <si>
    <t>SALARY P/A - A/C TRANSFER</t>
  </si>
  <si>
    <t>CORPORATE OFFICE-SALES ADMINISTRATION</t>
  </si>
  <si>
    <t>SALARY P/A - CHEQUE</t>
  </si>
  <si>
    <t>CORPORATE OFFICE-SPORTS BRANDS</t>
  </si>
  <si>
    <t>KASHIF AZIZ KHWAJA</t>
  </si>
  <si>
    <t>CORPORATE OFFICE-SPEED SPORTS ONLINE</t>
  </si>
  <si>
    <t>DIR004</t>
  </si>
  <si>
    <t>SERVICE INDUSTIRES CAPITAL (PVT) LIMITED</t>
  </si>
  <si>
    <t>CORPORATE OFFICE-FASHION BRANDS</t>
  </si>
  <si>
    <t>CORPORATE OFFICE-PEDRO ONLINE</t>
  </si>
  <si>
    <t>C20001</t>
  </si>
  <si>
    <t>PRODUCT LINE MANAGEMENT</t>
  </si>
  <si>
    <t>C30001</t>
  </si>
  <si>
    <t>WATCH DIVISION</t>
  </si>
  <si>
    <t>C30002</t>
  </si>
  <si>
    <t>AFTER SALES SERVICE</t>
  </si>
  <si>
    <t>C40001</t>
  </si>
  <si>
    <t>LOGISTIC AREA</t>
  </si>
  <si>
    <t>T00010</t>
  </si>
  <si>
    <t>NIKE-DOLMEN CLIFTON</t>
  </si>
  <si>
    <t>N10002</t>
  </si>
  <si>
    <t>NIKE-XINHUA MALL</t>
  </si>
  <si>
    <t>N10003</t>
  </si>
  <si>
    <t>NIKE-PACKAGES MALL</t>
  </si>
  <si>
    <t>USPA</t>
  </si>
  <si>
    <t>N10004</t>
  </si>
  <si>
    <t>NIKE-CENTAURUS MALL</t>
  </si>
  <si>
    <t>DANISH DESIGN</t>
  </si>
  <si>
    <t>N10005</t>
  </si>
  <si>
    <t>NIKE-SAFA GOLD MALL</t>
  </si>
  <si>
    <t>NAUTICA</t>
  </si>
  <si>
    <t xml:space="preserve">SPEED SPORTS-THE FORUM </t>
  </si>
  <si>
    <t>IMP016</t>
  </si>
  <si>
    <t>TISSOT</t>
  </si>
  <si>
    <t>SPEED SPORTS-LUCKY ONE MALL</t>
  </si>
  <si>
    <t>IMP017</t>
  </si>
  <si>
    <t>RADO</t>
  </si>
  <si>
    <t>SS1002</t>
  </si>
  <si>
    <t>SPEED SPORTS-ZAMZAM TOWER</t>
  </si>
  <si>
    <t>IMP018</t>
  </si>
  <si>
    <t>GUESS</t>
  </si>
  <si>
    <t>SS1003</t>
  </si>
  <si>
    <t>SPEED SPORTS-FOUNTAIN AVENUE</t>
  </si>
  <si>
    <t>SS1004</t>
  </si>
  <si>
    <t>SPEED SPORTS-EMPORIUM MALL</t>
  </si>
  <si>
    <t>SS1005</t>
  </si>
  <si>
    <t>SPEED SPORTS-DOLMEN LAHORE</t>
  </si>
  <si>
    <t>SS1006</t>
  </si>
  <si>
    <t>SPEED SPORTS-SAFA GOLD MALL</t>
  </si>
  <si>
    <t>SPEED SPORTS-GIGA MALL</t>
  </si>
  <si>
    <t>SS1008</t>
  </si>
  <si>
    <t>SPEED SPORTS-MALL OF MULTAN</t>
  </si>
  <si>
    <t>SS1009</t>
  </si>
  <si>
    <t>SPEED SPORTS-LYALLPUR GALLERIA</t>
  </si>
  <si>
    <t>SPEED SPORTS-ONLINE</t>
  </si>
  <si>
    <t>ADIDAS-JINNAH ICON MALL</t>
  </si>
  <si>
    <t>ADIDAS-MADISON SQUARE MALL</t>
  </si>
  <si>
    <t>PUMA-DOLMEN LAHORE</t>
  </si>
  <si>
    <t>PUMA-UNITED MALL MULTAN</t>
  </si>
  <si>
    <t>CK1001</t>
  </si>
  <si>
    <t>C&amp;K-DOLMEN CLIFTON</t>
  </si>
  <si>
    <t>CK1002</t>
  </si>
  <si>
    <t>C&amp;K-LUCKY ONE MALL</t>
  </si>
  <si>
    <t>CK1003</t>
  </si>
  <si>
    <t>C&amp;K-EMPORIUM MALL</t>
  </si>
  <si>
    <t>CK1004</t>
  </si>
  <si>
    <t>C&amp;K-PACKAGES MALL</t>
  </si>
  <si>
    <t>CK1005</t>
  </si>
  <si>
    <t>C&amp;K-DOLMEN LAHORE</t>
  </si>
  <si>
    <t>CK1006</t>
  </si>
  <si>
    <t>C&amp;K-CENTAURUS MALL</t>
  </si>
  <si>
    <t>PEDRO-DOLMEN CLIFTON</t>
  </si>
  <si>
    <t>P10002</t>
  </si>
  <si>
    <t>PEDRO-PACKAGES MALL</t>
  </si>
  <si>
    <t>P10003</t>
  </si>
  <si>
    <t>PEDRO-DOLMEN LAHORE</t>
  </si>
  <si>
    <t>P10004</t>
  </si>
  <si>
    <t>PEDRO-ONLINE</t>
  </si>
  <si>
    <t>WATCH OUTLET-DOLMEN CLIFTON</t>
  </si>
  <si>
    <t>W10002</t>
  </si>
  <si>
    <t>WATCH OUTLET-EMPORIUM MALL</t>
  </si>
  <si>
    <t>W10003</t>
  </si>
  <si>
    <t>WATCH OUTLET-PACKAGES MALL</t>
  </si>
  <si>
    <t>W10004</t>
  </si>
  <si>
    <t>WATCH OUTLET-SAFA GOLD MALL</t>
  </si>
  <si>
    <t>OTHERS R/A</t>
  </si>
  <si>
    <t>W10005</t>
  </si>
  <si>
    <t>WATCH OUTLET-GIGA MALL</t>
  </si>
  <si>
    <t>W10006</t>
  </si>
  <si>
    <t>W10007</t>
  </si>
  <si>
    <t>W10008</t>
  </si>
  <si>
    <t>SPL POS-IWC KINGSONG MALL</t>
  </si>
  <si>
    <t>W10009</t>
  </si>
  <si>
    <t>W10010</t>
  </si>
  <si>
    <t>W10011</t>
  </si>
  <si>
    <t>SPL POS-IWC SIALKOT</t>
  </si>
  <si>
    <t>W10012</t>
  </si>
  <si>
    <t>OTHERS P/A</t>
  </si>
  <si>
    <t>SALES TAX WITHHELD ICT</t>
  </si>
  <si>
    <t>WH TAX PAYABLE-SALARY</t>
  </si>
  <si>
    <t>WH TAX PAYABLE-DIVIDEND</t>
  </si>
  <si>
    <t>WH TAX PAYABLE-GOODS</t>
  </si>
  <si>
    <t>WH TAX PAYABLE-SERVICES</t>
  </si>
  <si>
    <t>WH TAX PAYABLE-RENT</t>
  </si>
  <si>
    <t>WH TAX PAYABLE-COMMISSION</t>
  </si>
  <si>
    <t>WH TAX PAYABLE-RETAILERS</t>
  </si>
  <si>
    <t>Account Code</t>
  </si>
  <si>
    <t>Account Name</t>
  </si>
  <si>
    <t>Sub A/c Code</t>
  </si>
  <si>
    <t>Sub A/c</t>
  </si>
  <si>
    <t xml:space="preserve">Description </t>
  </si>
  <si>
    <t>Rates</t>
  </si>
  <si>
    <t>WHTax Payable-Salary</t>
  </si>
  <si>
    <t>149-Salary</t>
  </si>
  <si>
    <t>Where taxable income does not exceed  Rs. 600,000</t>
  </si>
  <si>
    <t>Rs. 0%</t>
  </si>
  <si>
    <t>Where taxable income exceeds Rs. 600,000 but does not exceed Rs. 1,200,000</t>
  </si>
  <si>
    <t>1% of the amount exceeding    Rs. 600,000</t>
  </si>
  <si>
    <t>Where taxable income exceeds Rs. 1,200,000 but does not exceed Rs. 2,200,000</t>
  </si>
  <si>
    <t>Rs 6000 + 11.00% of the amount exceeding Rs. 1,200,000</t>
  </si>
  <si>
    <t>Where taxable income exceeds Rs. 2,200,000 but does not exceed Rs. 3,200,000</t>
  </si>
  <si>
    <t>Rs. 116,000 + 23.00% of the amount exceeding Rs. 2,200,000</t>
  </si>
  <si>
    <t>Where taxable income exceeds Rs. 3,200,000 but does not exceed Rs. 4,100,000</t>
  </si>
  <si>
    <t>Rs. 346,000 + 30.00% of the amount exceeding Rs. 3,200,000</t>
  </si>
  <si>
    <t>Where taxable income exceeds Rs. 4,100,000</t>
  </si>
  <si>
    <t>Rs. 616,000 + 35.00% of the amount exceeding Rs. 4,100,000</t>
  </si>
  <si>
    <t>Where taxable income exceeds Rs. 10,000,000</t>
  </si>
  <si>
    <t>Rs. 616,000 + 35% of the amount exceeding Rs. 4,100,000 &amp; surcharge @ 9%</t>
  </si>
  <si>
    <t>WHTax Payable-Dividend</t>
  </si>
  <si>
    <t>T00002</t>
  </si>
  <si>
    <t>150-Dividend</t>
  </si>
  <si>
    <t>Real Estate Investment Trust (REIT) and cases other than those mentioned in clauses  (a), (ba), (c) and (d) of Division-I, Part-III of First Schedule</t>
  </si>
  <si>
    <t>WHTax Payable-Goods</t>
  </si>
  <si>
    <t>T00003</t>
  </si>
  <si>
    <t>153(1)(a)/2-Goods (ATL)</t>
  </si>
  <si>
    <t>Payment for Goods u/s 153(1)(a)</t>
  </si>
  <si>
    <t>T00004</t>
  </si>
  <si>
    <t>153(1)(a)/2-Goods (Non ATL)</t>
  </si>
  <si>
    <t>T00005</t>
  </si>
  <si>
    <t>153(1)(a)/29-Goods (ATL)</t>
  </si>
  <si>
    <t>T00006</t>
  </si>
  <si>
    <t>153(1)(a)/29-Goods (Non ATL)</t>
  </si>
  <si>
    <t>T00007</t>
  </si>
  <si>
    <t>153(1)(a)/30-Goods (ALT)</t>
  </si>
  <si>
    <t>Payment for Goods u/s 153(1)(a) other than companies</t>
  </si>
  <si>
    <t>T00008</t>
  </si>
  <si>
    <t>153(1)(a)/30-Goods (Non ATL)</t>
  </si>
  <si>
    <t>WHTax Payable-Services</t>
  </si>
  <si>
    <t>153(1)(b)/29-Services (ATL)</t>
  </si>
  <si>
    <t>Payment for Specified Services u/s 153(1)(b)</t>
  </si>
  <si>
    <t>T00009</t>
  </si>
  <si>
    <t>153(1)(b)/29-Services (Non ATL)</t>
  </si>
  <si>
    <t>153(1)(b)/30-Services (ATL)</t>
  </si>
  <si>
    <t>Payment for Services u/s 153(1)(b)</t>
  </si>
  <si>
    <t>T00011</t>
  </si>
  <si>
    <t>153(1)(b)/30-Services (Non ATL)</t>
  </si>
  <si>
    <t>T00012</t>
  </si>
  <si>
    <t>153(1)(b)/26-Services (ATL)</t>
  </si>
  <si>
    <t>Payment for IT/IT-enabled service u/s 153(1)(b)</t>
  </si>
  <si>
    <t>T00013</t>
  </si>
  <si>
    <t>153(1)(b)/26-Services (Non ATL)</t>
  </si>
  <si>
    <t>T00014</t>
  </si>
  <si>
    <t>153(1)(b)/11-Services (ATL)</t>
  </si>
  <si>
    <t>Payment to electronic / print media for advertising Services u/s 153(1)(b)</t>
  </si>
  <si>
    <t>T00015</t>
  </si>
  <si>
    <t>153(1)(b)/11-Services (Non ATL)</t>
  </si>
  <si>
    <t>WHTax Payable-Rent</t>
  </si>
  <si>
    <t>T00016</t>
  </si>
  <si>
    <t>155-Rent (Individual/AOP)</t>
  </si>
  <si>
    <t>Where the gross amount of rent does not exceed Rs. 300,000</t>
  </si>
  <si>
    <t>Nil</t>
  </si>
  <si>
    <t>Where the gross amount of rent exceeds Rs. 300,000 but does not exceed Rs. 600,000</t>
  </si>
  <si>
    <t>5.00% of the gross amount exceeding Rs. 300,000</t>
  </si>
  <si>
    <t>Where the gross amount of rent exceeds Rs. 600,000 but does not exceed Rs. 2,000,000</t>
  </si>
  <si>
    <t>Rs. 15,000 plus 10.00% of the gross amount exceeding Rs. 600,000</t>
  </si>
  <si>
    <t>Where the gross amount of rent exceeds Rs. 2,000,000</t>
  </si>
  <si>
    <t>Rs. 155,000 plus 25.00% of the gross amount exceeding Rs. 2,000,000</t>
  </si>
  <si>
    <t>T00017</t>
  </si>
  <si>
    <t>155-Rent (Company ATL)</t>
  </si>
  <si>
    <t>T00018</t>
  </si>
  <si>
    <t>155-Rent (Company Non ATL)</t>
  </si>
  <si>
    <t>WHTax Payble-Commission</t>
  </si>
  <si>
    <t>T00019</t>
  </si>
  <si>
    <t>233/2-Commission (ATL)</t>
  </si>
  <si>
    <t>Brokerage / Commission (others) u/s 233</t>
  </si>
  <si>
    <t>T00020</t>
  </si>
  <si>
    <t>233/2-Commission (Non ATL)</t>
  </si>
  <si>
    <t>WHTaz Payable-Retailers</t>
  </si>
  <si>
    <t>236/H-Retailers (ATL)</t>
  </si>
  <si>
    <t>236H Sales to Retailers</t>
  </si>
  <si>
    <t>T00021</t>
  </si>
  <si>
    <t>236/H-Retailers (Non ATL)</t>
  </si>
  <si>
    <t>A/P PARTIES</t>
  </si>
  <si>
    <t>THE WOODPECKER</t>
  </si>
  <si>
    <t>MULTINET PAKISTAN (PVT.) LIMITED</t>
  </si>
  <si>
    <t>MOHSIN TAYEBALY</t>
  </si>
  <si>
    <t>PRINCELY JETS (PVT) LIMITED</t>
  </si>
  <si>
    <t>SAFA MANAGEMENT SERVICES</t>
  </si>
  <si>
    <t>THE TIMES PRESS (PRIVATE) LIMITED</t>
  </si>
  <si>
    <t>IMP019</t>
  </si>
  <si>
    <t>N10001</t>
  </si>
  <si>
    <t>SPEED SPORTS-DOLMEN CLIFTON</t>
  </si>
  <si>
    <t>SS1007</t>
  </si>
  <si>
    <t>SS1011</t>
  </si>
  <si>
    <t xml:space="preserve">Supplier Information </t>
  </si>
  <si>
    <t xml:space="preserve">S.No. </t>
  </si>
  <si>
    <t>Name of Supplier</t>
  </si>
  <si>
    <t>Nature</t>
  </si>
  <si>
    <t>Address</t>
  </si>
  <si>
    <t xml:space="preserve">Contact No. </t>
  </si>
  <si>
    <t xml:space="preserve">CNIC No. </t>
  </si>
  <si>
    <t xml:space="preserve">NTN No. </t>
  </si>
  <si>
    <t xml:space="preserve">STRN No. </t>
  </si>
  <si>
    <t xml:space="preserve">SRB No. </t>
  </si>
  <si>
    <t>PRA No.</t>
  </si>
  <si>
    <t xml:space="preserve">ICT No. </t>
  </si>
  <si>
    <t>SERVICES</t>
  </si>
  <si>
    <t>EFU HOUSE, M.A JINNAH ROAD, KARACHI</t>
  </si>
  <si>
    <t>0300-8288838</t>
  </si>
  <si>
    <t>0944893-4</t>
  </si>
  <si>
    <t>Registered</t>
  </si>
  <si>
    <t>S0944893-4</t>
  </si>
  <si>
    <t>P0944893-4</t>
  </si>
  <si>
    <t>123-124 THE FORUM G-20 BLOCK-9 CLIFTON, KARACHI</t>
  </si>
  <si>
    <t>021-35831275</t>
  </si>
  <si>
    <t>0816951-9</t>
  </si>
  <si>
    <t>1200842800864</t>
  </si>
  <si>
    <t>PTCL Head Office, Room# 17, Ground Floor (Margalla Side), Ufone Tower, Plot# 55-C, Main Jinnah Avenue, Sector F-7\/1, Blue Area, Islamabad.</t>
  </si>
  <si>
    <t>0308 2894101</t>
  </si>
  <si>
    <t>0801599-6</t>
  </si>
  <si>
    <t>0701851701346</t>
  </si>
  <si>
    <t>S0801599-6</t>
  </si>
  <si>
    <t>P0801599-6</t>
  </si>
  <si>
    <t>C-36-I, Defence Commercial Market D.H.A. Society Kyc, Karachi</t>
  </si>
  <si>
    <t>021-34534454</t>
  </si>
  <si>
    <t>1019774-5</t>
  </si>
  <si>
    <t>S1019774-5</t>
  </si>
  <si>
    <t>1-A, IBC BUILDING F-8 MARKAZ MOBILINK HOUSE Islamabad</t>
  </si>
  <si>
    <t>9221-5670267 </t>
  </si>
  <si>
    <t>0802694-7</t>
  </si>
  <si>
    <t>S0802694-7</t>
  </si>
  <si>
    <t>P0802694-7</t>
  </si>
  <si>
    <t xml:space="preserve">94-C-2 Gulberg III,Lahore </t>
  </si>
  <si>
    <t>042-111786240</t>
  </si>
  <si>
    <t>38403-2204729-1</t>
  </si>
  <si>
    <t>1546691-4</t>
  </si>
  <si>
    <t>16 MALL SQUARE ZAMZAM BLOCK V ARD P-5DHA ,KARACHI</t>
  </si>
  <si>
    <t>021-35861787</t>
  </si>
  <si>
    <t>42301-9850791-6</t>
  </si>
  <si>
    <t>0292227-4</t>
  </si>
  <si>
    <t>X-394, STREET NO 9, HILL AREA, CHANESAR GOTH, MEHMOOD ABAD, KARACHI, Karachi East Jamshed Town</t>
  </si>
  <si>
    <t>0345-2193299</t>
  </si>
  <si>
    <t>42000-2342058-3</t>
  </si>
  <si>
    <t>5235515-8</t>
  </si>
  <si>
    <t>S5235515-8</t>
  </si>
  <si>
    <t>GOODS / SERVICES</t>
  </si>
  <si>
    <t>PLOT NO. 06, STREET-15, SECTOR-33/F, KORANGI NO-02, Korangi Korangi Town</t>
  </si>
  <si>
    <t>0300-0303648</t>
  </si>
  <si>
    <t>42201-2887679-4</t>
  </si>
  <si>
    <t>3531546-6</t>
  </si>
  <si>
    <t>123-124 THE FORUM G-20 BLOCK-9 KHAYABAN-E-JAMI CLIFTON</t>
  </si>
  <si>
    <t>1019083-0</t>
  </si>
  <si>
    <t>S1019083-0</t>
  </si>
  <si>
    <t>46-E, E-MARKET, BLOCK-6, P.E.C.H.S.,46-E MARKET BLOCK-6 P.E.C.H.S,46-E MARKET BLOCK-6 P.E.C.H.S, PLAZA SQUARE, KARACHI</t>
  </si>
  <si>
    <t>0345-2007712</t>
  </si>
  <si>
    <t>2824502-4</t>
  </si>
  <si>
    <t>1200980800191</t>
  </si>
  <si>
    <t>S2824502-4</t>
  </si>
  <si>
    <t>P2824502-4</t>
  </si>
  <si>
    <t>GOODS</t>
  </si>
  <si>
    <t>Off# 2, 1st Floor, 3 Sister Lodge, Plote# 3/3, Commercial Area Bahadurabad, Karachi.</t>
  </si>
  <si>
    <t>021-38165643</t>
  </si>
  <si>
    <t>42201-8491399-0</t>
  </si>
  <si>
    <t>7269290-8</t>
  </si>
  <si>
    <t>S7269290-8</t>
  </si>
  <si>
    <t>H No 64 Main Gulberg,Lahore</t>
  </si>
  <si>
    <t>0300-8416198</t>
  </si>
  <si>
    <t>35202-7393725-5</t>
  </si>
  <si>
    <t>1676773-0</t>
  </si>
  <si>
    <t>F-17/A, Hub River Road, S.I.T.E, Karachi-75700</t>
  </si>
  <si>
    <t>0321-2598502</t>
  </si>
  <si>
    <t>0814904-6</t>
  </si>
  <si>
    <t>1100220100346</t>
  </si>
  <si>
    <t>S0814904-6</t>
  </si>
  <si>
    <t>BUILDING NO. 64-C, 2ND FLOOR, 21ST COMMERCIAL STREET, PHASE-II, EXTN. D.H.A., Karachi South Saddar Town</t>
  </si>
  <si>
    <t>021-35385205</t>
  </si>
  <si>
    <t>42201-0139906-1</t>
  </si>
  <si>
    <t>2922455-1</t>
  </si>
  <si>
    <t>S2922455-1</t>
  </si>
  <si>
    <t>50-A/3 STREET # 2 GULSHAN-E-FAISAL BATH ISLAND, KARACHI</t>
  </si>
  <si>
    <t>0347-2223232</t>
  </si>
  <si>
    <t>2868087-1</t>
  </si>
  <si>
    <t>S2868087-1</t>
  </si>
  <si>
    <t>P2868087-1</t>
  </si>
  <si>
    <t>39-K PECHS BLOCK 6, Karachi</t>
  </si>
  <si>
    <t>0301-8283394</t>
  </si>
  <si>
    <t>3269849-6</t>
  </si>
  <si>
    <t>S3269849-6</t>
  </si>
  <si>
    <t>P3269849-6</t>
  </si>
  <si>
    <t>1D-203,SECTOR#30,KORANGI INDUSTRIAL AREA, KARACHI</t>
  </si>
  <si>
    <t>111-021-021</t>
  </si>
  <si>
    <t>1205953-6</t>
  </si>
  <si>
    <t>1712981200973</t>
  </si>
  <si>
    <t>S1205953-6</t>
  </si>
  <si>
    <t>P1205953-6</t>
  </si>
  <si>
    <t xml:space="preserve">2nd Floor Dime Centre BC-4 Block 9 Kehkashan Clifton,Karachi </t>
  </si>
  <si>
    <t>021-325375659</t>
  </si>
  <si>
    <t>2268154-0</t>
  </si>
  <si>
    <t>ROOM #216-A, 2ND FLOOR SUNNY PLAZA HASRAT MOHANI ROAD, KARACHI</t>
  </si>
  <si>
    <t>0335-2349257</t>
  </si>
  <si>
    <t>42101-1369866-3</t>
  </si>
  <si>
    <t>2399690-7</t>
  </si>
  <si>
    <t>14/15/16 Service club merewether road karachi</t>
  </si>
  <si>
    <t>021-35211081</t>
  </si>
  <si>
    <t>1019158-5</t>
  </si>
  <si>
    <t>S1019158-5</t>
  </si>
  <si>
    <t>Water reservoir, Shah Jamal Colony, Lahore.</t>
  </si>
  <si>
    <t>042-99205581</t>
  </si>
  <si>
    <t>A-79, 1st Floor Sasi Arcade Block-7 Clifton Karachi</t>
  </si>
  <si>
    <t>0321-2426575</t>
  </si>
  <si>
    <t>42201-0812648-3</t>
  </si>
  <si>
    <t>1037442-6</t>
  </si>
  <si>
    <t>ROOM NO. 4-5, AMBER MOTEL, 51-H-1, BLOCK-6, P.E.C.H.S., KARACHI, Jamshed Town, KARACHI EAST</t>
  </si>
  <si>
    <t>021-34546481</t>
  </si>
  <si>
    <t>42101-1628774-5</t>
  </si>
  <si>
    <t>2441897-8</t>
  </si>
  <si>
    <t>S2441897-8</t>
  </si>
  <si>
    <t>HEAD OFFICE:- PLOT NO., 1-C, 2nd FLOOR, LANE NO.6, BOKHARI COMMERCIAL AREA PHASE-VI, PAKISTAN DEFENCE OFFICER'S HOUSING AUTHORITY KARACHI, Karachi South Saddar Town</t>
  </si>
  <si>
    <t>021-32427332</t>
  </si>
  <si>
    <t>2277371-1</t>
  </si>
  <si>
    <t>S2277371-1</t>
  </si>
  <si>
    <t>PLOT NO D-55 A/1-MAIN ESTATE AVENUE S.I.T.E. ,KARACHI</t>
  </si>
  <si>
    <t>021-32573266</t>
  </si>
  <si>
    <t>0855892-2</t>
  </si>
  <si>
    <t>1200870310491</t>
  </si>
  <si>
    <t>S0855892-2</t>
  </si>
  <si>
    <t>Office# 409, 410, 4th floor, D/1, Gulberg III, Lahore.</t>
  </si>
  <si>
    <t>0331-4817734</t>
  </si>
  <si>
    <t>8973367-7</t>
  </si>
  <si>
    <t>74-1-A, LALAZAR M.T KHAN ROAD, KARACHI.</t>
  </si>
  <si>
    <t>021-35205095</t>
  </si>
  <si>
    <t>0660564-8</t>
  </si>
  <si>
    <t>S0660564-8</t>
  </si>
  <si>
    <t>P0660564-8</t>
  </si>
  <si>
    <t>Flat No.01, Block No. 91, Street No. 34, I&amp;T Centre G-10/1, Urban, ISLAMABAD</t>
  </si>
  <si>
    <t>0302-2429338</t>
  </si>
  <si>
    <t>3013365-3</t>
  </si>
  <si>
    <t>3277876120336</t>
  </si>
  <si>
    <t>S3013365-3</t>
  </si>
  <si>
    <t>P3013365-3</t>
  </si>
  <si>
    <t>Office No. 125, 2nd Floor, Park Lane Tower, 172-Tufail Road, Lahore</t>
  </si>
  <si>
    <t>0345-4066553</t>
  </si>
  <si>
    <t>6280499-2</t>
  </si>
  <si>
    <t>P6280499-2</t>
  </si>
  <si>
    <t>18/C, Block-7/8, Shaheed-E-Millat Karachi</t>
  </si>
  <si>
    <t>021-34321120</t>
  </si>
  <si>
    <t>0710245-3</t>
  </si>
  <si>
    <t>S0710245-3</t>
  </si>
  <si>
    <t>RENT</t>
  </si>
  <si>
    <t>PLOT NO.1-6/12,SECTOR-5,KORANGI INDUSTRIAL AREA, KARACHI</t>
  </si>
  <si>
    <t>0300-2534436</t>
  </si>
  <si>
    <t>0859655-7</t>
  </si>
  <si>
    <t>12 BAHADURABAD, MAIN SHAHEED-E-MILLAT ROAD, KARACHI, Akhtar Colony UC-01 Jamshed Town Karachi East Karachi Sind</t>
  </si>
  <si>
    <t>021-35148127</t>
  </si>
  <si>
    <t>1343872-7</t>
  </si>
  <si>
    <t>S1343872-7</t>
  </si>
  <si>
    <t>P1343872-7</t>
  </si>
  <si>
    <t>Merewether Rd, Civil Lines, Karachi</t>
  </si>
  <si>
    <t>021 35674230</t>
  </si>
  <si>
    <t>OFFICE NO. 7, 4TH FLOOR, KALSOOM PLAZA, BLUE AREA, Urban, ISLAMABAD</t>
  </si>
  <si>
    <t>021-32623961</t>
  </si>
  <si>
    <t>3926343-6</t>
  </si>
  <si>
    <t>2600392634313</t>
  </si>
  <si>
    <t>Merewether Rd, Civil Lines, Karachi, Karachi City, Sindh 75520</t>
  </si>
  <si>
    <t>021-99201904</t>
  </si>
  <si>
    <t>PLOT NO.C-28,SECTOR,32/A, KARACHI</t>
  </si>
  <si>
    <t>0331-9271525</t>
  </si>
  <si>
    <t>35200-1529528-3</t>
  </si>
  <si>
    <t>3413571-5</t>
  </si>
  <si>
    <t>C-55 BLOCK 6 FEDERAL B.AREA, KARACHI</t>
  </si>
  <si>
    <t>42101-1792122-9</t>
  </si>
  <si>
    <t>1289204-1</t>
  </si>
  <si>
    <t>F-312 S.I.T.E Karachi</t>
  </si>
  <si>
    <t>021-32582679</t>
  </si>
  <si>
    <t>3094560-7</t>
  </si>
  <si>
    <t>1700392300582</t>
  </si>
  <si>
    <t>101-104, Civil Aviation Club Road, Karachi 75202.</t>
  </si>
  <si>
    <t>021-9242913</t>
  </si>
  <si>
    <t>#1 1ST FLOOR SERVICE CLUB EXT BUILDING MEREWEATHER ROAD, KARACHI</t>
  </si>
  <si>
    <t>021-35660317</t>
  </si>
  <si>
    <t>1154710-3</t>
  </si>
  <si>
    <t>1600980300282</t>
  </si>
  <si>
    <t>PLOT NO.74/B,NEW SINDHI MUSLIM COLONY,BLOCK-6,PECHS, KARACHI</t>
  </si>
  <si>
    <t>0311-2002910</t>
  </si>
  <si>
    <t>42201-0353470-5</t>
  </si>
  <si>
    <t>4036915-3</t>
  </si>
  <si>
    <t>S4036915-3</t>
  </si>
  <si>
    <t>5TH FL SPOTLIT CHAMBERS, KARACHI</t>
  </si>
  <si>
    <t>021-35653677</t>
  </si>
  <si>
    <t>42101-9288745-5</t>
  </si>
  <si>
    <t>0788218-1</t>
  </si>
  <si>
    <t>S0788218-1</t>
  </si>
  <si>
    <t>DSU-13, PAKISTAN STEEL INDUSTRIAL ESTATE,BIN QASIM, KARACHI</t>
  </si>
  <si>
    <t>0712837-1</t>
  </si>
  <si>
    <t>0214870300137</t>
  </si>
  <si>
    <t>S0712837-1</t>
  </si>
  <si>
    <t>P0712837-1</t>
  </si>
  <si>
    <t>HOUSE NO. 176 GOMAL ROAD SECTOR E-7, ISLAMABAD</t>
  </si>
  <si>
    <t>051-8483010</t>
  </si>
  <si>
    <t>2494327-4</t>
  </si>
  <si>
    <t>5-A,JINNAH SUPER MARKET,F-7 MARKAZ, ISLAMABAD</t>
  </si>
  <si>
    <t>051-2656764</t>
  </si>
  <si>
    <t>3911771-5</t>
  </si>
  <si>
    <t>OFFICE,PLOT NO.5-A,JINNAH SUPER MARKET, F 7 MARKAZ, ISLAMABAD</t>
  </si>
  <si>
    <t>33106-4609456-2</t>
  </si>
  <si>
    <t>2491985-3</t>
  </si>
  <si>
    <t>RENT / SERVICES</t>
  </si>
  <si>
    <t>1-B,AZIZ AVENUE,CANAL BANK, GULBERG-V, LAHORE CITY</t>
  </si>
  <si>
    <t>042-32592114</t>
  </si>
  <si>
    <t>3033263-0</t>
  </si>
  <si>
    <t>0303980103946</t>
  </si>
  <si>
    <t>P3033263-0</t>
  </si>
  <si>
    <t>ROOM NO.1,1ST FLOOR SERVICES CLUB EXT,BUILDING MEREWEATHER ROAD, KARACHI</t>
  </si>
  <si>
    <t>021-35660330</t>
  </si>
  <si>
    <t>3199827-5</t>
  </si>
  <si>
    <t>1700319982712</t>
  </si>
  <si>
    <t>SECTOR 1-A,LINES AREA,LINES AREA, SADDAR TOWN, KARACHI</t>
  </si>
  <si>
    <t>0300-8278849</t>
  </si>
  <si>
    <t>31303-7861272-8</t>
  </si>
  <si>
    <t>4245001-2</t>
  </si>
  <si>
    <t>9th Mile Karsaz, Main Shahrah-e-Faisal, Karachi-75350.</t>
  </si>
  <si>
    <t>021-111597200</t>
  </si>
  <si>
    <t>G-4/A &amp; B, Court Road, Opp: Sindh Assembly Building, Karachi</t>
  </si>
  <si>
    <t>0321-3899199</t>
  </si>
  <si>
    <t>0708850-7</t>
  </si>
  <si>
    <t>S0708850-7</t>
  </si>
  <si>
    <t>17TH FLOOR,THE HARBOUR FRONT HC-3 BLOCK 4,DOLMEN CITY, CLIFTON ROAD, KARACHI</t>
  </si>
  <si>
    <t>0311-3622974</t>
  </si>
  <si>
    <t>4386954-8</t>
  </si>
  <si>
    <t>S4386954-8</t>
  </si>
  <si>
    <t>P4386954-8</t>
  </si>
  <si>
    <t>ARIF HABIB CENTRE,23 M.T.KHAN ROAD, KARACHI</t>
  </si>
  <si>
    <t>021-35296192</t>
  </si>
  <si>
    <t>4360482-0</t>
  </si>
  <si>
    <t>S4360482-0</t>
  </si>
  <si>
    <t>Plot No. N. W. Z/1/P-1, Port Qasim Authority, Karachi, Malir Bin Qaism Town</t>
  </si>
  <si>
    <t>021-34532246</t>
  </si>
  <si>
    <t>0676546-7</t>
  </si>
  <si>
    <t>0204870300155</t>
  </si>
  <si>
    <t>S0676546-7</t>
  </si>
  <si>
    <t>3,MAIN SHAHRAH-E-FAISAL, KARACHI</t>
  </si>
  <si>
    <t>0346-8222370</t>
  </si>
  <si>
    <t>42201-9097527-7</t>
  </si>
  <si>
    <t>1055945-7</t>
  </si>
  <si>
    <t>1221999922337</t>
  </si>
  <si>
    <t>S1055945-7</t>
  </si>
  <si>
    <t>2ND FLOOR,SERVICES EXTENSTON BULDING,MEREWETHER ROAD, SADDAR TOWN, KARACHI</t>
  </si>
  <si>
    <t>021-35674684</t>
  </si>
  <si>
    <t>0999489-7</t>
  </si>
  <si>
    <t>DHA Phase-II,Sheikh Zaid Bin Alnahyan Road, ISLAMABAD</t>
  </si>
  <si>
    <t>051-8491040</t>
  </si>
  <si>
    <t>2257464-6</t>
  </si>
  <si>
    <t>2601681000146</t>
  </si>
  <si>
    <t>S2257464-6</t>
  </si>
  <si>
    <t>P2257464-6</t>
  </si>
  <si>
    <t>EFU HOUSE,M.A JINNAH ROAD, KARACHI</t>
  </si>
  <si>
    <t>PLOT NO C-1, SITE, MANGHOPIR ROAD, Karachi West Site Town</t>
  </si>
  <si>
    <t>021-32570301</t>
  </si>
  <si>
    <t>0704028-8</t>
  </si>
  <si>
    <t>1102999947619</t>
  </si>
  <si>
    <t>S0704028-8</t>
  </si>
  <si>
    <t>Third Floor (EOBI HOUSE) Awami Markaz, Main Shahrah-e-Faisal, Karachi.</t>
  </si>
  <si>
    <t>021-99244491</t>
  </si>
  <si>
    <t>PLOT 12/J/6,P E C H S,OFFICE#107 FIRST FLOOR, KARACHI</t>
  </si>
  <si>
    <t>021-34331234</t>
  </si>
  <si>
    <t>4140461-7</t>
  </si>
  <si>
    <t>S4140461-7</t>
  </si>
  <si>
    <t>22 BANGLORE TOWN MAIN SHAHRAH-E-FAISAL, KARACHI</t>
  </si>
  <si>
    <t>111-345-111</t>
  </si>
  <si>
    <t>0816259-0</t>
  </si>
  <si>
    <t>1200980800437</t>
  </si>
  <si>
    <t>S0816259-0</t>
  </si>
  <si>
    <t>P0816259-0</t>
  </si>
  <si>
    <t>PLOT NO.8 STREET NO.15 SECTOR 33/F KORANGI NO.2, KARACHI</t>
  </si>
  <si>
    <t>42201-1870411-5</t>
  </si>
  <si>
    <t>2263257-3</t>
  </si>
  <si>
    <t>1700980200937</t>
  </si>
  <si>
    <t>S2263257-3</t>
  </si>
  <si>
    <t>SUITE NO. 123-124 THE FORUM G-20 BLOCK-9 KHAYABAN-E-JAMI CLIFTON</t>
  </si>
  <si>
    <t>021-3561660</t>
  </si>
  <si>
    <t>7266041-8</t>
  </si>
  <si>
    <t>S7266041-8</t>
  </si>
  <si>
    <t>L-A, 2/B, BLOCK-21, FEDERAL-B-AREA, Gulberg Town, KARACHI CENTRAL</t>
  </si>
  <si>
    <t>021-36321311</t>
  </si>
  <si>
    <t>4353381-7</t>
  </si>
  <si>
    <t>3277876135568</t>
  </si>
  <si>
    <t>S4353381-7</t>
  </si>
  <si>
    <t>Office No 08, DHA Phase-II, Gate-II, Main G.T Road, Urban, ISLAMABAD</t>
  </si>
  <si>
    <t>7235181-0</t>
  </si>
  <si>
    <t>3277876128970</t>
  </si>
  <si>
    <t>FL-8-9-10-11,GULSHAN-E-JAMAL,RASHID MINHAS ROAD,OPP.C.O.D., KARACHI</t>
  </si>
  <si>
    <t>42301-0609454-8</t>
  </si>
  <si>
    <t>3816182-6</t>
  </si>
  <si>
    <t>1700381618215</t>
  </si>
  <si>
    <t>S3816182-6</t>
  </si>
  <si>
    <t>51/C,SATELLITE TOWN, SARGODHA</t>
  </si>
  <si>
    <t>0300-6042416</t>
  </si>
  <si>
    <t>2503648-3</t>
  </si>
  <si>
    <t>2400250364813</t>
  </si>
  <si>
    <t>9TH FLOOR,NIC BUILDING,ABBASI SHAHEED ROAD, SHARA E FAISAL, KARACHI</t>
  </si>
  <si>
    <t>3676651-8</t>
  </si>
  <si>
    <t>1700367665115</t>
  </si>
  <si>
    <t>S3676651-8</t>
  </si>
  <si>
    <t>OFFICE#290-B,MAIN MKT OPP REGENT HOTEL,COMMITTEE CHOWK, RAWALPINDI</t>
  </si>
  <si>
    <t>0310-5445214</t>
  </si>
  <si>
    <t>37101-1800344-1</t>
  </si>
  <si>
    <t>3527787-4</t>
  </si>
  <si>
    <t>2300352778712</t>
  </si>
  <si>
    <t>P3527787-4</t>
  </si>
  <si>
    <t>A-904 9TH FLOOR LAKSON SQUARE SARWAR SHAHEED ROAD, KARACHI</t>
  </si>
  <si>
    <t>111-178-676</t>
  </si>
  <si>
    <t>0660563-0</t>
  </si>
  <si>
    <t>1200851700628</t>
  </si>
  <si>
    <t>S0660563-0</t>
  </si>
  <si>
    <t>P0660563-0</t>
  </si>
  <si>
    <t>20-D, COMMERCIAL A MARKET, PHASE-2,DHA, Karachi South Saddar Town</t>
  </si>
  <si>
    <t>021-35311781</t>
  </si>
  <si>
    <t>42301-1493637-9</t>
  </si>
  <si>
    <t>2537197-5</t>
  </si>
  <si>
    <t>B-162, BLOCK W, ALLAMA IQBAL TOWN, NORTH NAZIMABAD, North Nazimabad Town, KARACHI CENTRAL</t>
  </si>
  <si>
    <t>0332-2331400</t>
  </si>
  <si>
    <t>7285480-7</t>
  </si>
  <si>
    <t>NEAR TOYOTA MULTAN BUILDING, BOSAN ROAD, SHALIMAR COLONY, Multan Cantt. Bosan Town</t>
  </si>
  <si>
    <t>061-4424292</t>
  </si>
  <si>
    <t>4245339-9</t>
  </si>
  <si>
    <t>P4245339-9</t>
  </si>
  <si>
    <t>44A, SAEED COLONY, CANAL ROAD, Faisalabad Madina Town</t>
  </si>
  <si>
    <t>041-2421446</t>
  </si>
  <si>
    <t>17201-5823478-5</t>
  </si>
  <si>
    <t>0207010-3</t>
  </si>
  <si>
    <t>P0207010-3</t>
  </si>
  <si>
    <t>PLOT NO 16, MAIN DOUBLE, ROAD, F-11/1, Urban, ISLAMABAD</t>
  </si>
  <si>
    <t>051-2656766</t>
  </si>
  <si>
    <t>7955042-5</t>
  </si>
  <si>
    <t>603, Westland Trade Centre, Block 7 &amp; 8, KCHS Baloch Colony Flyover, Shaheed-, e-Millat Road Karachi, Karachi South Saddar Town</t>
  </si>
  <si>
    <t>0300-9242736</t>
  </si>
  <si>
    <t>42000-0484845-1</t>
  </si>
  <si>
    <t>0518139-9</t>
  </si>
  <si>
    <t>S0518139-9</t>
  </si>
  <si>
    <t>Super Highway, Bahria Town Karachi</t>
  </si>
  <si>
    <t>0800 00100</t>
  </si>
  <si>
    <t>Plot # 27, Sector No 15, Korangi Industrial Area, Korangi Korangi Town</t>
  </si>
  <si>
    <t>0317-2298929</t>
  </si>
  <si>
    <t>4395126-7</t>
  </si>
  <si>
    <t>3277876220786</t>
  </si>
  <si>
    <t>S4395126-7</t>
  </si>
  <si>
    <t>P4395126-7</t>
  </si>
  <si>
    <t>SHAHRAH-E-ROOMI, P.O AMER SIDHU, LAHORE CANTT, Lahore Cantonement</t>
  </si>
  <si>
    <t>042-35811541</t>
  </si>
  <si>
    <t>2606088-4</t>
  </si>
  <si>
    <t>0302681001682</t>
  </si>
  <si>
    <t>S2606088-4</t>
  </si>
  <si>
    <t>P2606088-4</t>
  </si>
  <si>
    <t>H. No.F-788, SATELLITE TOWN, RAWALPINDI, Rawalpindi Rawal Town</t>
  </si>
  <si>
    <t>37405-0642287-7</t>
  </si>
  <si>
    <t>2389926-3</t>
  </si>
  <si>
    <t>C-18, Al-Hilal Society, Off University Road, Karachi East Gulshan Town</t>
  </si>
  <si>
    <t>021-34932931</t>
  </si>
  <si>
    <t>0712417-1</t>
  </si>
  <si>
    <t>0215844200837</t>
  </si>
  <si>
    <t>PLOT # 927/928,SUIT # 202, AL-MUSTAFA CENTER,BLOCK-2 P.E.C.H.S. TARIQ ROAD, JAMSHED TOWN, KARACHI</t>
  </si>
  <si>
    <t>0345-2744507</t>
  </si>
  <si>
    <t>42101-3219198-9</t>
  </si>
  <si>
    <t>3795544-6</t>
  </si>
  <si>
    <t>LESCO Head Quarter, 22-A Queens Road Lahore</t>
  </si>
  <si>
    <t>042-99205248</t>
  </si>
  <si>
    <t>KE House, 39-B, Sunset Boulevard, Phase-II, Defence Housing Authority, Karachi.</t>
  </si>
  <si>
    <t>021-3263 7133</t>
  </si>
  <si>
    <t>R-346, Sector 8-B, Abbysina Line, Shahrah-e-Faisal, Saddar Town, KARACHI SOUTH</t>
  </si>
  <si>
    <t>021-32784960</t>
  </si>
  <si>
    <t>42101-5682932-8</t>
  </si>
  <si>
    <t>4205960-7</t>
  </si>
  <si>
    <t>S4205960-7</t>
  </si>
  <si>
    <t>Suit No16-B, Zulljalal Center Main, Tariq Road, Karachi East Jamshed Town</t>
  </si>
  <si>
    <t>0332-3486174</t>
  </si>
  <si>
    <t>42201-4308810-5</t>
  </si>
  <si>
    <t>7123929-6</t>
  </si>
  <si>
    <t>House# 697-L, Sector 5 A 3, Gulshan Liaquat, North Karachi, Karachi.</t>
  </si>
  <si>
    <t>0301-2800371</t>
  </si>
  <si>
    <t>42101-4378357-3</t>
  </si>
  <si>
    <t>0321-9039871</t>
  </si>
  <si>
    <t>HOUSE NO,1, ST NO,17 D BLOCK F, NAVAL ANCHORAGE IBD, Islamabad Rural</t>
  </si>
  <si>
    <t>033-111-110-52</t>
  </si>
  <si>
    <t>32778-7614968-6</t>
  </si>
  <si>
    <t>8905555-1</t>
  </si>
  <si>
    <t>PLOT NO-4 SECTOR 33-F ST-14 NEAR VITA CHOWRANGI ,KARACHI</t>
  </si>
  <si>
    <t>42201-4959175-1</t>
  </si>
  <si>
    <t>2926963-6</t>
  </si>
  <si>
    <t>1701999901946</t>
  </si>
  <si>
    <t>S2926963-6</t>
  </si>
  <si>
    <t>IST FLOOR, PLOT NO.8, BLOCK B1, MAIN BOULEVARD, NEAR HAKIM CHOWK, PIA HOUSING SOCIETY, LAHORE, Lahore Wapda Town</t>
  </si>
  <si>
    <t>0345-4054484</t>
  </si>
  <si>
    <t>7992643-4</t>
  </si>
  <si>
    <t>3277876157781</t>
  </si>
  <si>
    <t>PLOT NO 1-C, STREET,7A,BADAR COMMERCIAL, PHASE-V EXT DHA, Karachi South Saddar Town</t>
  </si>
  <si>
    <t>021-33411654</t>
  </si>
  <si>
    <t>1558685-5</t>
  </si>
  <si>
    <t>1200910000146</t>
  </si>
  <si>
    <t>111/4,, STREET 26, OFF: KHAYABAN-E-KHALID,, D.H.A., PHASE - VIII,, Pakistan</t>
  </si>
  <si>
    <t>0343-3016460</t>
  </si>
  <si>
    <t>8243861-5</t>
  </si>
  <si>
    <t>S8243861-5</t>
  </si>
  <si>
    <t>P-3 RAZA TOWN CANAL ROAD, Faisalabad</t>
  </si>
  <si>
    <t>0344-6600661</t>
  </si>
  <si>
    <t>33100-1216001-7</t>
  </si>
  <si>
    <t>2868652-7</t>
  </si>
  <si>
    <t>27 - PARADISE VALLEY, STREE MASJAD WALI, SHEIKHUPURA ROAD, Faisalabad Madina Town</t>
  </si>
  <si>
    <t>33104-7369214-2</t>
  </si>
  <si>
    <t>5114135-2</t>
  </si>
  <si>
    <t>1, SHOP NO. SB-05/12 (KINGSON INTERNATIONAL) KARACHI (OLD), 0,</t>
  </si>
  <si>
    <t>0333-2142387</t>
  </si>
  <si>
    <t>42201-0523274-0</t>
  </si>
  <si>
    <t>2261715-9</t>
  </si>
  <si>
    <t>Plot No. 87/10 Sector 5, BEH DIH, Tappo Ibrahim Hyderi, Korangi Industrial Area, Karachi East Jamshed Town</t>
  </si>
  <si>
    <t>0301-8114160</t>
  </si>
  <si>
    <t>2792898-5</t>
  </si>
  <si>
    <t>1750999934128</t>
  </si>
  <si>
    <t>S2792898-5</t>
  </si>
  <si>
    <t>P2792898-5</t>
  </si>
  <si>
    <t>123-124, THE FORUM, G 20, BLOCK - IX, CLIFTON, Karachi South Saddar Town</t>
  </si>
  <si>
    <t>1875164-4</t>
  </si>
  <si>
    <t>SHOP No.4, HUSSAIN ARCADE, BURNS ROAD, STREET No.10, Karachi South</t>
  </si>
  <si>
    <t>0300-8248796</t>
  </si>
  <si>
    <t>42201-0484403-0</t>
  </si>
  <si>
    <t>8171362-1</t>
  </si>
  <si>
    <t>3277876198441</t>
  </si>
  <si>
    <t>P-413, TARIQABAD, ,, Faisalabad Lyallpur Town</t>
  </si>
  <si>
    <t>33100-9539511-9</t>
  </si>
  <si>
    <t>7565049-0</t>
  </si>
  <si>
    <t>KARACHI</t>
  </si>
  <si>
    <t>37405-8100673-3</t>
  </si>
  <si>
    <t>3720613-3</t>
  </si>
  <si>
    <t>RAMNA HOUSE 63A/2 ABU BAKAR BLOCK, NEW GARDEN TOWN, LAHORE</t>
  </si>
  <si>
    <t>0322-4990249</t>
  </si>
  <si>
    <t>35202-6767230-1</t>
  </si>
  <si>
    <t>3402355-7</t>
  </si>
  <si>
    <t>SHOP NO-4 LAKSHMI BULIDING GROUND FLOOR M.A.JINNAH ROAD</t>
  </si>
  <si>
    <t>042-35871370</t>
  </si>
  <si>
    <t>1ST FLOOR DEAN ARCADE BLOCK -8 CLIFTON</t>
  </si>
  <si>
    <t>021-35837447</t>
  </si>
  <si>
    <t>1548234-7</t>
  </si>
  <si>
    <t>314-315 3RD FLOOR THE FORUM, G-20, MAIN KHAYABAN-E-JAMI, CLIFTON</t>
  </si>
  <si>
    <t>3037492-8</t>
  </si>
  <si>
    <t>1700910000273</t>
  </si>
  <si>
    <t>44 LGF CENTRAL PLAZA BARKET MARKET NEW GARDEN TOWN, LAHORE</t>
  </si>
  <si>
    <t>0300-6945607</t>
  </si>
  <si>
    <t>2061541-8</t>
  </si>
  <si>
    <t>0302380801773</t>
  </si>
  <si>
    <t>P2061541-8</t>
  </si>
  <si>
    <t>Office # 203, 2nd Floor, Shahwar Trade Centre, Plot 72/S, P.E.C.H.S., Allama Iqbal Road, Karachi East Jamshed Town</t>
  </si>
  <si>
    <t>0345-3115524</t>
  </si>
  <si>
    <t>42201-6919762-7</t>
  </si>
  <si>
    <t>7560750-3</t>
  </si>
  <si>
    <t>S7560750-3</t>
  </si>
  <si>
    <t>House No. 52-B/1, Khayaban-e-Shahbaz Phase VII, DHA Karachi, Pakistan</t>
  </si>
  <si>
    <t>0301-8221896</t>
  </si>
  <si>
    <t>5230525-4</t>
  </si>
  <si>
    <t>3277876157986</t>
  </si>
  <si>
    <t>HOUSE NO. B-60, AL HOUSING SOCIETY, HALT KARACHI, Town, MALIR</t>
  </si>
  <si>
    <t>42501-7759095-3</t>
  </si>
  <si>
    <t>4026346-7</t>
  </si>
  <si>
    <t>1700402634611</t>
  </si>
  <si>
    <t>S4026346-7</t>
  </si>
  <si>
    <t>House no.1119, St-11B, Makkah Colony, Lahore, Gulberg Town.</t>
  </si>
  <si>
    <t>0321-4239756</t>
  </si>
  <si>
    <t>35201-4161560-3</t>
  </si>
  <si>
    <t>A227051-8</t>
  </si>
  <si>
    <t>Arabian Sea Country Club Road, Bin Qasim Industrial Park (SEZ), Pakistan Steel Mills, Bin Qasim Town, Malir Bin Qaism Town</t>
  </si>
  <si>
    <t>7357373-8</t>
  </si>
  <si>
    <t>S7357373-8</t>
  </si>
  <si>
    <t>P7357373-8</t>
  </si>
  <si>
    <t>43 K.M.MULTAN ROAD MANGA MANDI, LAHORE</t>
  </si>
  <si>
    <t>0305870300137</t>
  </si>
  <si>
    <t>0829237-0</t>
  </si>
  <si>
    <t>S0829237-0</t>
  </si>
  <si>
    <t>P0829237-0</t>
  </si>
  <si>
    <t>C-109 Sector, 32 A Korangi, Karachi</t>
  </si>
  <si>
    <t>42000-0570091-1</t>
  </si>
  <si>
    <t>0293679-8</t>
  </si>
  <si>
    <t>Office No. M1 - M4, Progressive Plaza, Beaumont Road, Civil Lines, Karachi, Karachi South Saddar Town</t>
  </si>
  <si>
    <t>021-35674741</t>
  </si>
  <si>
    <t>8965119-3</t>
  </si>
  <si>
    <t>S8965119-3</t>
  </si>
  <si>
    <t>X-2, Manghopir Road, S.I.T.E, Karachi West Site Town</t>
  </si>
  <si>
    <t>021-32570082</t>
  </si>
  <si>
    <t>42201-5701403-1</t>
  </si>
  <si>
    <t>3998159-2</t>
  </si>
  <si>
    <t>S3998159-2</t>
  </si>
  <si>
    <t>1-B/1 SECTOR#23,KORANGI INDUSTRIAL AREA, KIA, KARACHI</t>
  </si>
  <si>
    <t>021-35050251</t>
  </si>
  <si>
    <t>0984519-4</t>
  </si>
  <si>
    <t>1712870820191</t>
  </si>
  <si>
    <t>S0984519-4</t>
  </si>
  <si>
    <t>Plot# 158, Sector A, DHA, Phase VI, Lahore Cantonement</t>
  </si>
  <si>
    <t>021-32603449</t>
  </si>
  <si>
    <t>5298402-3</t>
  </si>
  <si>
    <t>P5298402-3</t>
  </si>
  <si>
    <t>Suit# 606 TRADE TOWER ABDULLAH HAROON ROAD, KARACHI</t>
  </si>
  <si>
    <t>2691562-6</t>
  </si>
  <si>
    <t>S2691562-6</t>
  </si>
  <si>
    <t>P2691562-6</t>
  </si>
  <si>
    <t>3-A, Gulberg-V, Jail Road, Lahore</t>
  </si>
  <si>
    <t>042-99263107</t>
  </si>
  <si>
    <t>Block 6 Gulshan-e-Iqbal, Karachi</t>
  </si>
  <si>
    <t>021-99243813</t>
  </si>
  <si>
    <t>49 / A, BLOCK – 2, P.E.C.H.S. , KARACHI, Karachi East Jamshed Town</t>
  </si>
  <si>
    <t>0300-2222412</t>
  </si>
  <si>
    <t>4578604-3</t>
  </si>
  <si>
    <t>S4578604-3</t>
  </si>
  <si>
    <t>P4578604-3</t>
  </si>
  <si>
    <t>HOUSE NO D-22 BLOCK 7 CLIFTON</t>
  </si>
  <si>
    <t>42301-9918072-3</t>
  </si>
  <si>
    <t>2254196-9</t>
  </si>
  <si>
    <t>House# 17 Block-C, Gulberg Colony, Faisalabad</t>
  </si>
  <si>
    <t>33102-1818518-7</t>
  </si>
  <si>
    <t>0058555-6</t>
  </si>
  <si>
    <t>021-34532392</t>
  </si>
  <si>
    <t>Head Office # 54, Margalla Raod, F-8/2, Islamabad</t>
  </si>
  <si>
    <t>051-2266104</t>
  </si>
  <si>
    <t>Plot# 3-103, C P Berar 1st Floor, Left Side, Karachi East Gulshan Town</t>
  </si>
  <si>
    <t>42301-6853276-7</t>
  </si>
  <si>
    <t>7154631-0</t>
  </si>
  <si>
    <t>House# 103, Street# 9, Block 3, C.P Berrar Society Sharfabad, Karachi East</t>
  </si>
  <si>
    <t>42301-0954438-9</t>
  </si>
  <si>
    <t>D673376-5</t>
  </si>
  <si>
    <t>Wali Garden 2nd Floor Plot# 141, Fuwara Chowk Flat# 203, Karachi</t>
  </si>
  <si>
    <t>42401-7164919-2</t>
  </si>
  <si>
    <t>2304569-8</t>
  </si>
  <si>
    <t>1st &amp; 3rd Floor, Modern Motors House, Beaumont Road, Karachi South Saddar Town</t>
  </si>
  <si>
    <t>021-35672951</t>
  </si>
  <si>
    <t>1473393-5</t>
  </si>
  <si>
    <t>S1473393-5</t>
  </si>
  <si>
    <t>P1473393-5</t>
  </si>
  <si>
    <t>BLOCK NO12-A,MARKEZ F-7, ISLAMABAD</t>
  </si>
  <si>
    <t>0321-5157470</t>
  </si>
  <si>
    <t>2812327-1</t>
  </si>
  <si>
    <t>A-214, Block-13, Gulistan-e-Johar, Karachi East Gulshan Town</t>
  </si>
  <si>
    <t>0332-8289201</t>
  </si>
  <si>
    <t>42101-1404192-9</t>
  </si>
  <si>
    <t>7298156-2</t>
  </si>
  <si>
    <t>S7298156-2</t>
  </si>
  <si>
    <t>D-227/B, SITE, KARACHI WEST, Karachi West Site Town</t>
  </si>
  <si>
    <t>0317-8220585</t>
  </si>
  <si>
    <t>A118571-5</t>
  </si>
  <si>
    <t>SA118571-5</t>
  </si>
  <si>
    <t>10, GROUND FLOOR, BUSINESS ARCADE, BLOCK-6, P.E.C.H.S., SHAHRAH-E-FAISAL, Jamshed Town, KARACHI EAST</t>
  </si>
  <si>
    <t>0321-2351484</t>
  </si>
  <si>
    <t>1432726-7</t>
  </si>
  <si>
    <t>1700850009919</t>
  </si>
  <si>
    <t>S1432726-7</t>
  </si>
  <si>
    <t>P1432726-7</t>
  </si>
  <si>
    <t>A-157, Block 13-A, Railway Society Gulshan-E-Iqbal, Karachi</t>
  </si>
  <si>
    <t>0334-9575615</t>
  </si>
  <si>
    <t>42201-7174976-1</t>
  </si>
  <si>
    <t>7938387-0</t>
  </si>
  <si>
    <t>Plot# l-59, St-12 Scetor 31 \/ b, KDA Employees Housing Society, Karach</t>
  </si>
  <si>
    <t>0300-3641332</t>
  </si>
  <si>
    <t>31303-4432570-7</t>
  </si>
  <si>
    <t>9285831-0</t>
  </si>
  <si>
    <t>House# 1, Mohalla Ahmad Street, Bahar Colony Kot Lakhpat, Lahore.</t>
  </si>
  <si>
    <t>0308-4885611</t>
  </si>
  <si>
    <t>35201-4484094-6</t>
  </si>
  <si>
    <t>E439736-5</t>
  </si>
  <si>
    <t>FLAT NO.104, PLOT NO.164/3, BAHADURABAD CENTER, BMCHS, BLOCK-3, Karachi East Gulshan Town</t>
  </si>
  <si>
    <t>0333-3095987</t>
  </si>
  <si>
    <t>42201-7180115-9</t>
  </si>
  <si>
    <t>1358557-6</t>
  </si>
  <si>
    <t>S1358557-6</t>
  </si>
  <si>
    <t>P1358557-6</t>
  </si>
  <si>
    <t>Aiwan-e-Tijarat Road, off: Shahrah-e-liaquat, P.O. Box# 4158, Karachi.</t>
  </si>
  <si>
    <t>021-99218001</t>
  </si>
  <si>
    <t>55-C, 3rd Floor, Al-Murtaza Commercial, Lane-2, Phase 8-A, DHA, Karachi.</t>
  </si>
  <si>
    <t>021-35248915</t>
  </si>
  <si>
    <t>14 Floor, BRR Tower, I I Chundrigar Road, Karachi South, Saddar Town</t>
  </si>
  <si>
    <t>0300-6976631</t>
  </si>
  <si>
    <t>3053809-2</t>
  </si>
  <si>
    <t>P3053809-2</t>
  </si>
  <si>
    <t>Plot No. 3, Sector 40, DEH Mehran-1, Tappo Mehranm Taluka Air Port, Distrrict Malir, Karachi.</t>
  </si>
  <si>
    <t>0333-8688007</t>
  </si>
  <si>
    <t>7335779-5</t>
  </si>
  <si>
    <t>House No. 1499\/2-A Main Street Khawaja Colony Faizi Road</t>
  </si>
  <si>
    <t>36302-4630060-1</t>
  </si>
  <si>
    <t>0954992-7</t>
  </si>
  <si>
    <t>House No. 1498\/9\/1 Street No. 1 Khawaja Colony Faizi Road</t>
  </si>
  <si>
    <t>36302-8126368-9</t>
  </si>
  <si>
    <t>3377242-8</t>
  </si>
  <si>
    <t>Bungalow No. 41, J\/III, Mehmood Hassan Road, Block 6 PECHS Near Lal Kothi, Karachi</t>
  </si>
  <si>
    <t>0316-2467066</t>
  </si>
  <si>
    <t>7224220-1</t>
  </si>
  <si>
    <t>S7224220-1</t>
  </si>
  <si>
    <t>138, K.J Arcade, 16th Street, Phase I, DHA, Karachi.</t>
  </si>
  <si>
    <t>021-34490035</t>
  </si>
  <si>
    <t>G212735-2</t>
  </si>
  <si>
    <t>SG212735-2</t>
  </si>
  <si>
    <t>Portion A-8, Plot NC-362, Deh Joriji, Bin Qasim Town, Malir Bin Qasim Town</t>
  </si>
  <si>
    <t>0349-0236369</t>
  </si>
  <si>
    <t>4377230-7</t>
  </si>
  <si>
    <t>S4377230-7</t>
  </si>
  <si>
    <t>SERVICES/GOODS</t>
  </si>
  <si>
    <t xml:space="preserve">Office No. 1st Floor, Services Club, Ext. Building Mereweather Road, Karachi </t>
  </si>
  <si>
    <t>021-35652161</t>
  </si>
  <si>
    <t>BRAND</t>
  </si>
  <si>
    <t>NIKE GLOBAL TRADING BV SINGAPORE BRANCH</t>
  </si>
  <si>
    <t xml:space="preserve">NIKE GLOBAL TRADING BV SINGAPORE BRANCH, 30 PASIR PANJANG ROAD NO. 10-31/32 MAPLETREE BUSNESS CITY, SINGAPORE 117440 </t>
  </si>
  <si>
    <t>OD360 PTE LTD</t>
  </si>
  <si>
    <t>119 Genting Lane, #03-00, HB@ 119 Genting, Singapore, 349570</t>
  </si>
  <si>
    <t>ADIDAS EMERGING MARKETS FZE</t>
  </si>
  <si>
    <t>Dubai Design District (d3), Building 
No.2 4th Floor 32512 Dubai, UAE</t>
  </si>
  <si>
    <t>971-4-5123500</t>
  </si>
  <si>
    <t>ASICS ARABIA FZE</t>
  </si>
  <si>
    <t>ASICS Middle East Trading L.L.C. Unit 307B, Building No. 5, P.O. Box 49774 Dubai Design District , Dubai, UAE</t>
  </si>
  <si>
    <t>Birkenstock Logistics GmbH Burg Ockenfels 53545 Linz am Rhein Germany</t>
  </si>
  <si>
    <t>+49 2683 9359 0</t>
  </si>
  <si>
    <t>PUMA SOUTH EAST ASIA PTE LTD</t>
  </si>
  <si>
    <t>PUMA MIDDLE EAST FZ-LLC P.O. BOX 500626 DUBAI, UAE</t>
  </si>
  <si>
    <t>971-4-5621222</t>
  </si>
  <si>
    <t>UA SPORTS (S.E.A.) PTE. LTD.</t>
  </si>
  <si>
    <t>7 Temasek Boulevard, #25-01, Suntec Tower One Singapore 038987 SGP</t>
  </si>
  <si>
    <t>+65 6225 2881</t>
  </si>
  <si>
    <t>CHARLES &amp; KEITH INTERNATIONAL PTE LTD</t>
  </si>
  <si>
    <t>6 Tai Seng Link, Level 8 Charles &amp; Keith Group Headquarters Singapore 534101</t>
  </si>
  <si>
    <t>+65 6488 2688</t>
  </si>
  <si>
    <t>Tag Heuer Branch of LVMH Swiss Manufactures SA Av. Luis-Joseph Chevrolet 4-6A CH-2300 La Chaux-de-Fond</t>
  </si>
  <si>
    <t>TIMEX NEDERLAND B.V.</t>
  </si>
  <si>
    <t>TIMEX NEDERLAND B.V. TAURUSAVENUE 17A, 2132 LS HOOFDDORP, THE NETHERLANDS.</t>
  </si>
  <si>
    <t>+31 23 556 3664</t>
  </si>
  <si>
    <t>Plot No: WB27-WB28, Logistics District Dubai World Central, DUBAI, UNITED ARAB EMIRATES</t>
  </si>
  <si>
    <t>+971 4 803 2222</t>
  </si>
  <si>
    <t>SAAT VE SAAT SAN.VETİC.A.Ş.</t>
  </si>
  <si>
    <t>Headquarters · Büyükdere Cad. Noramin İş Merkezi No:237/D Kat:B2 Maslak, İstanbul/Türkiye·</t>
  </si>
  <si>
    <t>+ 90 (212) 232 7 228</t>
  </si>
  <si>
    <t>WEISZ GROUP</t>
  </si>
  <si>
    <t>Weisz Group Heijermanslaan 47A 1422 GV Uithoorn The Netherlands</t>
  </si>
  <si>
    <t>+31 (0)20 679 46 33</t>
  </si>
  <si>
    <t>1-C Street 7A, Badar Commercial Area, DHA Ph V ext., Karachi.</t>
  </si>
  <si>
    <t>021 35205108</t>
  </si>
  <si>
    <t>PARAMOUNT ENTERPRISES PVT LTD.</t>
  </si>
  <si>
    <t>1 Dean Arcade Khy-Jami Block 8 Clifton Karachi Pakistan</t>
  </si>
  <si>
    <t xml:space="preserve">Customer Information </t>
  </si>
  <si>
    <t>Name of Customer</t>
  </si>
  <si>
    <t xml:space="preserve">Registration No. </t>
  </si>
  <si>
    <t>OFFICE NO 4, 109-WEST, SARDAR BEGUM PLAZA , BLUE AREA, Islamabad Islamabad Urban</t>
  </si>
  <si>
    <t>03008552662</t>
  </si>
  <si>
    <t>1623094-9</t>
  </si>
  <si>
    <t>0702620022755</t>
  </si>
  <si>
    <t>43-A BANK ROAD,SADDAR, RAWALPINDI</t>
  </si>
  <si>
    <t>051-5563912</t>
  </si>
  <si>
    <t>37405-3493905-5</t>
  </si>
  <si>
    <t>0011045-7</t>
  </si>
  <si>
    <t>2300001104515</t>
  </si>
  <si>
    <t>SHOP NO 10 (GROUND FLOOR) BLOCK 13-J, F7 JINNAH SUPER, ISLAMABAD</t>
  </si>
  <si>
    <t>051-2655130</t>
  </si>
  <si>
    <t>37405-5784286-9</t>
  </si>
  <si>
    <t>4251340-5</t>
  </si>
  <si>
    <t>2600425134015</t>
  </si>
  <si>
    <t>43-A/7, 1st Floor, Bank Road, Saddar, Cantonement, RAWALPINDI</t>
  </si>
  <si>
    <t>2194576-4</t>
  </si>
  <si>
    <t>0702910001182</t>
  </si>
  <si>
    <t>021-32435918</t>
  </si>
  <si>
    <t>1221999905755</t>
  </si>
  <si>
    <t>M-4 MAJEED PLAZA BANK ROAD, SADDR, RAWALPINDI</t>
  </si>
  <si>
    <t>0333-5102897</t>
  </si>
  <si>
    <t>37405-8857382-5</t>
  </si>
  <si>
    <t>1419588-7</t>
  </si>
  <si>
    <t>0702910000682</t>
  </si>
  <si>
    <t>SHOP # 4, GROUND FLOOR, STATE LIFE BUILDING NO. 5A, ZAIBUNNISA STREET, KARACHI, Karachi South Saddar Town</t>
  </si>
  <si>
    <t>021-35212931</t>
  </si>
  <si>
    <t>42201-0340421-2</t>
  </si>
  <si>
    <t>3730262-7</t>
  </si>
  <si>
    <t>3277876160422</t>
  </si>
  <si>
    <t>AVARI PLAZA FATIMA JINNAH ROAD, AVARI PLAZA FATIMA JINNAH ROAD, Karachi East Jamshed Town</t>
  </si>
  <si>
    <t>021-35660062</t>
  </si>
  <si>
    <t>0912725-9</t>
  </si>
  <si>
    <t>0912725</t>
  </si>
  <si>
    <t>2nd Floor, Services Club, Extension Building, Merewether Road, Karachi, Pakistan</t>
  </si>
  <si>
    <t>021-34603452</t>
  </si>
  <si>
    <t>316, Upper Mall P.O.Box No. 3061, Lahore 54000, Punjab, Pakistan</t>
  </si>
  <si>
    <t>042-35989100</t>
  </si>
  <si>
    <t>Shop # 2, Uzma Court, Block-8, Clifton, Karachi South Saddar Town</t>
  </si>
  <si>
    <t>021-35834665</t>
  </si>
  <si>
    <t>42301-0528589-8</t>
  </si>
  <si>
    <t>0545476-0</t>
  </si>
  <si>
    <t>1712910000319</t>
  </si>
  <si>
    <t>314-315, 3rd Floor, The Forum, G-20, Block-9, Main Khayaban-e-Jami, Clifton, Saddar Town, KARACHI SOUTH</t>
  </si>
  <si>
    <t>1-UZMA COURT BLOCK-08 CLIFTON ,KARACHI</t>
  </si>
  <si>
    <t>0330-0235777</t>
  </si>
  <si>
    <t>1954238-7</t>
  </si>
  <si>
    <t>N/A</t>
  </si>
  <si>
    <t>20-C-1, M M ALAM ROAD, GULBERG-III, LAHORE, Lahore Gulberg Town</t>
  </si>
  <si>
    <t>042-5756444</t>
  </si>
  <si>
    <t>35202-0899972-1</t>
  </si>
  <si>
    <t>0158164-3</t>
  </si>
  <si>
    <t>SHOP # 356, LAST BUS STOP, TENCH BHATTA</t>
  </si>
  <si>
    <t>4029542-7</t>
  </si>
  <si>
    <t>Survey No. 0137, Jinnah Avenue, Jinnah International Airport, Karachi East</t>
  </si>
  <si>
    <t>021-34605800</t>
  </si>
  <si>
    <t>0816259</t>
  </si>
  <si>
    <t>Shop No 22, Ground Level, The Centaurus Mall, Blue Area, Islamabad Islamabad Urban</t>
  </si>
  <si>
    <t>051-2701270</t>
  </si>
  <si>
    <t>37405-6382549-5</t>
  </si>
  <si>
    <t>1334782-9</t>
  </si>
  <si>
    <t>1, 5th Floor, Harbour Front Building,, Clifton Block-4, Karachi South</t>
  </si>
  <si>
    <t>0333-2445619</t>
  </si>
  <si>
    <t>2285414-2</t>
  </si>
  <si>
    <t>Ground Floor, Tenement No.20 &amp; 21, Plot No.273/1,, Shahrah-ELiaquat, Artilary Maidan Quarters, Preedy St.Saddar, Karachi., IB Chundrigar Road, Karachi South</t>
  </si>
  <si>
    <t>0333-3076235</t>
  </si>
  <si>
    <t>0698187-9</t>
  </si>
  <si>
    <t>0698187</t>
  </si>
  <si>
    <t>26KM MULTAN ROAD, NEAR SHAMSHAD HOUSE, OPP. MURAKA TELEPHONE EXCHANGE, LAHORE, Lahore Iqbal Town</t>
  </si>
  <si>
    <t>042-35751990</t>
  </si>
  <si>
    <t>0222346-5</t>
  </si>
  <si>
    <t>0222346</t>
  </si>
  <si>
    <t>18/C SHAHEED-E-MILLAT ROAD BLOCK 7 &amp; 8</t>
  </si>
  <si>
    <t>021-35296062</t>
  </si>
  <si>
    <t>0710245</t>
  </si>
  <si>
    <t>Head Office, I. I. chundrigar road, 11th Floor UBL Towers, Karachi Central</t>
  </si>
  <si>
    <t>0345-3685509</t>
  </si>
  <si>
    <t>0801164-8</t>
  </si>
  <si>
    <t>0801164</t>
  </si>
  <si>
    <t>8th Floor, The Harbour Front Building, HC-3, Marine Drive, Block 4, Clifton, Karachi, Karachi South Saddar Town</t>
  </si>
  <si>
    <t>1000710-5</t>
  </si>
  <si>
    <t xml:space="preserve">10th Floor, Ocean Tower, Block-09, Main Clifton Road, Karachi. </t>
  </si>
  <si>
    <t>021-35303531</t>
  </si>
  <si>
    <t>7142468-5</t>
  </si>
  <si>
    <t>2ND FLOOR SERVICES EXTENSTON BULDING MEREWETHER ROAD</t>
  </si>
  <si>
    <t>0999489</t>
  </si>
  <si>
    <t>House NO 2, Street No 33, F-8\/1, Islamabad Islamabad Urban</t>
  </si>
  <si>
    <t>0300-8257852</t>
  </si>
  <si>
    <t>7228164-3</t>
  </si>
  <si>
    <t>37, C-1, Gulberg III, Lahore</t>
  </si>
  <si>
    <t>021-32569801</t>
  </si>
  <si>
    <t>0711631-4</t>
  </si>
  <si>
    <t>0711631</t>
  </si>
  <si>
    <t>3rd Floor, NPT Building, F-8, Markaz, Islamabad</t>
  </si>
  <si>
    <t>0316-0001530</t>
  </si>
  <si>
    <t>0709045-5</t>
  </si>
  <si>
    <t>0709045</t>
  </si>
  <si>
    <t>31 A &amp; J, Upper Ground Floor, Mall of Lahore, Lahore Cantt,</t>
  </si>
  <si>
    <t>042-36622478</t>
  </si>
  <si>
    <t>32203-0556771-1</t>
  </si>
  <si>
    <t>8905735-1</t>
  </si>
  <si>
    <t>1st Floor, NW-719, Hamza Plaza Opp. Rasheed Nursing Home, Rawalpindi</t>
  </si>
  <si>
    <t>051-4570504</t>
  </si>
  <si>
    <t>3651708-9</t>
  </si>
  <si>
    <t>021-34313478</t>
  </si>
  <si>
    <t>16th Floor, Harbor Front Building, HC#3, Marine Drive, Block 4, Clifton, Karachi, Pakistan</t>
  </si>
  <si>
    <t>3208561-3</t>
  </si>
  <si>
    <t>8th Floor, The Harbour Front Building, Marine Drive, Block 4, Clifton, Karachi South Saddar Town</t>
  </si>
  <si>
    <t>0712937-8</t>
  </si>
  <si>
    <t>0712937</t>
  </si>
  <si>
    <t>62-COLLEGE BLOCK, ALLAMA IQBAL TOWN, LAHORE, Lahore Iqbal Town</t>
  </si>
  <si>
    <t>0300-8429311</t>
  </si>
  <si>
    <t>6590714-5</t>
  </si>
  <si>
    <t>Head Office, Kalma Chowk, 3-4 Tipu Block New Garden Town, Lahore, PUNJAB, Lahore</t>
  </si>
  <si>
    <t>0321-2007688</t>
  </si>
  <si>
    <t>801428-7</t>
  </si>
  <si>
    <t>3RD FLOOR KARACHI DOCK LABOUR BOARD, BUILDING 58, WEST WHARF ROAD,, KARACHI, Karachi West</t>
  </si>
  <si>
    <t>021-32313180</t>
  </si>
  <si>
    <t>2302035-7</t>
  </si>
  <si>
    <t>25-C1 MM ALAM ROAD, GULBERG III, LAHORE, Lahore Gulberg Town</t>
  </si>
  <si>
    <t>042-35785805</t>
  </si>
  <si>
    <t>1031998-7</t>
  </si>
  <si>
    <t>SHAHEEN, COMPLEX, DR. ZIAUDDIN AHMED ROAD, Karachi South SaddarTown</t>
  </si>
  <si>
    <t>0342-2880997</t>
  </si>
  <si>
    <t>2663703-7</t>
  </si>
  <si>
    <t>0345-5367273</t>
  </si>
  <si>
    <t>Sector Shop No. 30 A, Opposite Masjid Sector A, Phase 5C, DHA , Lahore Cantonement</t>
  </si>
  <si>
    <t>0312-3959733</t>
  </si>
  <si>
    <t>8962394-5</t>
  </si>
  <si>
    <t>Plot No. 245/2 S, Block 6 PECHS, Postex Head Office Karachi.</t>
  </si>
  <si>
    <t>0370-0034236</t>
  </si>
  <si>
    <t>Office No. 1, 1st Floor, Service Club Ext. Building Mereweather Road, Karachi.</t>
  </si>
  <si>
    <t xml:space="preserve">Location Information </t>
  </si>
  <si>
    <t xml:space="preserve">Location </t>
  </si>
  <si>
    <t>FBR POS ID</t>
  </si>
  <si>
    <t>PTCL No.</t>
  </si>
  <si>
    <t>Office No. 1, Services Club Extension Building, Merewether Road.Karachi</t>
  </si>
  <si>
    <t>Speed pvt ltd 1-6/11,sector -5, korangi  Industrial area ,karachi 74900 pakistan</t>
  </si>
  <si>
    <t>0300-8266453</t>
  </si>
  <si>
    <t>021-35121400</t>
  </si>
  <si>
    <t>Shop No. F-5, 1st Floor, Dolmen Mall, Clifton.</t>
  </si>
  <si>
    <t>0333-3635587</t>
  </si>
  <si>
    <t>021-35295999</t>
  </si>
  <si>
    <t>Shop No. 7, 24-B-II, Xinhua Mall, Shahrah e Noor Jahan, Gulberg III.</t>
  </si>
  <si>
    <t>0308-6604370</t>
  </si>
  <si>
    <t>042-35752802</t>
  </si>
  <si>
    <t>Shop No. 1030, Packages Mall, Shahra-e-Roomi, Walton Road.</t>
  </si>
  <si>
    <t>0306-5287802</t>
  </si>
  <si>
    <t>042-38915333</t>
  </si>
  <si>
    <t>Shop No. 188, First Floor, Centaurus Mall, Blue Area,F-8/G.</t>
  </si>
  <si>
    <t>0313-1885903</t>
  </si>
  <si>
    <t>051-2701011</t>
  </si>
  <si>
    <t>Shop No. S-2,S-14 to S-17,S-32, S-33, Ground Floor, Safa Gold Mall, Markaz F-7.</t>
  </si>
  <si>
    <t>0313-5400522</t>
  </si>
  <si>
    <t>051-2653260</t>
  </si>
  <si>
    <t>Shop No. G-6, 7, 24, 25, 26 , 47 The Forum Mall, G-20, Block 9, Main Khayaban-E-Jami, Clifton.</t>
  </si>
  <si>
    <t>0321-3909923</t>
  </si>
  <si>
    <t>021-35820398</t>
  </si>
  <si>
    <t>Shop No.GF-38, Lucky One Mall, LA-2/B, Block-21, F.B Area, Rashid Minhas Road.</t>
  </si>
  <si>
    <t>0332-3117323</t>
  </si>
  <si>
    <t>021-37181103</t>
  </si>
  <si>
    <t>Shop No. F-49, First Floor, Dolmen Mall, Clifton, Plot No. HC-3, Block-4, Clifton, Karachi</t>
  </si>
  <si>
    <t>0300-0605901</t>
  </si>
  <si>
    <t>021-35291526</t>
  </si>
  <si>
    <t xml:space="preserve">Shop No. 5 &amp; 6, ZamZam Arcade, Clifton Block 09, Clifton, Karachi. </t>
  </si>
  <si>
    <t>64-A, Fountain Avenue, Main Boulevard, Gulberg III.</t>
  </si>
  <si>
    <t>0323-4102268</t>
  </si>
  <si>
    <t>042-35756547</t>
  </si>
  <si>
    <t>Shop No. F-53, Emporium Mall, Johar Town, Lahore.</t>
  </si>
  <si>
    <t>0321-8845810</t>
  </si>
  <si>
    <t>042-32592361</t>
  </si>
  <si>
    <t>Shop No. G-52, G-53, Ground Floor, Dolmen Mall Lahore, Plot No. 158-A, Phase VI, D.H.A.</t>
  </si>
  <si>
    <t xml:space="preserve">0310-4515235 </t>
  </si>
  <si>
    <t>042-32306763</t>
  </si>
  <si>
    <t>Shop No. S-32, S-33, Ground Floor, Safa Gold Mall</t>
  </si>
  <si>
    <t>0335-9137090</t>
  </si>
  <si>
    <t>051-2654499</t>
  </si>
  <si>
    <t>Shop No. 26, Ground Floor, Giga Mall, Islamabad</t>
  </si>
  <si>
    <t xml:space="preserve">0306-8885302 </t>
  </si>
  <si>
    <t>051-2725563</t>
  </si>
  <si>
    <t>Shop No. 03, Ground Floor, Mall of Multan, Bosan Road.</t>
  </si>
  <si>
    <t>0321-6372371</t>
  </si>
  <si>
    <t>061-6521166</t>
  </si>
  <si>
    <t>Shop No. 23, 1st Floor, Lyallpur Galleria, East Canal Road.</t>
  </si>
  <si>
    <t xml:space="preserve">0306-0340213 </t>
  </si>
  <si>
    <t>041-6078727</t>
  </si>
  <si>
    <t>Office No.1, 1st Floor, Services Club Ext. Building, Merewether Road, Karachi</t>
  </si>
  <si>
    <t>Shop No. 40, Lower Ground Floor, Lucky One Mall, Rashid Minhas Road, Karachi</t>
  </si>
  <si>
    <t>0332-3604286</t>
  </si>
  <si>
    <t>021-37181359</t>
  </si>
  <si>
    <t>Outlet No. GF-03, Ground Floor, Jinnah Icon Mall, Plot No. Comm 3 Sector 40, Main Jinnah Avenue, District Malir, Karachi.</t>
  </si>
  <si>
    <t>Shop No. GF-05, Ground Floor, Plot No. 29 Kashmir Road, Saddar, Rawalpindi Cantt.</t>
  </si>
  <si>
    <t>0304-9772946</t>
  </si>
  <si>
    <t>051-6141142</t>
  </si>
  <si>
    <t>Ground Floor, G-56, Dolmen Mall Lahore, Sector A, Phase VI, DHA Lahore.</t>
  </si>
  <si>
    <t>Shop No. GF-03, Ground Floor, United Mall Gulghast, Plot No. 21-A, Main Boulevard Gulghast Colony, Multan</t>
  </si>
  <si>
    <t>Shop No. F-4, 1st Floor, Dolmen Mall, Clifton.</t>
  </si>
  <si>
    <t>0345-3066033</t>
  </si>
  <si>
    <t>021-35293953</t>
  </si>
  <si>
    <t>Shop No. GF-39, Lucky One Mall, LA-2-B, Block-21, F.B Area, Rashid Minhas Road.</t>
  </si>
  <si>
    <t>0335-2830288</t>
  </si>
  <si>
    <t>021-37181104</t>
  </si>
  <si>
    <t>Shop No. G-36, Ground Floor Emporium Mall, Johar Town.</t>
  </si>
  <si>
    <t>0323-4109412</t>
  </si>
  <si>
    <t>042-32592243</t>
  </si>
  <si>
    <t>Shop No. 1028, Packages Mall, Shahra-e-Roomi, Walton Road.</t>
  </si>
  <si>
    <t>0320-7009696</t>
  </si>
  <si>
    <t>042-38915803</t>
  </si>
  <si>
    <t>Shop No. G-51, Ground Floor, Dolmen Mall Lahore, Plot No. 158-A, Phase VI, D.H.A.</t>
  </si>
  <si>
    <t>0309-9427174</t>
  </si>
  <si>
    <t>042-32306762</t>
  </si>
  <si>
    <t>Shop No. 10, 27 Ground Floor, Centaurus Mall.</t>
  </si>
  <si>
    <t>0300-2182768</t>
  </si>
  <si>
    <t>051-2701010</t>
  </si>
  <si>
    <t>Shop No. F-48-A, First Floor, Dolmen Mall, Clifton.</t>
  </si>
  <si>
    <t>0336-3139732</t>
  </si>
  <si>
    <t>021-35293655</t>
  </si>
  <si>
    <t>Shop No. 1064, Packages Mall, Walton Road, Lahore</t>
  </si>
  <si>
    <t>0318-4179341</t>
  </si>
  <si>
    <t>042-32189769</t>
  </si>
  <si>
    <t>Shop No. G-47, Ground Floor, Dolmen Mall Lahore, Plot No. 158-A, Phase VI, D.H.A.</t>
  </si>
  <si>
    <t>0306-4791602</t>
  </si>
  <si>
    <t>042-32306761</t>
  </si>
  <si>
    <t>Office No1, 1st Floor, Services Club Extension Building, Merewether Road, Karachi</t>
  </si>
  <si>
    <t>Shop No. G-17, Ground Floor, Dolmen Mall Clifton.</t>
  </si>
  <si>
    <t xml:space="preserve">0334-3223708 </t>
  </si>
  <si>
    <t>021-35296104</t>
  </si>
  <si>
    <t>Shop No. G-34, Ground Floor Emporium Mall, Johar Town.</t>
  </si>
  <si>
    <t>0303-4900643</t>
  </si>
  <si>
    <t>042-32592244</t>
  </si>
  <si>
    <t>Shop No. 1018-A, Packages Mall, Shahra-e-Roomi, Walton Road.</t>
  </si>
  <si>
    <t>0334-4020271</t>
  </si>
  <si>
    <t>042-38913015</t>
  </si>
  <si>
    <t>Shop No. S2, Ground Floor, Safa Mall, Plot No 5, F7 Markaz.</t>
  </si>
  <si>
    <t>0331-4213952</t>
  </si>
  <si>
    <t>051-2654411</t>
  </si>
  <si>
    <t>Shop No. 11, Ground Floor GIGA Mall, DHA Phase II.</t>
  </si>
  <si>
    <t xml:space="preserve">0333-1910061 </t>
  </si>
  <si>
    <t>051-2725633</t>
  </si>
  <si>
    <t>Shop No. LG-17, Lower Ground Floor, The Lucke One Mall</t>
  </si>
  <si>
    <t xml:space="preserve"> 0337-8032862</t>
  </si>
  <si>
    <t>021- 37181170</t>
  </si>
  <si>
    <t>Shop No. LG-68-A, Inside IWC, Dolmen Mall, Tariq Road.</t>
  </si>
  <si>
    <t xml:space="preserve"> 0333 3231312</t>
  </si>
  <si>
    <t>021-34528179</t>
  </si>
  <si>
    <t>Shop No. 3-4, Ground Floor, The Boulevard Mall, 9-A/K, Gulberg-II</t>
  </si>
  <si>
    <t>0345-4144177</t>
  </si>
  <si>
    <t>042 35871365</t>
  </si>
  <si>
    <t>Inside IWC, Outlet No. G-58, Ground Floor, Dolmen Mall, Lahore</t>
  </si>
  <si>
    <t>0335-4582368</t>
  </si>
  <si>
    <t>Shop No. 60-A, Bank Road, Saddar</t>
  </si>
  <si>
    <t>0336-0193842</t>
  </si>
  <si>
    <t>042-35871365</t>
  </si>
  <si>
    <t>Shop No. GF-18, Brands Village, Khawaja Safdar Road, Sialkot</t>
  </si>
  <si>
    <t>0320-6071633</t>
  </si>
  <si>
    <t>Office No. 1, Services Club Extension Building, Merewether Road, Karachi</t>
  </si>
  <si>
    <t xml:space="preserve">ACC. DEP. FURNITURE, FIXTURES &amp; FITTINGS-OWN </t>
  </si>
  <si>
    <t xml:space="preserve">ACC. DEP. OFFICE EQUIPMENTS-OWN </t>
  </si>
  <si>
    <t xml:space="preserve">ACC. DEP. COMPUTERS-OWN </t>
  </si>
  <si>
    <t xml:space="preserve">ACC. DEP. MOTOR VEHICLES-OWN </t>
  </si>
  <si>
    <t>CWIP-FURNITURE, FIXTURES &amp; FITTINGS</t>
  </si>
  <si>
    <t xml:space="preserve">FURNITURE, FIXTURES &amp; FITTINGS-LEASED </t>
  </si>
  <si>
    <t xml:space="preserve">LONG TERM DEPOSITS R/A-RENT </t>
  </si>
  <si>
    <t xml:space="preserve">LONG TERM DEPOSITS R/A-OTHERS </t>
  </si>
  <si>
    <t xml:space="preserve">STOCK AT END-STORES </t>
  </si>
  <si>
    <t xml:space="preserve">STOCK AT END-WAREHOUSE </t>
  </si>
  <si>
    <t xml:space="preserve">STOCK AT END-SPARE PARTS </t>
  </si>
  <si>
    <t>A/P P.O.-CHARLES &amp; KEITH</t>
  </si>
  <si>
    <t>WORKERS' WELFARE FUND</t>
  </si>
  <si>
    <t>PROVISION OF SRB-RENT</t>
  </si>
  <si>
    <t>NAHEED SUPER MARKET</t>
  </si>
  <si>
    <t>MUHAMMAD IMRAN</t>
  </si>
  <si>
    <t>MUHAMMAD KAMRAN</t>
  </si>
  <si>
    <t xml:space="preserve"> ENAARA FACILITIES MANAGEMENT SERVICES (PVT.) LTD.</t>
  </si>
  <si>
    <t>YENNISARIES SECURITY SERVICES (SMC-PVT) LTD.</t>
  </si>
  <si>
    <t>JOMO TECHNOLOGIES (PVT.) LTD.</t>
  </si>
  <si>
    <t>TELENOR PAKISTAN (PVT.) LTD.</t>
  </si>
  <si>
    <t>BULLS EYE COMMUNICATIONS</t>
  </si>
  <si>
    <t>IGNITE PAKISTAN</t>
  </si>
  <si>
    <t>PHARMEVO (PVT.) LTD.</t>
  </si>
  <si>
    <t>K-ELECTRIC LIMITED</t>
  </si>
  <si>
    <t>CCL PHARMACEUTICALS (PVT.) LTD.</t>
  </si>
  <si>
    <t>MKTG CONSULTANTS (NATIONAL FOODS)</t>
  </si>
  <si>
    <t>ABUDAWOOD TRADING COMPANY</t>
  </si>
  <si>
    <t>DESCON OXYCHEM LIMITED</t>
  </si>
  <si>
    <t>BURQUE CORPORATION (PVT.) LTD.</t>
  </si>
  <si>
    <t>U-BLOX LAHORE (PVT.) LIMITED</t>
  </si>
  <si>
    <t>H&amp;S CONNECT</t>
  </si>
  <si>
    <t>VORSON (PRIVATE) LIMITED</t>
  </si>
  <si>
    <t>REBRAND (PVT.) LTD.</t>
  </si>
  <si>
    <t>NOVO NORDISK PHARMA (PVT.) LTD.</t>
  </si>
  <si>
    <t>STRUCTURE HEALTH &amp; FITNESS</t>
  </si>
  <si>
    <t>EVENT ARCHITECTS (PVT.) LTD.</t>
  </si>
  <si>
    <t>HABIB METROPOLITAN BANK LTD.</t>
  </si>
  <si>
    <t>CONTINENTAL BISCUITS LIMITED</t>
  </si>
  <si>
    <t>THE SEARLE COMPANY LIMITED</t>
  </si>
  <si>
    <t>ENGRO FERTILIZERS LIMITEDE</t>
  </si>
  <si>
    <t>BRAND LINE</t>
  </si>
  <si>
    <t>BACKBONE PRODUCTIONS (PVT.) LTD.</t>
  </si>
  <si>
    <t>GATCO PAKISTAN (PVT.) LTD.</t>
  </si>
  <si>
    <t>BAYER PAKISTAN (PVT.) LTD.</t>
  </si>
  <si>
    <t>SS1012</t>
  </si>
  <si>
    <t>C10005</t>
  </si>
  <si>
    <t>C10006</t>
  </si>
  <si>
    <t>HERO TAMEER LIMITED</t>
  </si>
  <si>
    <t>CDC - TRUSTEE DHA DOLMEN LAHORE REIT</t>
  </si>
  <si>
    <t>SERVICE LONG MARCH TYRES (PRIVATE) LIMITED</t>
  </si>
  <si>
    <t>SECURITY DEPOSIT U/S 81</t>
  </si>
  <si>
    <t>TAG HEUER SA-SWITZERLAND</t>
  </si>
  <si>
    <t>NAYATEL (PRIVATE) LIMITED</t>
  </si>
  <si>
    <t>WATEEN TELECOM LIMITED</t>
  </si>
  <si>
    <t>STANDARD CHARTERED BANK (PAKISTAN) LIMITED</t>
  </si>
  <si>
    <t>QUALITY CONSTRUCTION (PVT.) LIMITED</t>
  </si>
  <si>
    <t>BANK ALFALAH</t>
  </si>
  <si>
    <t>TAG ID</t>
  </si>
  <si>
    <t xml:space="preserve">DEBIT </t>
  </si>
  <si>
    <t xml:space="preserve">CREDIT </t>
  </si>
  <si>
    <t>A/P P.O.-WATCHES BRANDS</t>
  </si>
  <si>
    <t>EMP691</t>
  </si>
  <si>
    <t>EMP531</t>
  </si>
  <si>
    <t>KANWAL NAZA</t>
  </si>
  <si>
    <t>EMP005</t>
  </si>
  <si>
    <t>EMP052</t>
  </si>
  <si>
    <t>P10001</t>
  </si>
  <si>
    <t>EMP208</t>
  </si>
  <si>
    <t>EMP361</t>
  </si>
  <si>
    <t>EMP454</t>
  </si>
  <si>
    <t>EMP492</t>
  </si>
  <si>
    <t>EMP051</t>
  </si>
  <si>
    <r>
      <t>ACC. DEP. LEASE HOLD IMPORVEME</t>
    </r>
    <r>
      <rPr>
        <b/>
        <sz val="11"/>
        <rFont val="Calibri"/>
        <family val="2"/>
        <scheme val="minor"/>
      </rPr>
      <t xml:space="preserve">NTS-OWN </t>
    </r>
  </si>
  <si>
    <t>EMP006</t>
  </si>
  <si>
    <t>EMP028</t>
  </si>
  <si>
    <t>EMP009</t>
  </si>
  <si>
    <t>EMP062</t>
  </si>
  <si>
    <t>EMP152</t>
  </si>
  <si>
    <t>EMP161</t>
  </si>
  <si>
    <t>EMP204</t>
  </si>
  <si>
    <t>EMP428</t>
  </si>
  <si>
    <t>EMP442</t>
  </si>
  <si>
    <t>EMP557</t>
  </si>
  <si>
    <t>EMP636</t>
  </si>
  <si>
    <t>EMP649</t>
  </si>
  <si>
    <t>EMP655</t>
  </si>
  <si>
    <t>EMP015</t>
  </si>
  <si>
    <t>EMP509</t>
  </si>
  <si>
    <t>EMP690</t>
  </si>
  <si>
    <t>EMP056</t>
  </si>
  <si>
    <t>A/P-PARTIES RENT</t>
  </si>
  <si>
    <t>Account Missing</t>
  </si>
  <si>
    <t>CHART OF ACCOUNTS 31/03/2026</t>
  </si>
  <si>
    <t>House No. 113/1, Street No.31, Khayaban-e-Rahat, Phase-6 Karachi</t>
  </si>
  <si>
    <t>1179343-7</t>
  </si>
  <si>
    <t>House No. 09, Street No. 01, Sunset Link, No. 1, Phase 2, DHA Karachi</t>
  </si>
  <si>
    <t>2121225-2</t>
  </si>
  <si>
    <t>ENAARA FACILITIES MANAGEMENT SERVICES (PVT.) LTD.</t>
  </si>
  <si>
    <t>56 B-3, Gulberg III, Lahore</t>
  </si>
  <si>
    <t>0345-5882936</t>
  </si>
  <si>
    <t>9918097-7</t>
  </si>
  <si>
    <t>Head Off. Flat No. 3 1st Floor, Ghosia Plaza, Main Market, Gulberg II, Lahore</t>
  </si>
  <si>
    <t>0300-2074792</t>
  </si>
  <si>
    <t>1461408-1</t>
  </si>
  <si>
    <t>P1461408</t>
  </si>
  <si>
    <t>SERVIS HOUSE,, 2-MAIN GULBERG, MAIN GULBERG, Lahore Gulberg Town</t>
  </si>
  <si>
    <t>8274528-0</t>
  </si>
  <si>
    <t>HOUSE NO. 139\/B HDA KHOSAR SOCIETY</t>
  </si>
  <si>
    <t>4427402-5</t>
  </si>
  <si>
    <t>CDC House, 99-B, Block “B” S.M.C.H.S. Main Shahrah-e-Faisal, Karachi.</t>
  </si>
  <si>
    <t>72-F, 1st Floor, Nayatel Building, Nazim-ud-Din Road, F-7/4, Islamabad, Pakistan</t>
  </si>
  <si>
    <t>51 111 11 44 44</t>
  </si>
  <si>
    <t>2161818-6</t>
  </si>
  <si>
    <t>31/1 A, Pakistan Employees Co-Operative Housing Society, Block-6 Block 6 P.E.C.H.S., Karachi</t>
  </si>
  <si>
    <t>(021) 111 365 111</t>
  </si>
  <si>
    <t>7974036-0</t>
  </si>
  <si>
    <t>56-157, Block 3, BYJCHS, Bahadurabad Karachi, Pakistan</t>
  </si>
  <si>
    <t>021- 111 624 333</t>
  </si>
  <si>
    <t>345 Telenor Headquarter Plot No.55, River View Avenue, Block B,Gulberg Green Islamabad.</t>
  </si>
  <si>
    <t>1-C, Jami Commercial, Street 3 Phase V11, DHA, Karachi</t>
  </si>
  <si>
    <t>021-34313245</t>
  </si>
  <si>
    <t>62-College Block, Allama Iqbal Town, Lahore.</t>
  </si>
  <si>
    <t>051-9107441</t>
  </si>
  <si>
    <t>402, Business Avenue, Block 6, PECHS, Shahrah e Faisal, Karachi</t>
  </si>
  <si>
    <t>021-34315195</t>
  </si>
  <si>
    <t>Plot No. 39-B, K.E. House, Sunset Boulevard DHA Phase-II, Karachi</t>
  </si>
  <si>
    <t>021-32637133</t>
  </si>
  <si>
    <t>65, Industrial Estate, Kot Lakhpat, Lahore Nishter Town</t>
  </si>
  <si>
    <t>021-34546662</t>
  </si>
  <si>
    <t xml:space="preserve">Basement Bilal Manzil, Near Airport Link, Road Gulzar e Quid, Rawalpindi.       </t>
  </si>
  <si>
    <t>0313-2216650</t>
  </si>
  <si>
    <t>3rd Floor, Executive Tower, Dolmen City Block-4, Clifton Karachi.</t>
  </si>
  <si>
    <t>021-35205553</t>
  </si>
  <si>
    <t>Descon Headquarter, 18-KM, Ferozepur Road, Lahore</t>
  </si>
  <si>
    <t>042-35401938</t>
  </si>
  <si>
    <t>Plot No 3M, Central Commercial Area Buhadurabad, Karachi.</t>
  </si>
  <si>
    <t>021-34553713</t>
  </si>
  <si>
    <t>17th Floor, Arfa Kareem Technology Park 346 Ferozepur Road, Lahore, Nishter Town</t>
  </si>
  <si>
    <t>042-32560256</t>
  </si>
  <si>
    <t xml:space="preserve">Suite No. 02, 1st Floor, Building 69C, 24th Commercial Street Tauheed Commercial Area, Phase V, DHA Karachi  </t>
  </si>
  <si>
    <t>021 35810296</t>
  </si>
  <si>
    <t>173-W Block 2 PECHS Block 2, PECHS, Karachi</t>
  </si>
  <si>
    <t>021-34322582</t>
  </si>
  <si>
    <t xml:space="preserve">First Floor, 74/1, Main Industrial Estate, Kotlakhpat, Lahore </t>
  </si>
  <si>
    <t>042-35140438</t>
  </si>
  <si>
    <t>113 Shahrah-e-Iran Clifton, Karachi</t>
  </si>
  <si>
    <t>021-35360920</t>
  </si>
  <si>
    <t>39-A, Zafar Ali Road, Gulberg-V, Lahore Gulberg Town</t>
  </si>
  <si>
    <t>0322 2295555</t>
  </si>
  <si>
    <t xml:space="preserve">Plot No. 65/1, Street No. 22 Khayaban-e-Dadbaan, DHA Karachi </t>
  </si>
  <si>
    <t xml:space="preserve">0300-8257660 </t>
  </si>
  <si>
    <t>Ground floor, Spencer's Building, 3/1, SR 13, I. I. Chundrigar Road, Karachi</t>
  </si>
  <si>
    <t>021-35364665</t>
  </si>
  <si>
    <t>12th Floor, Q.M Building, Plot No-15, Block 7, KDA Scheme # 5, Clifton</t>
  </si>
  <si>
    <t>021-111-771-771</t>
  </si>
  <si>
    <t>2nd Floor, One IBL Centre, Plot# 1, Block 7 &amp; 8,One IBL Centre, Tipu Sultan Road, Off. Shahrah-e-Faisal, Karachi East Jamshed Town</t>
  </si>
  <si>
    <t>021-37170100</t>
  </si>
  <si>
    <t>ENGRO FERTILIZERS LIMITED</t>
  </si>
  <si>
    <t>7th Floor, The Harbour Front Building HC#3, Marine Drive, Block 4. Clifton Karachi</t>
  </si>
  <si>
    <t>042-35911281</t>
  </si>
  <si>
    <t>G-8, Zainab Tower, Link Road, Lahore.</t>
  </si>
  <si>
    <t>0321-4043622</t>
  </si>
  <si>
    <t>House# 3, Tariq Khan Street, Sohan, Islamabad.</t>
  </si>
  <si>
    <t>0345-5238771</t>
  </si>
  <si>
    <t>HQ 25, Mech DIV, Malir Cantt., Malir Town, Karachi.</t>
  </si>
  <si>
    <t>021-34902457</t>
  </si>
  <si>
    <t>Plot# 23, Sector# 22, Korangi Industrial Area. Karachi</t>
  </si>
  <si>
    <t>021-3510-8240</t>
  </si>
  <si>
    <t>042-111 345 666</t>
  </si>
  <si>
    <t>B-61, S.I.T.E. Nooriabad, Sindh 73090, Pakistan</t>
  </si>
  <si>
    <t>0323 7568973</t>
  </si>
  <si>
    <t>Standard Chartered Bank (Pakistan) Limited, I.I. Chundrigar Road, City Railway Colony, Karachi, Sindh, Pakistan.</t>
  </si>
  <si>
    <t>021-32450253</t>
  </si>
  <si>
    <t>B.A. Building, I.I. Chundrigar Road, P.O. Box 6773, Karachi-74000</t>
  </si>
  <si>
    <t>042 111 225 224</t>
  </si>
  <si>
    <t>A/P-MISCELLANEOUS</t>
  </si>
  <si>
    <t>A/P P.O. FASHION BRANDS</t>
  </si>
  <si>
    <t xml:space="preserve">A/P P.O. SPORTS BRANDS </t>
  </si>
  <si>
    <t>(RENAME)</t>
  </si>
  <si>
    <t>A/P P.O. WATCH DIVISION</t>
  </si>
  <si>
    <t>ACCOUNT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</si>
</sst>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sz val="9"/>
      <color rgb="FF242424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11" fillId="0" borderId="0" applyFont="0" applyFill="0" applyBorder="0" applyAlignment="0" applyProtection="0"/>
  </cellStyleXfs>
  <cellXfs count="34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4" fillId="0" borderId="8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2" fillId="0" borderId="0" xfId="0" applyFont="1"/>
    <xf numFmtId="0" fontId="3" fillId="0" borderId="0" xfId="0" applyFont="1"/>
    <xf numFmtId="0" fontId="0" fillId="6" borderId="5" xfId="0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0" fillId="6" borderId="7" xfId="0" applyFill="1" applyBorder="1"/>
    <xf numFmtId="0" fontId="0" fillId="7" borderId="5" xfId="0" applyFill="1" applyBorder="1"/>
    <xf numFmtId="0" fontId="0" fillId="7" borderId="7" xfId="0" applyFill="1" applyBorder="1"/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3" fillId="5" borderId="5" xfId="0" applyFont="1" applyFill="1" applyBorder="1"/>
    <xf numFmtId="0" fontId="0" fillId="5" borderId="7" xfId="0" applyFill="1" applyBorder="1"/>
    <xf numFmtId="0" fontId="3" fillId="10" borderId="5" xfId="0" applyFont="1" applyFill="1" applyBorder="1"/>
    <xf numFmtId="0" fontId="3" fillId="10" borderId="7" xfId="0" applyFont="1" applyFill="1" applyBorder="1"/>
    <xf numFmtId="0" fontId="4" fillId="9" borderId="1" xfId="0" applyFont="1" applyFill="1" applyBorder="1" applyAlignment="1">
      <alignment horizontal="center"/>
    </xf>
    <xf numFmtId="0" fontId="0" fillId="3" borderId="11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6" borderId="11" xfId="0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9" fontId="0" fillId="0" borderId="0" xfId="0" applyNumberFormat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/>
    <xf numFmtId="0" fontId="0" fillId="0" borderId="11" xfId="0" applyBorder="1" applyAlignment="1">
      <alignment horizontal="left" vertical="top"/>
    </xf>
    <xf numFmtId="0" fontId="0" fillId="0" borderId="5" xfId="0" applyBorder="1"/>
    <xf numFmtId="164" fontId="0" fillId="0" borderId="1" xfId="0" applyNumberFormat="1" applyBorder="1" applyAlignment="1">
      <alignment horizontal="left" vertical="top"/>
    </xf>
    <xf numFmtId="0" fontId="0" fillId="0" borderId="12" xfId="0" applyBorder="1"/>
    <xf numFmtId="0" fontId="0" fillId="0" borderId="7" xfId="0" applyBorder="1"/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/>
    <xf numFmtId="0" fontId="3" fillId="4" borderId="5" xfId="0" applyFont="1" applyFill="1" applyBorder="1"/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5" fillId="0" borderId="1" xfId="0" applyFont="1" applyBorder="1"/>
    <xf numFmtId="0" fontId="5" fillId="0" borderId="13" xfId="0" quotePrefix="1" applyFont="1" applyBorder="1"/>
    <xf numFmtId="0" fontId="3" fillId="0" borderId="1" xfId="0" applyFont="1" applyBorder="1"/>
    <xf numFmtId="0" fontId="0" fillId="0" borderId="0" xfId="0" quotePrefix="1"/>
    <xf numFmtId="1" fontId="0" fillId="0" borderId="1" xfId="0" applyNumberFormat="1" applyBorder="1" applyAlignment="1">
      <alignment horizontal="right" indent="1"/>
    </xf>
    <xf numFmtId="0" fontId="0" fillId="0" borderId="0" xfId="0" applyAlignment="1">
      <alignment horizontal="right" indent="1"/>
    </xf>
    <xf numFmtId="1" fontId="0" fillId="0" borderId="1" xfId="0" quotePrefix="1" applyNumberFormat="1" applyBorder="1" applyAlignment="1">
      <alignment horizontal="right" indent="1"/>
    </xf>
    <xf numFmtId="0" fontId="5" fillId="0" borderId="0" xfId="0" applyFont="1" applyAlignment="1">
      <alignment horizontal="left"/>
    </xf>
    <xf numFmtId="0" fontId="5" fillId="0" borderId="14" xfId="0" applyFont="1" applyBorder="1"/>
    <xf numFmtId="0" fontId="6" fillId="0" borderId="14" xfId="1" applyFont="1" applyBorder="1" applyAlignment="1">
      <alignment horizontal="center"/>
    </xf>
    <xf numFmtId="0" fontId="0" fillId="0" borderId="1" xfId="0" quotePrefix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vertical="top" wrapText="1"/>
    </xf>
    <xf numFmtId="1" fontId="5" fillId="0" borderId="14" xfId="0" applyNumberFormat="1" applyFont="1" applyBorder="1" applyAlignment="1">
      <alignment horizontal="left" vertical="top"/>
    </xf>
    <xf numFmtId="0" fontId="0" fillId="0" borderId="0" xfId="0" quotePrefix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quotePrefix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165" fontId="0" fillId="0" borderId="0" xfId="2" applyNumberFormat="1" applyFont="1"/>
    <xf numFmtId="165" fontId="0" fillId="0" borderId="0" xfId="2" applyNumberFormat="1" applyFont="1" applyAlignment="1">
      <alignment horizontal="center"/>
    </xf>
    <xf numFmtId="165" fontId="4" fillId="9" borderId="1" xfId="2" applyNumberFormat="1" applyFont="1" applyFill="1" applyBorder="1" applyAlignment="1">
      <alignment horizontal="center"/>
    </xf>
    <xf numFmtId="165" fontId="3" fillId="3" borderId="5" xfId="2" applyNumberFormat="1" applyFont="1" applyFill="1" applyBorder="1" applyAlignment="1">
      <alignment horizontal="center"/>
    </xf>
    <xf numFmtId="165" fontId="2" fillId="0" borderId="0" xfId="2" applyNumberFormat="1" applyFont="1" applyAlignment="1">
      <alignment horizontal="center"/>
    </xf>
    <xf numFmtId="165" fontId="0" fillId="4" borderId="5" xfId="2" applyNumberFormat="1" applyFont="1" applyFill="1" applyBorder="1" applyAlignment="1">
      <alignment horizontal="center"/>
    </xf>
    <xf numFmtId="165" fontId="3" fillId="4" borderId="5" xfId="2" applyNumberFormat="1" applyFont="1" applyFill="1" applyBorder="1" applyAlignment="1">
      <alignment horizontal="center"/>
    </xf>
    <xf numFmtId="165" fontId="0" fillId="4" borderId="7" xfId="2" applyNumberFormat="1" applyFont="1" applyFill="1" applyBorder="1" applyAlignment="1">
      <alignment horizontal="center"/>
    </xf>
    <xf numFmtId="165" fontId="0" fillId="6" borderId="5" xfId="2" applyNumberFormat="1" applyFont="1" applyFill="1" applyBorder="1" applyAlignment="1">
      <alignment horizontal="center"/>
    </xf>
    <xf numFmtId="165" fontId="3" fillId="6" borderId="5" xfId="2" applyNumberFormat="1" applyFont="1" applyFill="1" applyBorder="1" applyAlignment="1">
      <alignment horizontal="center"/>
    </xf>
    <xf numFmtId="165" fontId="0" fillId="6" borderId="7" xfId="2" applyNumberFormat="1" applyFont="1" applyFill="1" applyBorder="1" applyAlignment="1">
      <alignment horizontal="center"/>
    </xf>
    <xf numFmtId="165" fontId="0" fillId="7" borderId="5" xfId="2" applyNumberFormat="1" applyFont="1" applyFill="1" applyBorder="1" applyAlignment="1">
      <alignment horizontal="center"/>
    </xf>
    <xf numFmtId="165" fontId="0" fillId="7" borderId="7" xfId="2" applyNumberFormat="1" applyFont="1" applyFill="1" applyBorder="1" applyAlignment="1">
      <alignment horizontal="center"/>
    </xf>
    <xf numFmtId="165" fontId="3" fillId="8" borderId="5" xfId="2" applyNumberFormat="1" applyFont="1" applyFill="1" applyBorder="1" applyAlignment="1">
      <alignment horizontal="center"/>
    </xf>
    <xf numFmtId="165" fontId="0" fillId="3" borderId="5" xfId="2" applyNumberFormat="1" applyFont="1" applyFill="1" applyBorder="1" applyAlignment="1">
      <alignment horizontal="center"/>
    </xf>
    <xf numFmtId="165" fontId="0" fillId="3" borderId="7" xfId="2" applyNumberFormat="1" applyFont="1" applyFill="1" applyBorder="1" applyAlignment="1">
      <alignment horizontal="center"/>
    </xf>
    <xf numFmtId="165" fontId="0" fillId="5" borderId="5" xfId="2" applyNumberFormat="1" applyFont="1" applyFill="1" applyBorder="1" applyAlignment="1">
      <alignment horizontal="center"/>
    </xf>
    <xf numFmtId="165" fontId="3" fillId="5" borderId="5" xfId="2" applyNumberFormat="1" applyFont="1" applyFill="1" applyBorder="1" applyAlignment="1">
      <alignment horizontal="center"/>
    </xf>
    <xf numFmtId="165" fontId="0" fillId="5" borderId="0" xfId="2" applyNumberFormat="1" applyFont="1" applyFill="1" applyBorder="1" applyAlignment="1">
      <alignment horizontal="center"/>
    </xf>
    <xf numFmtId="165" fontId="3" fillId="10" borderId="7" xfId="2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/>
    <xf numFmtId="165" fontId="12" fillId="3" borderId="3" xfId="2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5" xfId="0" applyFont="1" applyFill="1" applyBorder="1"/>
    <xf numFmtId="165" fontId="12" fillId="3" borderId="5" xfId="2" applyNumberFormat="1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7" xfId="0" applyFont="1" applyFill="1" applyBorder="1"/>
    <xf numFmtId="165" fontId="12" fillId="3" borderId="7" xfId="2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165" fontId="1" fillId="4" borderId="3" xfId="2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/>
    <xf numFmtId="165" fontId="1" fillId="4" borderId="5" xfId="2" applyNumberFormat="1" applyFont="1" applyFill="1" applyBorder="1" applyAlignment="1">
      <alignment horizontal="center"/>
    </xf>
    <xf numFmtId="165" fontId="11" fillId="4" borderId="5" xfId="2" applyNumberFormat="1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/>
    <xf numFmtId="165" fontId="12" fillId="4" borderId="5" xfId="2" applyNumberFormat="1" applyFont="1" applyFill="1" applyBorder="1" applyAlignment="1">
      <alignment horizontal="center"/>
    </xf>
    <xf numFmtId="165" fontId="12" fillId="3" borderId="10" xfId="2" applyNumberFormat="1" applyFont="1" applyFill="1" applyBorder="1" applyAlignment="1">
      <alignment horizontal="center"/>
    </xf>
    <xf numFmtId="0" fontId="0" fillId="4" borderId="11" xfId="0" applyFill="1" applyBorder="1"/>
    <xf numFmtId="165" fontId="0" fillId="4" borderId="11" xfId="2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/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/>
    <xf numFmtId="165" fontId="1" fillId="6" borderId="3" xfId="2" applyNumberFormat="1" applyFont="1" applyFill="1" applyBorder="1" applyAlignment="1">
      <alignment horizontal="center"/>
    </xf>
    <xf numFmtId="165" fontId="1" fillId="6" borderId="11" xfId="2" applyNumberFormat="1" applyFont="1" applyFill="1" applyBorder="1" applyAlignment="1">
      <alignment horizontal="center"/>
    </xf>
    <xf numFmtId="165" fontId="1" fillId="6" borderId="5" xfId="2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2" fillId="6" borderId="1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5" xfId="0" applyFont="1" applyFill="1" applyBorder="1"/>
    <xf numFmtId="165" fontId="13" fillId="6" borderId="5" xfId="2" applyNumberFormat="1" applyFont="1" applyFill="1" applyBorder="1" applyAlignment="1">
      <alignment horizontal="center"/>
    </xf>
    <xf numFmtId="165" fontId="11" fillId="6" borderId="5" xfId="2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165" fontId="1" fillId="7" borderId="5" xfId="2" applyNumberFormat="1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" xfId="0" applyFont="1" applyFill="1" applyBorder="1"/>
    <xf numFmtId="165" fontId="1" fillId="7" borderId="3" xfId="2" applyNumberFormat="1" applyFont="1" applyFill="1" applyBorder="1" applyAlignment="1">
      <alignment horizontal="center"/>
    </xf>
    <xf numFmtId="165" fontId="11" fillId="7" borderId="5" xfId="2" applyNumberFormat="1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/>
    <xf numFmtId="165" fontId="12" fillId="8" borderId="10" xfId="2" applyNumberFormat="1" applyFont="1" applyFill="1" applyBorder="1" applyAlignment="1">
      <alignment horizontal="center"/>
    </xf>
    <xf numFmtId="165" fontId="12" fillId="8" borderId="3" xfId="2" applyNumberFormat="1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5" xfId="0" applyFont="1" applyFill="1" applyBorder="1"/>
    <xf numFmtId="165" fontId="12" fillId="8" borderId="5" xfId="2" applyNumberFormat="1" applyFont="1" applyFill="1" applyBorder="1" applyAlignment="1">
      <alignment horizontal="center"/>
    </xf>
    <xf numFmtId="165" fontId="12" fillId="8" borderId="11" xfId="2" applyNumberFormat="1" applyFont="1" applyFill="1" applyBorder="1" applyAlignment="1">
      <alignment horizontal="center"/>
    </xf>
    <xf numFmtId="165" fontId="3" fillId="8" borderId="11" xfId="2" applyNumberFormat="1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2" fillId="8" borderId="7" xfId="0" applyFont="1" applyFill="1" applyBorder="1"/>
    <xf numFmtId="165" fontId="12" fillId="8" borderId="7" xfId="2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165" fontId="1" fillId="3" borderId="3" xfId="2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165" fontId="1" fillId="3" borderId="5" xfId="2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165" fontId="1" fillId="5" borderId="10" xfId="2" applyNumberFormat="1" applyFont="1" applyFill="1" applyBorder="1" applyAlignment="1">
      <alignment horizontal="center"/>
    </xf>
    <xf numFmtId="165" fontId="1" fillId="5" borderId="3" xfId="2" applyNumberFormat="1" applyFont="1" applyFill="1" applyBorder="1" applyAlignment="1">
      <alignment horizontal="center"/>
    </xf>
    <xf numFmtId="165" fontId="1" fillId="5" borderId="11" xfId="2" applyNumberFormat="1" applyFont="1" applyFill="1" applyBorder="1" applyAlignment="1">
      <alignment horizontal="center"/>
    </xf>
    <xf numFmtId="165" fontId="1" fillId="5" borderId="5" xfId="2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0" fontId="12" fillId="5" borderId="11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/>
    <xf numFmtId="165" fontId="12" fillId="5" borderId="5" xfId="2" applyNumberFormat="1" applyFont="1" applyFill="1" applyBorder="1" applyAlignment="1">
      <alignment horizontal="center"/>
    </xf>
    <xf numFmtId="165" fontId="11" fillId="5" borderId="5" xfId="2" applyNumberFormat="1" applyFont="1" applyFill="1" applyBorder="1" applyAlignment="1">
      <alignment horizontal="center"/>
    </xf>
    <xf numFmtId="0" fontId="0" fillId="5" borderId="11" xfId="0" applyFill="1" applyBorder="1"/>
    <xf numFmtId="165" fontId="0" fillId="5" borderId="11" xfId="2" applyNumberFormat="1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3" xfId="0" applyFont="1" applyFill="1" applyBorder="1"/>
    <xf numFmtId="165" fontId="12" fillId="10" borderId="3" xfId="2" applyNumberFormat="1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5" xfId="0" applyFont="1" applyFill="1" applyBorder="1"/>
    <xf numFmtId="165" fontId="12" fillId="10" borderId="5" xfId="2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165" fontId="1" fillId="5" borderId="7" xfId="2" applyNumberFormat="1" applyFont="1" applyFill="1" applyBorder="1" applyAlignment="1">
      <alignment horizontal="center"/>
    </xf>
    <xf numFmtId="0" fontId="0" fillId="3" borderId="0" xfId="0" applyFill="1"/>
    <xf numFmtId="165" fontId="3" fillId="8" borderId="0" xfId="2" applyNumberFormat="1" applyFont="1" applyFill="1" applyBorder="1"/>
    <xf numFmtId="165" fontId="12" fillId="3" borderId="10" xfId="2" applyNumberFormat="1" applyFont="1" applyFill="1" applyBorder="1"/>
    <xf numFmtId="165" fontId="3" fillId="3" borderId="11" xfId="2" applyNumberFormat="1" applyFont="1" applyFill="1" applyBorder="1"/>
    <xf numFmtId="165" fontId="12" fillId="3" borderId="11" xfId="2" applyNumberFormat="1" applyFont="1" applyFill="1" applyBorder="1"/>
    <xf numFmtId="165" fontId="3" fillId="3" borderId="9" xfId="2" applyNumberFormat="1" applyFont="1" applyFill="1" applyBorder="1"/>
    <xf numFmtId="0" fontId="12" fillId="3" borderId="10" xfId="0" applyFont="1" applyFill="1" applyBorder="1"/>
    <xf numFmtId="0" fontId="12" fillId="3" borderId="2" xfId="0" applyFont="1" applyFill="1" applyBorder="1" applyAlignment="1">
      <alignment horizontal="center"/>
    </xf>
    <xf numFmtId="165" fontId="12" fillId="3" borderId="9" xfId="2" applyNumberFormat="1" applyFont="1" applyFill="1" applyBorder="1"/>
    <xf numFmtId="165" fontId="0" fillId="4" borderId="11" xfId="2" applyNumberFormat="1" applyFont="1" applyFill="1" applyBorder="1"/>
    <xf numFmtId="165" fontId="0" fillId="4" borderId="11" xfId="2" applyNumberFormat="1" applyFont="1" applyFill="1" applyBorder="1" applyAlignment="1">
      <alignment horizontal="left"/>
    </xf>
    <xf numFmtId="0" fontId="0" fillId="4" borderId="9" xfId="0" applyFill="1" applyBorder="1"/>
    <xf numFmtId="165" fontId="0" fillId="4" borderId="9" xfId="2" applyNumberFormat="1" applyFont="1" applyFill="1" applyBorder="1"/>
    <xf numFmtId="0" fontId="1" fillId="4" borderId="10" xfId="0" applyFont="1" applyFill="1" applyBorder="1"/>
    <xf numFmtId="165" fontId="1" fillId="4" borderId="10" xfId="2" applyNumberFormat="1" applyFont="1" applyFill="1" applyBorder="1"/>
    <xf numFmtId="165" fontId="1" fillId="4" borderId="11" xfId="2" applyNumberFormat="1" applyFont="1" applyFill="1" applyBorder="1"/>
    <xf numFmtId="0" fontId="1" fillId="4" borderId="11" xfId="0" applyFont="1" applyFill="1" applyBorder="1" applyAlignment="1">
      <alignment horizontal="left"/>
    </xf>
    <xf numFmtId="165" fontId="1" fillId="4" borderId="11" xfId="2" applyNumberFormat="1" applyFont="1" applyFill="1" applyBorder="1" applyAlignment="1">
      <alignment horizontal="left"/>
    </xf>
    <xf numFmtId="0" fontId="13" fillId="4" borderId="5" xfId="0" applyFont="1" applyFill="1" applyBorder="1"/>
    <xf numFmtId="0" fontId="0" fillId="6" borderId="11" xfId="0" applyFill="1" applyBorder="1"/>
    <xf numFmtId="165" fontId="0" fillId="6" borderId="11" xfId="2" applyNumberFormat="1" applyFont="1" applyFill="1" applyBorder="1"/>
    <xf numFmtId="0" fontId="0" fillId="6" borderId="9" xfId="0" applyFill="1" applyBorder="1"/>
    <xf numFmtId="165" fontId="0" fillId="6" borderId="9" xfId="2" applyNumberFormat="1" applyFont="1" applyFill="1" applyBorder="1"/>
    <xf numFmtId="165" fontId="3" fillId="6" borderId="11" xfId="2" applyNumberFormat="1" applyFont="1" applyFill="1" applyBorder="1"/>
    <xf numFmtId="165" fontId="2" fillId="6" borderId="11" xfId="2" applyNumberFormat="1" applyFont="1" applyFill="1" applyBorder="1"/>
    <xf numFmtId="165" fontId="1" fillId="6" borderId="11" xfId="2" applyNumberFormat="1" applyFont="1" applyFill="1" applyBorder="1"/>
    <xf numFmtId="165" fontId="12" fillId="6" borderId="11" xfId="2" applyNumberFormat="1" applyFont="1" applyFill="1" applyBorder="1"/>
    <xf numFmtId="0" fontId="0" fillId="0" borderId="4" xfId="0" applyBorder="1"/>
    <xf numFmtId="165" fontId="0" fillId="0" borderId="0" xfId="0" applyNumberFormat="1"/>
    <xf numFmtId="165" fontId="12" fillId="6" borderId="5" xfId="2" applyNumberFormat="1" applyFont="1" applyFill="1" applyBorder="1" applyAlignment="1">
      <alignment horizontal="center"/>
    </xf>
    <xf numFmtId="165" fontId="1" fillId="6" borderId="10" xfId="2" applyNumberFormat="1" applyFont="1" applyFill="1" applyBorder="1"/>
    <xf numFmtId="165" fontId="0" fillId="7" borderId="11" xfId="2" applyNumberFormat="1" applyFont="1" applyFill="1" applyBorder="1"/>
    <xf numFmtId="165" fontId="0" fillId="7" borderId="9" xfId="2" applyNumberFormat="1" applyFont="1" applyFill="1" applyBorder="1"/>
    <xf numFmtId="0" fontId="0" fillId="7" borderId="11" xfId="0" applyFill="1" applyBorder="1"/>
    <xf numFmtId="0" fontId="0" fillId="7" borderId="9" xfId="0" applyFill="1" applyBorder="1"/>
    <xf numFmtId="0" fontId="1" fillId="7" borderId="10" xfId="0" applyFont="1" applyFill="1" applyBorder="1"/>
    <xf numFmtId="165" fontId="1" fillId="7" borderId="10" xfId="2" applyNumberFormat="1" applyFont="1" applyFill="1" applyBorder="1"/>
    <xf numFmtId="0" fontId="1" fillId="7" borderId="11" xfId="0" applyFont="1" applyFill="1" applyBorder="1"/>
    <xf numFmtId="165" fontId="1" fillId="7" borderId="11" xfId="2" applyNumberFormat="1" applyFont="1" applyFill="1" applyBorder="1"/>
    <xf numFmtId="165" fontId="3" fillId="8" borderId="11" xfId="2" applyNumberFormat="1" applyFont="1" applyFill="1" applyBorder="1"/>
    <xf numFmtId="165" fontId="3" fillId="8" borderId="9" xfId="2" applyNumberFormat="1" applyFont="1" applyFill="1" applyBorder="1"/>
    <xf numFmtId="165" fontId="12" fillId="8" borderId="10" xfId="2" applyNumberFormat="1" applyFont="1" applyFill="1" applyBorder="1"/>
    <xf numFmtId="0" fontId="12" fillId="8" borderId="10" xfId="0" applyFont="1" applyFill="1" applyBorder="1"/>
    <xf numFmtId="0" fontId="12" fillId="8" borderId="2" xfId="0" applyFont="1" applyFill="1" applyBorder="1" applyAlignment="1">
      <alignment horizontal="center"/>
    </xf>
    <xf numFmtId="165" fontId="0" fillId="3" borderId="11" xfId="2" applyNumberFormat="1" applyFont="1" applyFill="1" applyBorder="1"/>
    <xf numFmtId="165" fontId="0" fillId="3" borderId="9" xfId="2" applyNumberFormat="1" applyFont="1" applyFill="1" applyBorder="1"/>
    <xf numFmtId="165" fontId="1" fillId="3" borderId="11" xfId="2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/>
    <xf numFmtId="165" fontId="0" fillId="5" borderId="11" xfId="2" applyNumberFormat="1" applyFont="1" applyFill="1" applyBorder="1"/>
    <xf numFmtId="165" fontId="0" fillId="5" borderId="9" xfId="2" applyNumberFormat="1" applyFont="1" applyFill="1" applyBorder="1"/>
    <xf numFmtId="165" fontId="1" fillId="5" borderId="11" xfId="2" applyNumberFormat="1" applyFont="1" applyFill="1" applyBorder="1"/>
    <xf numFmtId="165" fontId="3" fillId="5" borderId="11" xfId="2" applyNumberFormat="1" applyFont="1" applyFill="1" applyBorder="1" applyAlignment="1">
      <alignment horizontal="center"/>
    </xf>
    <xf numFmtId="165" fontId="3" fillId="10" borderId="11" xfId="2" applyNumberFormat="1" applyFont="1" applyFill="1" applyBorder="1"/>
    <xf numFmtId="165" fontId="3" fillId="10" borderId="9" xfId="2" applyNumberFormat="1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12" fillId="10" borderId="10" xfId="0" applyFont="1" applyFill="1" applyBorder="1"/>
    <xf numFmtId="165" fontId="12" fillId="10" borderId="10" xfId="2" applyNumberFormat="1" applyFont="1" applyFill="1" applyBorder="1"/>
    <xf numFmtId="165" fontId="12" fillId="6" borderId="11" xfId="2" applyNumberFormat="1" applyFont="1" applyFill="1" applyBorder="1" applyAlignment="1">
      <alignment horizontal="center"/>
    </xf>
    <xf numFmtId="165" fontId="0" fillId="3" borderId="4" xfId="2" applyNumberFormat="1" applyFont="1" applyFill="1" applyBorder="1"/>
    <xf numFmtId="165" fontId="0" fillId="3" borderId="6" xfId="2" applyNumberFormat="1" applyFont="1" applyFill="1" applyBorder="1"/>
    <xf numFmtId="165" fontId="1" fillId="3" borderId="10" xfId="2" applyNumberFormat="1" applyFont="1" applyFill="1" applyBorder="1"/>
    <xf numFmtId="0" fontId="1" fillId="3" borderId="15" xfId="0" applyFont="1" applyFill="1" applyBorder="1"/>
    <xf numFmtId="0" fontId="0" fillId="3" borderId="16" xfId="0" applyFill="1" applyBorder="1"/>
    <xf numFmtId="165" fontId="3" fillId="8" borderId="4" xfId="2" applyNumberFormat="1" applyFont="1" applyFill="1" applyBorder="1"/>
    <xf numFmtId="165" fontId="12" fillId="8" borderId="3" xfId="2" applyNumberFormat="1" applyFont="1" applyFill="1" applyBorder="1"/>
    <xf numFmtId="165" fontId="3" fillId="8" borderId="5" xfId="2" applyNumberFormat="1" applyFont="1" applyFill="1" applyBorder="1"/>
    <xf numFmtId="165" fontId="3" fillId="8" borderId="7" xfId="2" applyNumberFormat="1" applyFont="1" applyFill="1" applyBorder="1"/>
    <xf numFmtId="165" fontId="1" fillId="5" borderId="10" xfId="2" applyNumberFormat="1" applyFont="1" applyFill="1" applyBorder="1"/>
    <xf numFmtId="0" fontId="3" fillId="0" borderId="1" xfId="0" applyFont="1" applyBorder="1" applyAlignment="1">
      <alignment horizontal="center"/>
    </xf>
    <xf numFmtId="0" fontId="13" fillId="0" borderId="0" xfId="0" applyFont="1"/>
    <xf numFmtId="0" fontId="0" fillId="2" borderId="11" xfId="0" applyFill="1" applyBorder="1" applyAlignment="1">
      <alignment horizontal="center"/>
    </xf>
    <xf numFmtId="0" fontId="0" fillId="2" borderId="5" xfId="0" applyFill="1" applyBorder="1"/>
    <xf numFmtId="165" fontId="0" fillId="2" borderId="11" xfId="2" applyNumberFormat="1" applyFont="1" applyFill="1" applyBorder="1"/>
    <xf numFmtId="0" fontId="0" fillId="2" borderId="0" xfId="0" applyFill="1"/>
    <xf numFmtId="0" fontId="1" fillId="2" borderId="1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5" xfId="0" applyFont="1" applyFill="1" applyBorder="1"/>
    <xf numFmtId="165" fontId="1" fillId="2" borderId="5" xfId="2" applyNumberFormat="1" applyFont="1" applyFill="1" applyBorder="1" applyAlignment="1">
      <alignment horizontal="center"/>
    </xf>
    <xf numFmtId="165" fontId="1" fillId="2" borderId="11" xfId="2" applyNumberFormat="1" applyFont="1" applyFill="1" applyBorder="1"/>
    <xf numFmtId="165" fontId="1" fillId="2" borderId="11" xfId="2" applyNumberFormat="1" applyFont="1" applyFill="1" applyBorder="1" applyAlignment="1">
      <alignment horizontal="center"/>
    </xf>
    <xf numFmtId="0" fontId="12" fillId="2" borderId="5" xfId="0" applyFont="1" applyFill="1" applyBorder="1"/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/>
    </xf>
    <xf numFmtId="0" fontId="1" fillId="12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A63E9AEA-1AE6-4399-B7B3-F0D1C5B9F1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CJKyXNg7dgHKmxv8" TargetMode="External"/><Relationship Id="rId2" Type="http://schemas.openxmlformats.org/officeDocument/2006/relationships/hyperlink" Target="tel:(+92)%20021%20111%20597%20200" TargetMode="External"/><Relationship Id="rId1" Type="http://schemas.openxmlformats.org/officeDocument/2006/relationships/hyperlink" Target="tel:02134603452" TargetMode="External"/><Relationship Id="rId4" Type="http://schemas.openxmlformats.org/officeDocument/2006/relationships/hyperlink" Target="tel:%200800%20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54C2-3001-434E-A90F-CF279262EF4B}">
  <sheetPr>
    <tabColor rgb="FFFFFF00"/>
  </sheetPr>
  <dimension ref="A1:AA3499"/>
  <sheetViews>
    <sheetView showGridLines="0" tabSelected="1" zoomScale="110" zoomScaleNormal="110" workbookViewId="0">
      <pane xSplit="8" ySplit="4" topLeftCell="L1619" activePane="bottomRight" state="frozen"/>
      <selection pane="topRight" activeCell="G1" sqref="G1"/>
      <selection pane="bottomLeft" activeCell="A5" sqref="A5"/>
      <selection pane="bottomRight" activeCell="Q1628" sqref="Q1628"/>
    </sheetView>
  </sheetViews>
  <sheetFormatPr defaultRowHeight="14.4" x14ac:dyDescent="0.3"/>
  <cols>
    <col min="1" max="1" width="2" customWidth="1"/>
    <col min="2" max="2" width="5.88671875" style="7" customWidth="1"/>
    <col min="3" max="3" width="18.6640625" customWidth="1"/>
    <col min="4" max="4" width="13.77734375" style="139" customWidth="1"/>
    <col min="5" max="5" width="14.109375" style="139" customWidth="1"/>
    <col min="6" max="6" width="3.88671875" customWidth="1"/>
    <col min="7" max="7" width="5.88671875" style="7" bestFit="1" customWidth="1"/>
    <col min="8" max="8" width="24.5546875" customWidth="1"/>
    <col min="9" max="9" width="13.77734375" style="139" bestFit="1" customWidth="1"/>
    <col min="10" max="10" width="14.109375" style="139" bestFit="1" customWidth="1"/>
    <col min="11" max="11" width="6" bestFit="1" customWidth="1"/>
    <col min="12" max="12" width="5.88671875" style="7" bestFit="1" customWidth="1"/>
    <col min="13" max="13" width="30.77734375" customWidth="1"/>
    <col min="14" max="14" width="13.77734375" style="139" bestFit="1" customWidth="1"/>
    <col min="15" max="15" width="14.109375" style="139" bestFit="1" customWidth="1"/>
    <col min="16" max="16" width="2.21875" customWidth="1"/>
    <col min="17" max="17" width="10" style="7" bestFit="1" customWidth="1"/>
    <col min="18" max="18" width="10" style="7" customWidth="1"/>
    <col min="19" max="19" width="42.77734375" customWidth="1"/>
    <col min="20" max="21" width="14.88671875" style="140" bestFit="1" customWidth="1"/>
  </cols>
  <sheetData>
    <row r="1" spans="1:21" x14ac:dyDescent="0.3">
      <c r="B1" s="347" t="s">
        <v>2128</v>
      </c>
      <c r="C1" s="347"/>
      <c r="D1" s="347"/>
      <c r="E1" s="347"/>
      <c r="F1" s="347"/>
      <c r="G1" s="347"/>
      <c r="H1" s="347"/>
      <c r="I1" s="347"/>
      <c r="J1" s="347"/>
      <c r="K1" s="347"/>
      <c r="L1" s="347"/>
      <c r="M1" s="347"/>
      <c r="N1" s="347"/>
      <c r="O1" s="347"/>
      <c r="P1" s="347"/>
      <c r="Q1" s="347"/>
      <c r="R1" s="347"/>
      <c r="S1" s="347"/>
      <c r="T1" s="139"/>
      <c r="U1" s="139"/>
    </row>
    <row r="2" spans="1:21" x14ac:dyDescent="0.3">
      <c r="B2" s="347" t="s">
        <v>3339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139"/>
      <c r="U2" s="139"/>
    </row>
    <row r="4" spans="1:21" x14ac:dyDescent="0.3">
      <c r="B4" s="29" t="s">
        <v>1901</v>
      </c>
      <c r="C4" s="29" t="s">
        <v>1993</v>
      </c>
      <c r="D4" s="141" t="s">
        <v>3305</v>
      </c>
      <c r="E4" s="141" t="s">
        <v>3306</v>
      </c>
      <c r="G4" s="29" t="s">
        <v>1901</v>
      </c>
      <c r="H4" s="29" t="s">
        <v>1992</v>
      </c>
      <c r="I4" s="141" t="s">
        <v>3305</v>
      </c>
      <c r="J4" s="141" t="s">
        <v>3306</v>
      </c>
      <c r="L4" s="29" t="s">
        <v>1901</v>
      </c>
      <c r="M4" s="29" t="s">
        <v>1994</v>
      </c>
      <c r="N4" s="141" t="s">
        <v>3305</v>
      </c>
      <c r="O4" s="141" t="s">
        <v>3306</v>
      </c>
      <c r="Q4" s="29" t="s">
        <v>1901</v>
      </c>
      <c r="R4" s="29" t="s">
        <v>3304</v>
      </c>
      <c r="S4" s="29" t="s">
        <v>1991</v>
      </c>
      <c r="T4" s="141" t="s">
        <v>3305</v>
      </c>
      <c r="U4" s="141" t="s">
        <v>3306</v>
      </c>
    </row>
    <row r="5" spans="1:21" x14ac:dyDescent="0.3">
      <c r="B5" s="4"/>
      <c r="C5" s="4"/>
    </row>
    <row r="6" spans="1:21" x14ac:dyDescent="0.3">
      <c r="A6">
        <v>1</v>
      </c>
      <c r="B6" s="270">
        <v>1</v>
      </c>
      <c r="C6" s="269" t="s">
        <v>1996</v>
      </c>
      <c r="D6" s="265">
        <f>I6</f>
        <v>0</v>
      </c>
      <c r="E6" s="265">
        <f>J6</f>
        <v>1671498040</v>
      </c>
      <c r="F6" s="12">
        <v>10</v>
      </c>
      <c r="G6" s="159">
        <v>10</v>
      </c>
      <c r="H6" s="269" t="s">
        <v>1998</v>
      </c>
      <c r="I6" s="265">
        <f>N6+N13</f>
        <v>0</v>
      </c>
      <c r="J6" s="265">
        <f>O6+O13</f>
        <v>1671498040</v>
      </c>
      <c r="K6" s="12">
        <v>1001</v>
      </c>
      <c r="L6" s="159">
        <v>1001</v>
      </c>
      <c r="M6" s="161" t="s">
        <v>879</v>
      </c>
      <c r="N6" s="265">
        <v>0</v>
      </c>
      <c r="O6" s="265">
        <f>U6+U10</f>
        <v>363111685</v>
      </c>
      <c r="P6" s="12"/>
      <c r="Q6" s="159">
        <v>10010001</v>
      </c>
      <c r="R6" s="160"/>
      <c r="S6" s="161" t="s">
        <v>929</v>
      </c>
      <c r="T6" s="184">
        <f>T7</f>
        <v>0</v>
      </c>
      <c r="U6" s="162">
        <f>SUM(U7:U9)-SUM(T7:T9)</f>
        <v>73370900</v>
      </c>
    </row>
    <row r="7" spans="1:21" x14ac:dyDescent="0.3">
      <c r="B7" s="116"/>
      <c r="C7" s="117"/>
      <c r="D7" s="266"/>
      <c r="E7" s="266"/>
      <c r="F7" s="12"/>
      <c r="G7" s="118"/>
      <c r="H7" s="117"/>
      <c r="I7" s="266"/>
      <c r="J7" s="266"/>
      <c r="K7" s="12"/>
      <c r="L7" s="118"/>
      <c r="M7" s="119"/>
      <c r="N7" s="266"/>
      <c r="O7" s="266"/>
      <c r="P7" s="12"/>
      <c r="Q7" s="118"/>
      <c r="R7" s="123" t="s">
        <v>1181</v>
      </c>
      <c r="S7" s="119" t="s">
        <v>2139</v>
      </c>
      <c r="T7" s="142">
        <v>0</v>
      </c>
      <c r="U7" s="142">
        <v>35480000</v>
      </c>
    </row>
    <row r="8" spans="1:21" x14ac:dyDescent="0.3">
      <c r="B8" s="116"/>
      <c r="C8" s="117"/>
      <c r="D8" s="266"/>
      <c r="E8" s="266"/>
      <c r="F8" s="12"/>
      <c r="G8" s="118"/>
      <c r="H8" s="117"/>
      <c r="I8" s="266"/>
      <c r="J8" s="266"/>
      <c r="K8" s="12"/>
      <c r="L8" s="118"/>
      <c r="M8" s="119"/>
      <c r="N8" s="266"/>
      <c r="O8" s="266"/>
      <c r="P8" s="12"/>
      <c r="Q8" s="118"/>
      <c r="R8" s="123" t="s">
        <v>1182</v>
      </c>
      <c r="S8" s="119" t="s">
        <v>66</v>
      </c>
      <c r="T8" s="142">
        <v>0</v>
      </c>
      <c r="U8" s="142">
        <v>11500000</v>
      </c>
    </row>
    <row r="9" spans="1:21" x14ac:dyDescent="0.3">
      <c r="B9" s="116"/>
      <c r="C9" s="117"/>
      <c r="D9" s="266"/>
      <c r="E9" s="266"/>
      <c r="F9" s="12"/>
      <c r="G9" s="118"/>
      <c r="H9" s="117"/>
      <c r="I9" s="266"/>
      <c r="J9" s="266"/>
      <c r="K9" s="12"/>
      <c r="L9" s="118"/>
      <c r="M9" s="119"/>
      <c r="N9" s="266"/>
      <c r="O9" s="266"/>
      <c r="P9" s="12"/>
      <c r="Q9" s="118"/>
      <c r="R9" s="123" t="s">
        <v>2146</v>
      </c>
      <c r="S9" s="119" t="s">
        <v>2147</v>
      </c>
      <c r="T9" s="142">
        <v>0</v>
      </c>
      <c r="U9" s="142">
        <v>26390900</v>
      </c>
    </row>
    <row r="10" spans="1:21" x14ac:dyDescent="0.3">
      <c r="B10" s="116"/>
      <c r="C10" s="117"/>
      <c r="D10" s="266"/>
      <c r="E10" s="266"/>
      <c r="F10" s="12"/>
      <c r="G10" s="118"/>
      <c r="H10" s="117"/>
      <c r="I10" s="266"/>
      <c r="J10" s="266"/>
      <c r="K10" s="12"/>
      <c r="L10" s="118"/>
      <c r="M10" s="119"/>
      <c r="N10" s="266"/>
      <c r="O10" s="266"/>
      <c r="P10" s="12"/>
      <c r="Q10" s="163">
        <v>10010002</v>
      </c>
      <c r="R10" s="164"/>
      <c r="S10" s="165" t="s">
        <v>1995</v>
      </c>
      <c r="T10" s="166">
        <v>0</v>
      </c>
      <c r="U10" s="166">
        <f>SUM(U11)-SUM(T11)</f>
        <v>289740785</v>
      </c>
    </row>
    <row r="11" spans="1:21" x14ac:dyDescent="0.3">
      <c r="B11" s="116"/>
      <c r="C11" s="117"/>
      <c r="D11" s="266"/>
      <c r="E11" s="266"/>
      <c r="F11" s="12"/>
      <c r="G11" s="118"/>
      <c r="H11" s="117"/>
      <c r="I11" s="266"/>
      <c r="J11" s="266"/>
      <c r="K11" s="12"/>
      <c r="L11" s="118"/>
      <c r="M11" s="119"/>
      <c r="N11" s="266"/>
      <c r="O11" s="266"/>
      <c r="P11" s="12"/>
      <c r="Q11" s="118"/>
      <c r="R11" s="123" t="s">
        <v>2138</v>
      </c>
      <c r="S11" s="119" t="s">
        <v>7</v>
      </c>
      <c r="T11" s="142">
        <v>0</v>
      </c>
      <c r="U11" s="142">
        <v>289740785</v>
      </c>
    </row>
    <row r="12" spans="1:21" x14ac:dyDescent="0.3">
      <c r="B12" s="116"/>
      <c r="C12" s="117"/>
      <c r="D12" s="266"/>
      <c r="E12" s="266"/>
      <c r="F12" s="12"/>
      <c r="G12" s="118"/>
      <c r="H12" s="117"/>
      <c r="I12" s="266"/>
      <c r="J12" s="266"/>
      <c r="K12" s="12"/>
      <c r="L12" s="118"/>
      <c r="M12" s="119"/>
      <c r="N12" s="266"/>
      <c r="O12" s="266"/>
      <c r="P12" s="12"/>
      <c r="Q12" s="118"/>
      <c r="R12" s="123"/>
      <c r="S12" s="119"/>
      <c r="T12" s="142"/>
      <c r="U12" s="142"/>
    </row>
    <row r="13" spans="1:21" x14ac:dyDescent="0.3">
      <c r="B13" s="116"/>
      <c r="C13" s="117"/>
      <c r="D13" s="267"/>
      <c r="E13" s="267"/>
      <c r="F13" s="12"/>
      <c r="G13" s="118"/>
      <c r="H13" s="117"/>
      <c r="I13" s="267"/>
      <c r="J13" s="267"/>
      <c r="K13" s="12">
        <v>1002</v>
      </c>
      <c r="L13" s="163">
        <v>1002</v>
      </c>
      <c r="M13" s="165" t="s">
        <v>880</v>
      </c>
      <c r="N13" s="267">
        <v>0</v>
      </c>
      <c r="O13" s="267">
        <f>U13-T15</f>
        <v>1308386355</v>
      </c>
      <c r="P13" s="12"/>
      <c r="Q13" s="163">
        <v>10020001</v>
      </c>
      <c r="R13" s="164"/>
      <c r="S13" s="165" t="s">
        <v>880</v>
      </c>
      <c r="T13" s="166">
        <v>0</v>
      </c>
      <c r="U13" s="166">
        <f>SUM(U14)-SUM(T14)</f>
        <v>2269521093</v>
      </c>
    </row>
    <row r="14" spans="1:21" x14ac:dyDescent="0.3">
      <c r="B14" s="116"/>
      <c r="C14" s="117"/>
      <c r="D14" s="266"/>
      <c r="E14" s="266"/>
      <c r="F14" s="12"/>
      <c r="G14" s="118"/>
      <c r="H14" s="117"/>
      <c r="I14" s="266"/>
      <c r="J14" s="266"/>
      <c r="K14" s="12"/>
      <c r="L14" s="118"/>
      <c r="M14" s="119"/>
      <c r="N14" s="266"/>
      <c r="O14" s="266"/>
      <c r="P14" s="12"/>
      <c r="Q14" s="118"/>
      <c r="R14" s="123" t="s">
        <v>2138</v>
      </c>
      <c r="S14" s="119" t="s">
        <v>7</v>
      </c>
      <c r="T14" s="142">
        <v>0</v>
      </c>
      <c r="U14" s="142">
        <v>2269521093</v>
      </c>
    </row>
    <row r="15" spans="1:21" x14ac:dyDescent="0.3">
      <c r="B15" s="116"/>
      <c r="C15" s="117"/>
      <c r="D15" s="266"/>
      <c r="E15" s="266"/>
      <c r="F15" s="12"/>
      <c r="G15" s="118"/>
      <c r="H15" s="117"/>
      <c r="I15" s="266"/>
      <c r="J15" s="266"/>
      <c r="K15" s="12"/>
      <c r="L15" s="118"/>
      <c r="M15" s="119"/>
      <c r="N15" s="266"/>
      <c r="O15" s="266"/>
      <c r="P15" s="12"/>
      <c r="Q15" s="163">
        <v>10020002</v>
      </c>
      <c r="R15" s="164"/>
      <c r="S15" s="165" t="s">
        <v>930</v>
      </c>
      <c r="T15" s="166">
        <f>SUM(T16:T19)-SUM(U16:U19)</f>
        <v>961134738</v>
      </c>
      <c r="U15" s="166">
        <v>0</v>
      </c>
    </row>
    <row r="16" spans="1:21" x14ac:dyDescent="0.3">
      <c r="B16" s="116"/>
      <c r="C16" s="117"/>
      <c r="D16" s="266"/>
      <c r="E16" s="266"/>
      <c r="F16" s="12"/>
      <c r="G16" s="118"/>
      <c r="H16" s="117"/>
      <c r="I16" s="266"/>
      <c r="J16" s="266"/>
      <c r="K16" s="12"/>
      <c r="L16" s="118"/>
      <c r="M16" s="119"/>
      <c r="N16" s="266"/>
      <c r="O16" s="266"/>
      <c r="P16" s="12"/>
      <c r="Q16" s="118"/>
      <c r="R16" s="123" t="s">
        <v>1181</v>
      </c>
      <c r="S16" s="119" t="s">
        <v>2139</v>
      </c>
      <c r="T16" s="142">
        <v>42576000</v>
      </c>
      <c r="U16" s="142">
        <v>0</v>
      </c>
    </row>
    <row r="17" spans="1:21" x14ac:dyDescent="0.3">
      <c r="B17" s="116"/>
      <c r="C17" s="117"/>
      <c r="D17" s="266"/>
      <c r="E17" s="266"/>
      <c r="F17" s="12"/>
      <c r="G17" s="118"/>
      <c r="H17" s="117"/>
      <c r="I17" s="266"/>
      <c r="J17" s="266"/>
      <c r="K17" s="12"/>
      <c r="L17" s="118"/>
      <c r="M17" s="119"/>
      <c r="N17" s="266"/>
      <c r="O17" s="266"/>
      <c r="P17" s="12"/>
      <c r="Q17" s="118"/>
      <c r="R17" s="123" t="s">
        <v>1182</v>
      </c>
      <c r="S17" s="119" t="s">
        <v>66</v>
      </c>
      <c r="T17" s="142">
        <v>13800000</v>
      </c>
      <c r="U17" s="142">
        <v>0</v>
      </c>
    </row>
    <row r="18" spans="1:21" x14ac:dyDescent="0.3">
      <c r="B18" s="116"/>
      <c r="C18" s="117"/>
      <c r="D18" s="266"/>
      <c r="E18" s="266"/>
      <c r="F18" s="12"/>
      <c r="G18" s="118"/>
      <c r="H18" s="117"/>
      <c r="I18" s="266"/>
      <c r="J18" s="266"/>
      <c r="K18" s="12"/>
      <c r="L18" s="118"/>
      <c r="M18" s="119"/>
      <c r="N18" s="266"/>
      <c r="O18" s="266"/>
      <c r="P18" s="12"/>
      <c r="Q18" s="118"/>
      <c r="R18" s="123" t="s">
        <v>2138</v>
      </c>
      <c r="S18" s="119" t="s">
        <v>7</v>
      </c>
      <c r="T18" s="142">
        <v>873089658</v>
      </c>
      <c r="U18" s="142">
        <v>0</v>
      </c>
    </row>
    <row r="19" spans="1:21" x14ac:dyDescent="0.3">
      <c r="B19" s="116"/>
      <c r="C19" s="117"/>
      <c r="D19" s="266"/>
      <c r="E19" s="266"/>
      <c r="F19" s="12"/>
      <c r="G19" s="118"/>
      <c r="H19" s="117"/>
      <c r="I19" s="266"/>
      <c r="J19" s="266"/>
      <c r="K19" s="12"/>
      <c r="L19" s="118"/>
      <c r="M19" s="119"/>
      <c r="N19" s="266"/>
      <c r="O19" s="266"/>
      <c r="P19" s="12"/>
      <c r="Q19" s="118"/>
      <c r="R19" s="123" t="s">
        <v>2146</v>
      </c>
      <c r="S19" s="119" t="s">
        <v>2147</v>
      </c>
      <c r="T19" s="142">
        <v>31669080</v>
      </c>
      <c r="U19" s="142">
        <v>0</v>
      </c>
    </row>
    <row r="20" spans="1:21" x14ac:dyDescent="0.3">
      <c r="B20" s="116"/>
      <c r="C20" s="117"/>
      <c r="D20" s="266"/>
      <c r="E20" s="266"/>
      <c r="F20" s="12"/>
      <c r="G20" s="118"/>
      <c r="H20" s="117"/>
      <c r="I20" s="266"/>
      <c r="J20" s="266"/>
      <c r="K20" s="12"/>
      <c r="L20" s="118"/>
      <c r="M20" s="119"/>
      <c r="N20" s="266"/>
      <c r="O20" s="266"/>
      <c r="P20" s="12"/>
      <c r="Q20" s="118"/>
      <c r="R20" s="123"/>
      <c r="S20" s="119"/>
      <c r="T20" s="142"/>
      <c r="U20" s="142"/>
    </row>
    <row r="21" spans="1:21" x14ac:dyDescent="0.3">
      <c r="B21" s="116"/>
      <c r="C21" s="117"/>
      <c r="D21" s="266"/>
      <c r="E21" s="266"/>
      <c r="F21" s="12"/>
      <c r="G21" s="118"/>
      <c r="H21" s="117"/>
      <c r="I21" s="266"/>
      <c r="J21" s="266"/>
      <c r="K21" s="12">
        <v>1003</v>
      </c>
      <c r="L21" s="163">
        <v>1003</v>
      </c>
      <c r="M21" s="165" t="s">
        <v>881</v>
      </c>
      <c r="N21" s="267">
        <v>0</v>
      </c>
      <c r="O21" s="267">
        <f>U21+U22+U23</f>
        <v>0</v>
      </c>
      <c r="P21" s="12"/>
      <c r="Q21" s="163">
        <v>10030001</v>
      </c>
      <c r="R21" s="164"/>
      <c r="S21" s="165" t="s">
        <v>931</v>
      </c>
      <c r="T21" s="166">
        <v>0</v>
      </c>
      <c r="U21" s="166">
        <v>0</v>
      </c>
    </row>
    <row r="22" spans="1:21" x14ac:dyDescent="0.3">
      <c r="B22" s="116"/>
      <c r="C22" s="117"/>
      <c r="D22" s="266"/>
      <c r="E22" s="266"/>
      <c r="F22" s="12"/>
      <c r="G22" s="118"/>
      <c r="H22" s="117"/>
      <c r="I22" s="266"/>
      <c r="J22" s="266"/>
      <c r="K22" s="12"/>
      <c r="L22" s="118"/>
      <c r="M22" s="119"/>
      <c r="N22" s="266"/>
      <c r="O22" s="266"/>
      <c r="P22" s="12"/>
      <c r="Q22" s="163">
        <v>10030002</v>
      </c>
      <c r="R22" s="164"/>
      <c r="S22" s="165" t="s">
        <v>932</v>
      </c>
      <c r="T22" s="166">
        <v>0</v>
      </c>
      <c r="U22" s="166">
        <v>0</v>
      </c>
    </row>
    <row r="23" spans="1:21" x14ac:dyDescent="0.3">
      <c r="B23" s="116"/>
      <c r="C23" s="117"/>
      <c r="D23" s="266"/>
      <c r="E23" s="266"/>
      <c r="F23" s="12"/>
      <c r="G23" s="118"/>
      <c r="H23" s="117"/>
      <c r="I23" s="266"/>
      <c r="J23" s="266"/>
      <c r="K23" s="12"/>
      <c r="L23" s="118"/>
      <c r="M23" s="119"/>
      <c r="N23" s="266"/>
      <c r="O23" s="266"/>
      <c r="P23" s="12"/>
      <c r="Q23" s="163">
        <v>10030003</v>
      </c>
      <c r="R23" s="164"/>
      <c r="S23" s="165" t="s">
        <v>933</v>
      </c>
      <c r="T23" s="166">
        <v>0</v>
      </c>
      <c r="U23" s="166">
        <v>0</v>
      </c>
    </row>
    <row r="24" spans="1:21" x14ac:dyDescent="0.3">
      <c r="B24" s="116"/>
      <c r="C24" s="117"/>
      <c r="D24" s="266"/>
      <c r="E24" s="266"/>
      <c r="F24" s="12"/>
      <c r="G24" s="118"/>
      <c r="H24" s="117"/>
      <c r="I24" s="266"/>
      <c r="J24" s="266"/>
      <c r="K24" s="12"/>
      <c r="L24" s="118"/>
      <c r="M24" s="119"/>
      <c r="N24" s="266"/>
      <c r="O24" s="266"/>
      <c r="P24" s="12"/>
      <c r="Q24" s="163"/>
      <c r="R24" s="164"/>
      <c r="S24" s="165"/>
      <c r="T24" s="166"/>
      <c r="U24" s="166"/>
    </row>
    <row r="25" spans="1:21" x14ac:dyDescent="0.3">
      <c r="B25" s="120"/>
      <c r="C25" s="121"/>
      <c r="D25" s="268"/>
      <c r="E25" s="268"/>
      <c r="F25" s="12"/>
      <c r="G25" s="122"/>
      <c r="H25" s="121"/>
      <c r="I25" s="268"/>
      <c r="J25" s="268"/>
      <c r="K25" s="12">
        <v>1004</v>
      </c>
      <c r="L25" s="167">
        <v>1004</v>
      </c>
      <c r="M25" s="169" t="s">
        <v>882</v>
      </c>
      <c r="N25" s="271">
        <v>0</v>
      </c>
      <c r="O25" s="271">
        <f>U25</f>
        <v>0</v>
      </c>
      <c r="P25" s="12"/>
      <c r="Q25" s="167">
        <v>10040001</v>
      </c>
      <c r="R25" s="168"/>
      <c r="S25" s="169" t="s">
        <v>934</v>
      </c>
      <c r="T25" s="170">
        <v>0</v>
      </c>
      <c r="U25" s="170">
        <v>0</v>
      </c>
    </row>
    <row r="26" spans="1:21" x14ac:dyDescent="0.3">
      <c r="Q26" s="8"/>
      <c r="R26" s="8"/>
      <c r="T26" s="143"/>
      <c r="U26" s="143"/>
    </row>
    <row r="27" spans="1:21" x14ac:dyDescent="0.3">
      <c r="A27">
        <v>2</v>
      </c>
      <c r="B27" s="171">
        <v>2</v>
      </c>
      <c r="C27" s="276" t="s">
        <v>1997</v>
      </c>
      <c r="D27" s="277">
        <v>0</v>
      </c>
      <c r="E27" s="277">
        <f>J27+J45</f>
        <v>1512023873.0699999</v>
      </c>
      <c r="F27">
        <v>11</v>
      </c>
      <c r="G27" s="171">
        <v>11</v>
      </c>
      <c r="H27" s="276" t="s">
        <v>871</v>
      </c>
      <c r="I27" s="277">
        <v>0</v>
      </c>
      <c r="J27" s="277">
        <f>O27+O30+O32+O38+O42</f>
        <v>978152017</v>
      </c>
      <c r="K27">
        <v>1101</v>
      </c>
      <c r="L27" s="171">
        <v>1101</v>
      </c>
      <c r="M27" s="276" t="s">
        <v>883</v>
      </c>
      <c r="N27" s="277">
        <v>0</v>
      </c>
      <c r="O27" s="277">
        <f>U27+U28</f>
        <v>0</v>
      </c>
      <c r="Q27" s="171">
        <v>11010001</v>
      </c>
      <c r="R27" s="172"/>
      <c r="S27" s="173" t="s">
        <v>935</v>
      </c>
      <c r="T27" s="174">
        <v>0</v>
      </c>
      <c r="U27" s="174">
        <v>0</v>
      </c>
    </row>
    <row r="28" spans="1:21" x14ac:dyDescent="0.3">
      <c r="B28" s="34"/>
      <c r="C28" s="185"/>
      <c r="D28" s="272"/>
      <c r="E28" s="272"/>
      <c r="G28" s="34"/>
      <c r="H28" s="185"/>
      <c r="I28" s="272"/>
      <c r="J28" s="272"/>
      <c r="L28" s="34"/>
      <c r="M28" s="185"/>
      <c r="N28" s="272"/>
      <c r="O28" s="272"/>
      <c r="Q28" s="175">
        <v>11010002</v>
      </c>
      <c r="R28" s="176"/>
      <c r="S28" s="177" t="s">
        <v>936</v>
      </c>
      <c r="T28" s="178">
        <v>0</v>
      </c>
      <c r="U28" s="178">
        <v>0</v>
      </c>
    </row>
    <row r="29" spans="1:21" x14ac:dyDescent="0.3">
      <c r="B29" s="34"/>
      <c r="C29" s="185"/>
      <c r="D29" s="272"/>
      <c r="E29" s="272"/>
      <c r="G29" s="34"/>
      <c r="H29" s="185"/>
      <c r="I29" s="272"/>
      <c r="J29" s="272"/>
      <c r="L29" s="34"/>
      <c r="M29" s="185"/>
      <c r="N29" s="272"/>
      <c r="O29" s="272"/>
      <c r="Q29" s="175"/>
      <c r="R29" s="176"/>
      <c r="S29" s="177"/>
      <c r="T29" s="178"/>
      <c r="U29" s="178"/>
    </row>
    <row r="30" spans="1:21" x14ac:dyDescent="0.3">
      <c r="B30" s="34"/>
      <c r="C30" s="185"/>
      <c r="D30" s="272"/>
      <c r="E30" s="272"/>
      <c r="G30" s="34"/>
      <c r="H30" s="185"/>
      <c r="I30" s="272"/>
      <c r="J30" s="272"/>
      <c r="K30">
        <v>1102</v>
      </c>
      <c r="L30" s="175">
        <v>1102</v>
      </c>
      <c r="M30" s="188" t="s">
        <v>884</v>
      </c>
      <c r="N30" s="278">
        <v>0</v>
      </c>
      <c r="O30" s="278">
        <f>U30</f>
        <v>0</v>
      </c>
      <c r="Q30" s="175">
        <v>11020001</v>
      </c>
      <c r="R30" s="176"/>
      <c r="S30" s="177" t="s">
        <v>937</v>
      </c>
      <c r="T30" s="178">
        <v>0</v>
      </c>
      <c r="U30" s="178">
        <v>0</v>
      </c>
    </row>
    <row r="31" spans="1:21" x14ac:dyDescent="0.3">
      <c r="B31" s="34"/>
      <c r="C31" s="185"/>
      <c r="D31" s="272"/>
      <c r="E31" s="272"/>
      <c r="G31" s="34"/>
      <c r="H31" s="185"/>
      <c r="I31" s="272"/>
      <c r="J31" s="272"/>
      <c r="L31" s="175"/>
      <c r="M31" s="188"/>
      <c r="N31" s="278"/>
      <c r="O31" s="278"/>
      <c r="Q31" s="175"/>
      <c r="R31" s="176"/>
      <c r="S31" s="177"/>
      <c r="T31" s="178"/>
      <c r="U31" s="178"/>
    </row>
    <row r="32" spans="1:21" x14ac:dyDescent="0.3">
      <c r="B32" s="34"/>
      <c r="C32" s="185"/>
      <c r="D32" s="272"/>
      <c r="E32" s="272"/>
      <c r="G32" s="34"/>
      <c r="H32" s="185"/>
      <c r="I32" s="272"/>
      <c r="J32" s="272"/>
      <c r="K32">
        <v>1103</v>
      </c>
      <c r="L32" s="175">
        <v>1103</v>
      </c>
      <c r="M32" s="188" t="s">
        <v>885</v>
      </c>
      <c r="N32" s="278">
        <v>0</v>
      </c>
      <c r="O32" s="278">
        <f>U32+U34+U36</f>
        <v>600000</v>
      </c>
      <c r="Q32" s="175">
        <v>11030001</v>
      </c>
      <c r="R32" s="176"/>
      <c r="S32" s="177" t="s">
        <v>1999</v>
      </c>
      <c r="T32" s="178">
        <f>T33</f>
        <v>0</v>
      </c>
      <c r="U32" s="178">
        <f>SUM(U33)-SUM(T33)</f>
        <v>500000</v>
      </c>
    </row>
    <row r="33" spans="2:21" x14ac:dyDescent="0.3">
      <c r="B33" s="34"/>
      <c r="C33" s="185"/>
      <c r="D33" s="272"/>
      <c r="E33" s="272"/>
      <c r="G33" s="34"/>
      <c r="H33" s="185"/>
      <c r="I33" s="272"/>
      <c r="J33" s="272"/>
      <c r="L33" s="34"/>
      <c r="M33" s="185"/>
      <c r="N33" s="272"/>
      <c r="O33" s="272"/>
      <c r="Q33" s="175"/>
      <c r="R33" s="124">
        <v>310001</v>
      </c>
      <c r="S33" s="9" t="s">
        <v>68</v>
      </c>
      <c r="T33" s="179">
        <v>0</v>
      </c>
      <c r="U33" s="179">
        <v>500000</v>
      </c>
    </row>
    <row r="34" spans="2:21" x14ac:dyDescent="0.3">
      <c r="B34" s="34"/>
      <c r="C34" s="185"/>
      <c r="D34" s="272"/>
      <c r="E34" s="272"/>
      <c r="G34" s="34"/>
      <c r="H34" s="185"/>
      <c r="I34" s="272"/>
      <c r="J34" s="272"/>
      <c r="L34" s="34"/>
      <c r="M34" s="185"/>
      <c r="N34" s="272"/>
      <c r="O34" s="272"/>
      <c r="Q34" s="175">
        <v>11030002</v>
      </c>
      <c r="R34" s="176"/>
      <c r="S34" s="177" t="s">
        <v>938</v>
      </c>
      <c r="T34" s="178">
        <f>T35</f>
        <v>0</v>
      </c>
      <c r="U34" s="178">
        <f>SUM(U35)-SUM(T35)</f>
        <v>100000</v>
      </c>
    </row>
    <row r="35" spans="2:21" x14ac:dyDescent="0.3">
      <c r="B35" s="34"/>
      <c r="C35" s="185"/>
      <c r="D35" s="272"/>
      <c r="E35" s="272"/>
      <c r="G35" s="34"/>
      <c r="H35" s="185"/>
      <c r="I35" s="272"/>
      <c r="J35" s="272"/>
      <c r="L35" s="34"/>
      <c r="M35" s="185"/>
      <c r="N35" s="272"/>
      <c r="O35" s="272"/>
      <c r="Q35" s="175"/>
      <c r="R35" s="124">
        <v>310047</v>
      </c>
      <c r="S35" s="9" t="s">
        <v>3260</v>
      </c>
      <c r="T35" s="179">
        <v>0</v>
      </c>
      <c r="U35" s="179">
        <v>100000</v>
      </c>
    </row>
    <row r="36" spans="2:21" x14ac:dyDescent="0.3">
      <c r="B36" s="34"/>
      <c r="C36" s="185"/>
      <c r="D36" s="272"/>
      <c r="E36" s="272"/>
      <c r="G36" s="34"/>
      <c r="H36" s="185"/>
      <c r="I36" s="272"/>
      <c r="J36" s="272"/>
      <c r="L36" s="34"/>
      <c r="M36" s="185"/>
      <c r="N36" s="272"/>
      <c r="O36" s="272"/>
      <c r="Q36" s="175">
        <v>11030003</v>
      </c>
      <c r="R36" s="176"/>
      <c r="S36" s="177" t="s">
        <v>939</v>
      </c>
      <c r="T36" s="178">
        <v>0</v>
      </c>
      <c r="U36" s="178">
        <v>0</v>
      </c>
    </row>
    <row r="37" spans="2:21" x14ac:dyDescent="0.3">
      <c r="B37" s="34"/>
      <c r="C37" s="185"/>
      <c r="D37" s="272"/>
      <c r="E37" s="272"/>
      <c r="G37" s="34"/>
      <c r="H37" s="185"/>
      <c r="I37" s="272"/>
      <c r="J37" s="272"/>
      <c r="L37" s="34"/>
      <c r="M37" s="185"/>
      <c r="N37" s="272"/>
      <c r="O37" s="272"/>
      <c r="Q37" s="175"/>
      <c r="R37" s="176"/>
      <c r="S37" s="177"/>
      <c r="T37" s="178"/>
      <c r="U37" s="178"/>
    </row>
    <row r="38" spans="2:21" x14ac:dyDescent="0.3">
      <c r="B38" s="34"/>
      <c r="C38" s="185"/>
      <c r="D38" s="272"/>
      <c r="E38" s="272"/>
      <c r="G38" s="34"/>
      <c r="H38" s="185"/>
      <c r="I38" s="272"/>
      <c r="J38" s="272"/>
      <c r="K38">
        <v>1104</v>
      </c>
      <c r="L38" s="175">
        <v>1104</v>
      </c>
      <c r="M38" s="188" t="s">
        <v>2000</v>
      </c>
      <c r="N38" s="278">
        <v>0</v>
      </c>
      <c r="O38" s="278">
        <f>U38</f>
        <v>977552017</v>
      </c>
      <c r="Q38" s="175">
        <v>11040001</v>
      </c>
      <c r="R38" s="176"/>
      <c r="S38" s="177" t="s">
        <v>2000</v>
      </c>
      <c r="T38" s="178">
        <f>T39</f>
        <v>0</v>
      </c>
      <c r="U38" s="178">
        <f>SUM(U39)-SUM(T39)</f>
        <v>977552017</v>
      </c>
    </row>
    <row r="39" spans="2:21" x14ac:dyDescent="0.3">
      <c r="B39" s="34"/>
      <c r="C39" s="185"/>
      <c r="D39" s="272"/>
      <c r="E39" s="272"/>
      <c r="G39" s="34"/>
      <c r="H39" s="185"/>
      <c r="I39" s="272"/>
      <c r="J39" s="272"/>
      <c r="L39" s="34"/>
      <c r="M39" s="185"/>
      <c r="N39" s="272"/>
      <c r="O39" s="272"/>
      <c r="Q39" s="34"/>
      <c r="R39" s="124" t="s">
        <v>2138</v>
      </c>
      <c r="S39" s="9" t="s">
        <v>7</v>
      </c>
      <c r="T39" s="144">
        <v>0</v>
      </c>
      <c r="U39" s="144">
        <v>977552017</v>
      </c>
    </row>
    <row r="40" spans="2:21" x14ac:dyDescent="0.3">
      <c r="B40" s="34"/>
      <c r="C40" s="185"/>
      <c r="D40" s="272"/>
      <c r="E40" s="272"/>
      <c r="G40" s="34"/>
      <c r="H40" s="185"/>
      <c r="I40" s="272"/>
      <c r="J40" s="272"/>
      <c r="L40" s="34"/>
      <c r="M40" s="185"/>
      <c r="N40" s="272"/>
      <c r="O40" s="272"/>
      <c r="Q40" s="34"/>
      <c r="R40" s="124"/>
      <c r="S40" s="9"/>
      <c r="T40" s="144"/>
      <c r="U40" s="144"/>
    </row>
    <row r="41" spans="2:21" x14ac:dyDescent="0.3">
      <c r="B41" s="34"/>
      <c r="C41" s="185"/>
      <c r="D41" s="272"/>
      <c r="E41" s="272"/>
      <c r="G41" s="34"/>
      <c r="H41" s="185"/>
      <c r="I41" s="272"/>
      <c r="J41" s="272"/>
      <c r="L41" s="34"/>
      <c r="M41" s="185"/>
      <c r="N41" s="272"/>
      <c r="O41" s="272"/>
      <c r="Q41" s="34"/>
      <c r="R41" s="124"/>
      <c r="S41" s="9"/>
      <c r="T41" s="144"/>
      <c r="U41" s="144"/>
    </row>
    <row r="42" spans="2:21" x14ac:dyDescent="0.3">
      <c r="B42" s="34"/>
      <c r="C42" s="185"/>
      <c r="D42" s="272"/>
      <c r="E42" s="272"/>
      <c r="G42" s="34"/>
      <c r="H42" s="185"/>
      <c r="I42" s="272"/>
      <c r="J42" s="272"/>
      <c r="K42">
        <v>1105</v>
      </c>
      <c r="L42" s="175">
        <v>1105</v>
      </c>
      <c r="M42" s="188" t="s">
        <v>872</v>
      </c>
      <c r="N42" s="278">
        <v>0</v>
      </c>
      <c r="O42" s="278">
        <f>U42</f>
        <v>0</v>
      </c>
      <c r="Q42" s="175">
        <v>11050001</v>
      </c>
      <c r="R42" s="176"/>
      <c r="S42" s="177" t="s">
        <v>872</v>
      </c>
      <c r="T42" s="178">
        <v>0</v>
      </c>
      <c r="U42" s="178">
        <v>0</v>
      </c>
    </row>
    <row r="43" spans="2:21" x14ac:dyDescent="0.3">
      <c r="B43" s="34"/>
      <c r="C43" s="185"/>
      <c r="D43" s="272"/>
      <c r="E43" s="272"/>
      <c r="G43" s="34"/>
      <c r="H43" s="185"/>
      <c r="I43" s="272"/>
      <c r="J43" s="272"/>
      <c r="L43" s="34"/>
      <c r="M43" s="185"/>
      <c r="N43" s="272"/>
      <c r="O43" s="272"/>
      <c r="Q43" s="34"/>
      <c r="R43" s="124"/>
      <c r="S43" s="9"/>
      <c r="T43" s="144"/>
      <c r="U43" s="144"/>
    </row>
    <row r="44" spans="2:21" x14ac:dyDescent="0.3">
      <c r="B44" s="34"/>
      <c r="C44" s="185"/>
      <c r="D44" s="272"/>
      <c r="E44" s="272"/>
      <c r="G44" s="34"/>
      <c r="H44" s="185"/>
      <c r="I44" s="272"/>
      <c r="J44" s="272"/>
      <c r="L44" s="34"/>
      <c r="M44" s="185"/>
      <c r="N44" s="272"/>
      <c r="O44" s="272"/>
      <c r="Q44" s="34"/>
      <c r="R44" s="124"/>
      <c r="S44" s="9"/>
      <c r="T44" s="144"/>
      <c r="U44" s="144"/>
    </row>
    <row r="45" spans="2:21" x14ac:dyDescent="0.3">
      <c r="B45" s="34"/>
      <c r="C45" s="185"/>
      <c r="D45" s="272"/>
      <c r="E45" s="272"/>
      <c r="F45">
        <v>12</v>
      </c>
      <c r="G45" s="175">
        <v>12</v>
      </c>
      <c r="H45" s="188" t="s">
        <v>873</v>
      </c>
      <c r="I45" s="278">
        <v>0</v>
      </c>
      <c r="J45" s="278">
        <f>O45+O51+O57+O185+O195+O199+O210+O343+O345+O350+O353</f>
        <v>533871856.06999999</v>
      </c>
      <c r="K45">
        <v>1201</v>
      </c>
      <c r="L45" s="175">
        <v>1201</v>
      </c>
      <c r="M45" s="188" t="s">
        <v>2001</v>
      </c>
      <c r="N45" s="278">
        <v>0</v>
      </c>
      <c r="O45" s="278">
        <f>U45+U46+U47+U48</f>
        <v>134434228</v>
      </c>
      <c r="Q45" s="175">
        <v>12010001</v>
      </c>
      <c r="R45" s="176"/>
      <c r="S45" s="177" t="s">
        <v>2002</v>
      </c>
      <c r="T45" s="178">
        <v>0</v>
      </c>
      <c r="U45" s="178">
        <v>0</v>
      </c>
    </row>
    <row r="46" spans="2:21" x14ac:dyDescent="0.3">
      <c r="B46" s="34"/>
      <c r="C46" s="185"/>
      <c r="D46" s="272"/>
      <c r="E46" s="272"/>
      <c r="G46" s="34"/>
      <c r="H46" s="185"/>
      <c r="I46" s="272"/>
      <c r="J46" s="272"/>
      <c r="L46" s="34"/>
      <c r="M46" s="185"/>
      <c r="N46" s="272"/>
      <c r="O46" s="272"/>
      <c r="Q46" s="175">
        <v>12010002</v>
      </c>
      <c r="R46" s="176"/>
      <c r="S46" s="177" t="s">
        <v>2003</v>
      </c>
      <c r="T46" s="178">
        <v>0</v>
      </c>
      <c r="U46" s="178">
        <v>0</v>
      </c>
    </row>
    <row r="47" spans="2:21" x14ac:dyDescent="0.3">
      <c r="B47" s="34"/>
      <c r="C47" s="185"/>
      <c r="D47" s="272"/>
      <c r="E47" s="272"/>
      <c r="G47" s="34"/>
      <c r="H47" s="185"/>
      <c r="I47" s="272"/>
      <c r="J47" s="272"/>
      <c r="L47" s="34"/>
      <c r="M47" s="185"/>
      <c r="N47" s="272"/>
      <c r="O47" s="272"/>
      <c r="Q47" s="175">
        <v>12010003</v>
      </c>
      <c r="R47" s="176"/>
      <c r="S47" s="177" t="s">
        <v>2004</v>
      </c>
      <c r="T47" s="178">
        <v>0</v>
      </c>
      <c r="U47" s="178">
        <v>0</v>
      </c>
    </row>
    <row r="48" spans="2:21" x14ac:dyDescent="0.3">
      <c r="B48" s="34"/>
      <c r="C48" s="185"/>
      <c r="D48" s="272"/>
      <c r="E48" s="272"/>
      <c r="G48" s="34"/>
      <c r="H48" s="185"/>
      <c r="I48" s="272"/>
      <c r="J48" s="272"/>
      <c r="L48" s="34"/>
      <c r="M48" s="185"/>
      <c r="N48" s="272"/>
      <c r="O48" s="272"/>
      <c r="Q48" s="175">
        <v>12010004</v>
      </c>
      <c r="R48" s="176"/>
      <c r="S48" s="177" t="s">
        <v>2005</v>
      </c>
      <c r="T48" s="178">
        <f>T49</f>
        <v>0</v>
      </c>
      <c r="U48" s="178">
        <f>SUM(U49)-SUM(T49)</f>
        <v>134434228</v>
      </c>
    </row>
    <row r="49" spans="2:23" x14ac:dyDescent="0.3">
      <c r="B49" s="34"/>
      <c r="C49" s="185"/>
      <c r="D49" s="272"/>
      <c r="E49" s="272"/>
      <c r="G49" s="34"/>
      <c r="H49" s="185"/>
      <c r="I49" s="272"/>
      <c r="J49" s="272"/>
      <c r="L49" s="34"/>
      <c r="M49" s="185"/>
      <c r="N49" s="272"/>
      <c r="O49" s="272"/>
      <c r="Q49" s="175"/>
      <c r="R49" s="124">
        <v>120116</v>
      </c>
      <c r="S49" s="9" t="s">
        <v>178</v>
      </c>
      <c r="T49" s="179">
        <v>0</v>
      </c>
      <c r="U49" s="179">
        <v>134434228</v>
      </c>
    </row>
    <row r="50" spans="2:23" x14ac:dyDescent="0.3">
      <c r="B50" s="34"/>
      <c r="C50" s="185"/>
      <c r="D50" s="272"/>
      <c r="E50" s="272"/>
      <c r="G50" s="34"/>
      <c r="H50" s="185"/>
      <c r="I50" s="272"/>
      <c r="J50" s="272"/>
      <c r="L50" s="34"/>
      <c r="M50" s="185"/>
      <c r="N50" s="272"/>
      <c r="O50" s="272"/>
      <c r="Q50" s="175"/>
      <c r="R50" s="124"/>
      <c r="S50" s="9"/>
      <c r="T50" s="179"/>
      <c r="U50" s="179"/>
    </row>
    <row r="51" spans="2:23" x14ac:dyDescent="0.3">
      <c r="B51" s="34"/>
      <c r="C51" s="185"/>
      <c r="D51" s="272"/>
      <c r="E51" s="272"/>
      <c r="G51" s="34"/>
      <c r="H51" s="185"/>
      <c r="I51" s="272"/>
      <c r="J51" s="272"/>
      <c r="K51">
        <v>1202</v>
      </c>
      <c r="L51" s="279">
        <v>1202</v>
      </c>
      <c r="M51" s="188" t="s">
        <v>2024</v>
      </c>
      <c r="N51" s="278">
        <v>0</v>
      </c>
      <c r="O51" s="278">
        <f>U51</f>
        <v>1752000</v>
      </c>
      <c r="Q51" s="175">
        <v>12020001</v>
      </c>
      <c r="R51" s="176"/>
      <c r="S51" s="177" t="s">
        <v>2025</v>
      </c>
      <c r="T51" s="178">
        <f>T52</f>
        <v>0</v>
      </c>
      <c r="U51" s="178">
        <f>SUM(U52:U54)-SUM(T52:T54)</f>
        <v>1752000</v>
      </c>
    </row>
    <row r="52" spans="2:23" x14ac:dyDescent="0.3">
      <c r="B52" s="34"/>
      <c r="C52" s="185"/>
      <c r="D52" s="272"/>
      <c r="E52" s="272"/>
      <c r="G52" s="34"/>
      <c r="H52" s="185"/>
      <c r="I52" s="272"/>
      <c r="J52" s="272"/>
      <c r="L52" s="36"/>
      <c r="M52" s="185"/>
      <c r="N52" s="272"/>
      <c r="O52" s="272"/>
      <c r="Q52" s="175"/>
      <c r="R52" s="124" t="s">
        <v>2154</v>
      </c>
      <c r="S52" s="9" t="s">
        <v>2155</v>
      </c>
      <c r="T52" s="179">
        <v>0</v>
      </c>
      <c r="U52" s="179">
        <v>13000</v>
      </c>
    </row>
    <row r="53" spans="2:23" x14ac:dyDescent="0.3">
      <c r="B53" s="34"/>
      <c r="C53" s="185"/>
      <c r="D53" s="272"/>
      <c r="E53" s="272"/>
      <c r="G53" s="34"/>
      <c r="H53" s="185"/>
      <c r="I53" s="272"/>
      <c r="J53" s="272"/>
      <c r="L53" s="36"/>
      <c r="M53" s="185"/>
      <c r="N53" s="272"/>
      <c r="O53" s="272"/>
      <c r="Q53" s="175"/>
      <c r="R53" s="124" t="s">
        <v>2138</v>
      </c>
      <c r="S53" s="9" t="s">
        <v>7</v>
      </c>
      <c r="T53" s="179">
        <v>0</v>
      </c>
      <c r="U53" s="179">
        <v>158000</v>
      </c>
    </row>
    <row r="54" spans="2:23" x14ac:dyDescent="0.3">
      <c r="B54" s="34"/>
      <c r="C54" s="185"/>
      <c r="D54" s="272"/>
      <c r="E54" s="272"/>
      <c r="G54" s="34"/>
      <c r="H54" s="185"/>
      <c r="I54" s="272"/>
      <c r="J54" s="272"/>
      <c r="L54" s="36"/>
      <c r="M54" s="185"/>
      <c r="N54" s="272"/>
      <c r="O54" s="272"/>
      <c r="Q54" s="175"/>
      <c r="R54" s="124" t="s">
        <v>1898</v>
      </c>
      <c r="S54" s="9" t="s">
        <v>2218</v>
      </c>
      <c r="T54" s="179">
        <v>0</v>
      </c>
      <c r="U54" s="179">
        <v>1581000</v>
      </c>
    </row>
    <row r="55" spans="2:23" x14ac:dyDescent="0.3">
      <c r="B55" s="34"/>
      <c r="C55" s="185"/>
      <c r="D55" s="272"/>
      <c r="E55" s="272"/>
      <c r="G55" s="34"/>
      <c r="H55" s="185"/>
      <c r="I55" s="272"/>
      <c r="J55" s="272"/>
      <c r="L55" s="36"/>
      <c r="M55" s="185"/>
      <c r="N55" s="272"/>
      <c r="O55" s="272"/>
      <c r="Q55" s="175"/>
      <c r="R55" s="124"/>
      <c r="S55" s="9"/>
      <c r="T55" s="179"/>
      <c r="U55" s="179"/>
    </row>
    <row r="56" spans="2:23" x14ac:dyDescent="0.3">
      <c r="B56" s="34"/>
      <c r="C56" s="185"/>
      <c r="D56" s="272"/>
      <c r="E56" s="272"/>
      <c r="G56" s="34"/>
      <c r="H56" s="185"/>
      <c r="I56" s="272"/>
      <c r="J56" s="272"/>
      <c r="L56" s="36"/>
      <c r="M56" s="185"/>
      <c r="N56" s="272"/>
      <c r="O56" s="272"/>
      <c r="Q56" s="175"/>
      <c r="R56" s="124"/>
      <c r="S56" s="9"/>
      <c r="T56" s="179"/>
      <c r="U56" s="179"/>
    </row>
    <row r="57" spans="2:23" x14ac:dyDescent="0.3">
      <c r="B57" s="34"/>
      <c r="C57" s="185"/>
      <c r="D57" s="272"/>
      <c r="E57" s="272"/>
      <c r="G57" s="34"/>
      <c r="H57" s="185"/>
      <c r="I57" s="272"/>
      <c r="J57" s="272"/>
      <c r="K57">
        <v>1203</v>
      </c>
      <c r="L57" s="279">
        <v>1203</v>
      </c>
      <c r="M57" s="188" t="s">
        <v>2006</v>
      </c>
      <c r="N57" s="278">
        <v>0</v>
      </c>
      <c r="O57" s="278">
        <f>U57+U97+U146+U151+U153+U154+U155+U155+U156+U164+U165+U166+U167+U170+U171+U176+U178+U180+U182</f>
        <v>110309070.31</v>
      </c>
      <c r="Q57" s="180">
        <v>12030001</v>
      </c>
      <c r="R57" s="181"/>
      <c r="S57" s="182" t="s">
        <v>2332</v>
      </c>
      <c r="T57" s="183">
        <v>0</v>
      </c>
      <c r="U57" s="183">
        <f>SUM(U58:U96)-SUM(T58:T96)</f>
        <v>15288165</v>
      </c>
      <c r="V57" s="12"/>
      <c r="W57" s="12"/>
    </row>
    <row r="58" spans="2:23" x14ac:dyDescent="0.3">
      <c r="B58" s="34"/>
      <c r="C58" s="185"/>
      <c r="D58" s="272"/>
      <c r="E58" s="272"/>
      <c r="G58" s="34"/>
      <c r="H58" s="185"/>
      <c r="I58" s="272"/>
      <c r="J58" s="272"/>
      <c r="L58" s="36"/>
      <c r="M58" s="185"/>
      <c r="N58" s="272"/>
      <c r="O58" s="272"/>
      <c r="Q58" s="115"/>
      <c r="R58" s="125">
        <v>120001</v>
      </c>
      <c r="S58" s="77" t="s">
        <v>57</v>
      </c>
      <c r="T58" s="145">
        <v>0</v>
      </c>
      <c r="U58" s="145">
        <v>1244424</v>
      </c>
      <c r="V58" s="12"/>
      <c r="W58" s="12"/>
    </row>
    <row r="59" spans="2:23" x14ac:dyDescent="0.3">
      <c r="B59" s="34"/>
      <c r="C59" s="185"/>
      <c r="D59" s="272"/>
      <c r="E59" s="272"/>
      <c r="G59" s="34"/>
      <c r="H59" s="185"/>
      <c r="I59" s="272"/>
      <c r="J59" s="272"/>
      <c r="L59" s="36"/>
      <c r="M59" s="185"/>
      <c r="N59" s="272"/>
      <c r="O59" s="272"/>
      <c r="Q59" s="115"/>
      <c r="R59" s="125">
        <v>120008</v>
      </c>
      <c r="S59" s="77" t="s">
        <v>48</v>
      </c>
      <c r="T59" s="145">
        <v>0</v>
      </c>
      <c r="U59" s="145">
        <v>57958</v>
      </c>
      <c r="V59" s="12"/>
      <c r="W59" s="12"/>
    </row>
    <row r="60" spans="2:23" x14ac:dyDescent="0.3">
      <c r="B60" s="34"/>
      <c r="C60" s="185"/>
      <c r="D60" s="272"/>
      <c r="E60" s="272"/>
      <c r="G60" s="34"/>
      <c r="H60" s="185"/>
      <c r="I60" s="272"/>
      <c r="J60" s="272"/>
      <c r="L60" s="36"/>
      <c r="M60" s="185"/>
      <c r="N60" s="272"/>
      <c r="O60" s="272"/>
      <c r="Q60" s="115"/>
      <c r="R60" s="125">
        <v>120009</v>
      </c>
      <c r="S60" s="77" t="s">
        <v>60</v>
      </c>
      <c r="T60" s="145">
        <v>0</v>
      </c>
      <c r="U60" s="145">
        <v>1195985</v>
      </c>
      <c r="V60" s="12"/>
      <c r="W60" s="12"/>
    </row>
    <row r="61" spans="2:23" x14ac:dyDescent="0.3">
      <c r="B61" s="34"/>
      <c r="C61" s="185"/>
      <c r="D61" s="272"/>
      <c r="E61" s="272"/>
      <c r="G61" s="34"/>
      <c r="H61" s="185"/>
      <c r="I61" s="272"/>
      <c r="J61" s="272"/>
      <c r="L61" s="36"/>
      <c r="M61" s="185"/>
      <c r="N61" s="272"/>
      <c r="O61" s="272"/>
      <c r="Q61" s="115"/>
      <c r="R61" s="125">
        <v>120011</v>
      </c>
      <c r="S61" s="77" t="s">
        <v>53</v>
      </c>
      <c r="T61" s="145">
        <v>0</v>
      </c>
      <c r="U61" s="145">
        <v>727970</v>
      </c>
      <c r="V61" s="12"/>
      <c r="W61" s="12"/>
    </row>
    <row r="62" spans="2:23" x14ac:dyDescent="0.3">
      <c r="B62" s="34"/>
      <c r="C62" s="185"/>
      <c r="D62" s="272"/>
      <c r="E62" s="272"/>
      <c r="G62" s="34"/>
      <c r="H62" s="185"/>
      <c r="I62" s="272"/>
      <c r="J62" s="272"/>
      <c r="L62" s="36"/>
      <c r="M62" s="185"/>
      <c r="N62" s="272"/>
      <c r="O62" s="272"/>
      <c r="Q62" s="115"/>
      <c r="R62" s="125">
        <v>120020</v>
      </c>
      <c r="S62" s="77" t="s">
        <v>75</v>
      </c>
      <c r="T62" s="145">
        <v>0</v>
      </c>
      <c r="U62" s="145">
        <v>162742</v>
      </c>
      <c r="V62" s="12"/>
      <c r="W62" s="12"/>
    </row>
    <row r="63" spans="2:23" x14ac:dyDescent="0.3">
      <c r="B63" s="34"/>
      <c r="C63" s="185"/>
      <c r="D63" s="272"/>
      <c r="E63" s="272"/>
      <c r="G63" s="34"/>
      <c r="H63" s="185"/>
      <c r="I63" s="272"/>
      <c r="J63" s="272"/>
      <c r="L63" s="36"/>
      <c r="M63" s="185"/>
      <c r="N63" s="272"/>
      <c r="O63" s="272"/>
      <c r="Q63" s="115"/>
      <c r="R63" s="125">
        <v>120029</v>
      </c>
      <c r="S63" s="77" t="s">
        <v>86</v>
      </c>
      <c r="T63" s="145">
        <v>0</v>
      </c>
      <c r="U63" s="145">
        <v>44985</v>
      </c>
      <c r="V63" s="12"/>
      <c r="W63" s="12"/>
    </row>
    <row r="64" spans="2:23" x14ac:dyDescent="0.3">
      <c r="B64" s="34"/>
      <c r="C64" s="185"/>
      <c r="D64" s="272"/>
      <c r="E64" s="272"/>
      <c r="G64" s="34"/>
      <c r="H64" s="185"/>
      <c r="I64" s="272"/>
      <c r="J64" s="272"/>
      <c r="L64" s="36"/>
      <c r="M64" s="185"/>
      <c r="N64" s="272"/>
      <c r="O64" s="272"/>
      <c r="Q64" s="115"/>
      <c r="R64" s="125">
        <v>120036</v>
      </c>
      <c r="S64" s="77" t="s">
        <v>93</v>
      </c>
      <c r="T64" s="145">
        <v>0</v>
      </c>
      <c r="U64" s="145">
        <v>14000</v>
      </c>
      <c r="V64" s="12"/>
      <c r="W64" s="12"/>
    </row>
    <row r="65" spans="2:23" x14ac:dyDescent="0.3">
      <c r="B65" s="34"/>
      <c r="C65" s="185"/>
      <c r="D65" s="272"/>
      <c r="E65" s="272"/>
      <c r="G65" s="34"/>
      <c r="H65" s="185"/>
      <c r="I65" s="272"/>
      <c r="J65" s="272"/>
      <c r="L65" s="36"/>
      <c r="M65" s="185"/>
      <c r="N65" s="272"/>
      <c r="O65" s="272"/>
      <c r="Q65" s="115"/>
      <c r="R65" s="125">
        <v>120043</v>
      </c>
      <c r="S65" s="77" t="s">
        <v>101</v>
      </c>
      <c r="T65" s="145">
        <v>0</v>
      </c>
      <c r="U65" s="145">
        <v>108000</v>
      </c>
      <c r="V65" s="12"/>
      <c r="W65" s="12"/>
    </row>
    <row r="66" spans="2:23" x14ac:dyDescent="0.3">
      <c r="B66" s="34"/>
      <c r="C66" s="185"/>
      <c r="D66" s="272"/>
      <c r="E66" s="272"/>
      <c r="G66" s="34"/>
      <c r="H66" s="185"/>
      <c r="I66" s="272"/>
      <c r="J66" s="272"/>
      <c r="L66" s="36"/>
      <c r="M66" s="185"/>
      <c r="N66" s="272"/>
      <c r="O66" s="272"/>
      <c r="Q66" s="115"/>
      <c r="R66" s="125">
        <v>120059</v>
      </c>
      <c r="S66" s="77" t="s">
        <v>120</v>
      </c>
      <c r="T66" s="145">
        <v>0</v>
      </c>
      <c r="U66" s="145">
        <v>17069</v>
      </c>
      <c r="V66" s="12"/>
      <c r="W66" s="12"/>
    </row>
    <row r="67" spans="2:23" x14ac:dyDescent="0.3">
      <c r="B67" s="34"/>
      <c r="C67" s="185"/>
      <c r="D67" s="272"/>
      <c r="E67" s="272"/>
      <c r="G67" s="34"/>
      <c r="H67" s="185"/>
      <c r="I67" s="272"/>
      <c r="J67" s="272"/>
      <c r="L67" s="36"/>
      <c r="M67" s="185"/>
      <c r="N67" s="272"/>
      <c r="O67" s="272"/>
      <c r="Q67" s="115"/>
      <c r="R67" s="125">
        <v>120064</v>
      </c>
      <c r="S67" s="77" t="s">
        <v>126</v>
      </c>
      <c r="T67" s="145">
        <v>0</v>
      </c>
      <c r="U67" s="145">
        <v>5241026</v>
      </c>
      <c r="V67" s="12"/>
      <c r="W67" s="12"/>
    </row>
    <row r="68" spans="2:23" x14ac:dyDescent="0.3">
      <c r="B68" s="34"/>
      <c r="C68" s="185"/>
      <c r="D68" s="272"/>
      <c r="E68" s="272"/>
      <c r="G68" s="34"/>
      <c r="H68" s="185"/>
      <c r="I68" s="272"/>
      <c r="J68" s="272"/>
      <c r="L68" s="36"/>
      <c r="M68" s="185"/>
      <c r="N68" s="272"/>
      <c r="O68" s="272"/>
      <c r="Q68" s="115"/>
      <c r="R68" s="125">
        <v>120076</v>
      </c>
      <c r="S68" s="77" t="s">
        <v>139</v>
      </c>
      <c r="T68" s="145">
        <v>236221</v>
      </c>
      <c r="U68" s="145">
        <v>0</v>
      </c>
      <c r="V68" s="12"/>
      <c r="W68" s="12"/>
    </row>
    <row r="69" spans="2:23" x14ac:dyDescent="0.3">
      <c r="B69" s="34"/>
      <c r="C69" s="185"/>
      <c r="D69" s="272"/>
      <c r="E69" s="272"/>
      <c r="G69" s="34"/>
      <c r="H69" s="185"/>
      <c r="I69" s="272"/>
      <c r="J69" s="272"/>
      <c r="L69" s="36"/>
      <c r="M69" s="185"/>
      <c r="N69" s="272"/>
      <c r="O69" s="272"/>
      <c r="Q69" s="115"/>
      <c r="R69" s="125">
        <v>120078</v>
      </c>
      <c r="S69" s="77" t="s">
        <v>140</v>
      </c>
      <c r="T69" s="145">
        <v>0</v>
      </c>
      <c r="U69" s="145">
        <v>545900</v>
      </c>
      <c r="V69" s="12"/>
      <c r="W69" s="12"/>
    </row>
    <row r="70" spans="2:23" x14ac:dyDescent="0.3">
      <c r="B70" s="34"/>
      <c r="C70" s="185"/>
      <c r="D70" s="272"/>
      <c r="E70" s="272"/>
      <c r="G70" s="34"/>
      <c r="H70" s="185"/>
      <c r="I70" s="272"/>
      <c r="J70" s="272"/>
      <c r="L70" s="36"/>
      <c r="M70" s="185"/>
      <c r="N70" s="272"/>
      <c r="O70" s="272"/>
      <c r="Q70" s="115"/>
      <c r="R70" s="125">
        <v>120080</v>
      </c>
      <c r="S70" s="77" t="s">
        <v>142</v>
      </c>
      <c r="T70" s="145">
        <v>0</v>
      </c>
      <c r="U70" s="145">
        <v>1895389</v>
      </c>
      <c r="V70" s="12"/>
      <c r="W70" s="12"/>
    </row>
    <row r="71" spans="2:23" x14ac:dyDescent="0.3">
      <c r="B71" s="34"/>
      <c r="C71" s="185"/>
      <c r="D71" s="272"/>
      <c r="E71" s="272"/>
      <c r="G71" s="34"/>
      <c r="H71" s="185"/>
      <c r="I71" s="272"/>
      <c r="J71" s="272"/>
      <c r="L71" s="36"/>
      <c r="M71" s="185"/>
      <c r="N71" s="272"/>
      <c r="O71" s="272"/>
      <c r="Q71" s="115"/>
      <c r="R71" s="125">
        <v>120081</v>
      </c>
      <c r="S71" s="77" t="s">
        <v>143</v>
      </c>
      <c r="T71" s="145">
        <v>1753</v>
      </c>
      <c r="U71" s="145">
        <v>0</v>
      </c>
      <c r="V71" s="12"/>
      <c r="W71" s="12"/>
    </row>
    <row r="72" spans="2:23" x14ac:dyDescent="0.3">
      <c r="B72" s="34"/>
      <c r="C72" s="185"/>
      <c r="D72" s="272"/>
      <c r="E72" s="272"/>
      <c r="G72" s="34"/>
      <c r="H72" s="185"/>
      <c r="I72" s="272"/>
      <c r="J72" s="272"/>
      <c r="L72" s="36"/>
      <c r="M72" s="185"/>
      <c r="N72" s="272"/>
      <c r="O72" s="272"/>
      <c r="Q72" s="115"/>
      <c r="R72" s="125">
        <v>120082</v>
      </c>
      <c r="S72" s="77" t="s">
        <v>144</v>
      </c>
      <c r="T72" s="145">
        <v>0</v>
      </c>
      <c r="U72" s="145">
        <v>2230200</v>
      </c>
      <c r="V72" s="12"/>
      <c r="W72" s="12"/>
    </row>
    <row r="73" spans="2:23" x14ac:dyDescent="0.3">
      <c r="B73" s="34"/>
      <c r="C73" s="185"/>
      <c r="D73" s="272"/>
      <c r="E73" s="272"/>
      <c r="G73" s="34"/>
      <c r="H73" s="185"/>
      <c r="I73" s="272"/>
      <c r="J73" s="272"/>
      <c r="L73" s="36"/>
      <c r="M73" s="185"/>
      <c r="N73" s="272"/>
      <c r="O73" s="272"/>
      <c r="Q73" s="115"/>
      <c r="R73" s="125">
        <v>120083</v>
      </c>
      <c r="S73" s="77" t="s">
        <v>145</v>
      </c>
      <c r="T73" s="145">
        <v>112</v>
      </c>
      <c r="U73" s="145">
        <v>0</v>
      </c>
      <c r="V73" s="12"/>
      <c r="W73" s="12"/>
    </row>
    <row r="74" spans="2:23" x14ac:dyDescent="0.3">
      <c r="B74" s="34"/>
      <c r="C74" s="185"/>
      <c r="D74" s="272"/>
      <c r="E74" s="272"/>
      <c r="G74" s="34"/>
      <c r="H74" s="185"/>
      <c r="I74" s="272"/>
      <c r="J74" s="272"/>
      <c r="L74" s="36"/>
      <c r="M74" s="185"/>
      <c r="N74" s="272"/>
      <c r="O74" s="272"/>
      <c r="Q74" s="115"/>
      <c r="R74" s="125">
        <v>120088</v>
      </c>
      <c r="S74" s="77" t="s">
        <v>149</v>
      </c>
      <c r="T74" s="145">
        <v>0</v>
      </c>
      <c r="U74" s="145">
        <v>72800</v>
      </c>
      <c r="V74" s="12"/>
      <c r="W74" s="12"/>
    </row>
    <row r="75" spans="2:23" x14ac:dyDescent="0.3">
      <c r="B75" s="34"/>
      <c r="C75" s="185"/>
      <c r="D75" s="272"/>
      <c r="E75" s="272"/>
      <c r="G75" s="34"/>
      <c r="H75" s="185"/>
      <c r="I75" s="272"/>
      <c r="J75" s="272"/>
      <c r="L75" s="36"/>
      <c r="M75" s="185"/>
      <c r="N75" s="272"/>
      <c r="O75" s="272"/>
      <c r="Q75" s="115"/>
      <c r="R75" s="125">
        <v>120095</v>
      </c>
      <c r="S75" s="77" t="s">
        <v>156</v>
      </c>
      <c r="T75" s="145">
        <v>0</v>
      </c>
      <c r="U75" s="145">
        <v>101056</v>
      </c>
      <c r="V75" s="12"/>
      <c r="W75" s="12"/>
    </row>
    <row r="76" spans="2:23" x14ac:dyDescent="0.3">
      <c r="B76" s="34"/>
      <c r="C76" s="185"/>
      <c r="D76" s="272"/>
      <c r="E76" s="272"/>
      <c r="G76" s="34"/>
      <c r="H76" s="185"/>
      <c r="I76" s="272"/>
      <c r="J76" s="272"/>
      <c r="L76" s="36"/>
      <c r="M76" s="185"/>
      <c r="N76" s="272"/>
      <c r="O76" s="272"/>
      <c r="Q76" s="115"/>
      <c r="R76" s="125">
        <v>120096</v>
      </c>
      <c r="S76" s="77" t="s">
        <v>157</v>
      </c>
      <c r="T76" s="145">
        <v>0</v>
      </c>
      <c r="U76" s="145">
        <v>437420</v>
      </c>
      <c r="V76" s="12"/>
      <c r="W76" s="12"/>
    </row>
    <row r="77" spans="2:23" x14ac:dyDescent="0.3">
      <c r="B77" s="34"/>
      <c r="C77" s="185"/>
      <c r="D77" s="272"/>
      <c r="E77" s="272"/>
      <c r="G77" s="34"/>
      <c r="H77" s="185"/>
      <c r="I77" s="272"/>
      <c r="J77" s="272"/>
      <c r="L77" s="36"/>
      <c r="M77" s="185"/>
      <c r="N77" s="272"/>
      <c r="O77" s="272"/>
      <c r="Q77" s="115"/>
      <c r="R77" s="125">
        <v>120099</v>
      </c>
      <c r="S77" s="77" t="s">
        <v>160</v>
      </c>
      <c r="T77" s="145">
        <v>0</v>
      </c>
      <c r="U77" s="145">
        <v>153</v>
      </c>
      <c r="V77" s="12"/>
      <c r="W77" s="12"/>
    </row>
    <row r="78" spans="2:23" x14ac:dyDescent="0.3">
      <c r="B78" s="34"/>
      <c r="C78" s="185"/>
      <c r="D78" s="272"/>
      <c r="E78" s="272"/>
      <c r="G78" s="34"/>
      <c r="H78" s="185"/>
      <c r="I78" s="272"/>
      <c r="J78" s="272"/>
      <c r="L78" s="36"/>
      <c r="M78" s="185"/>
      <c r="N78" s="272"/>
      <c r="O78" s="272"/>
      <c r="Q78" s="115"/>
      <c r="R78" s="125">
        <v>120100</v>
      </c>
      <c r="S78" s="77" t="s">
        <v>161</v>
      </c>
      <c r="T78" s="145">
        <v>0</v>
      </c>
      <c r="U78" s="145">
        <v>16491</v>
      </c>
      <c r="V78" s="12"/>
      <c r="W78" s="12"/>
    </row>
    <row r="79" spans="2:23" x14ac:dyDescent="0.3">
      <c r="B79" s="34"/>
      <c r="C79" s="185"/>
      <c r="D79" s="272"/>
      <c r="E79" s="272"/>
      <c r="G79" s="34"/>
      <c r="H79" s="185"/>
      <c r="I79" s="272"/>
      <c r="J79" s="272"/>
      <c r="L79" s="36"/>
      <c r="M79" s="185"/>
      <c r="N79" s="272"/>
      <c r="O79" s="272"/>
      <c r="Q79" s="115"/>
      <c r="R79" s="125">
        <v>120120</v>
      </c>
      <c r="S79" s="77" t="s">
        <v>184</v>
      </c>
      <c r="T79" s="145">
        <v>0</v>
      </c>
      <c r="U79" s="145">
        <v>64177</v>
      </c>
      <c r="V79" s="12"/>
      <c r="W79" s="12"/>
    </row>
    <row r="80" spans="2:23" x14ac:dyDescent="0.3">
      <c r="B80" s="34"/>
      <c r="C80" s="185"/>
      <c r="D80" s="272"/>
      <c r="E80" s="272"/>
      <c r="G80" s="34"/>
      <c r="H80" s="185"/>
      <c r="I80" s="272"/>
      <c r="J80" s="272"/>
      <c r="L80" s="36"/>
      <c r="M80" s="185"/>
      <c r="N80" s="272"/>
      <c r="O80" s="272"/>
      <c r="Q80" s="115"/>
      <c r="R80" s="125">
        <v>120122</v>
      </c>
      <c r="S80" s="77" t="s">
        <v>186</v>
      </c>
      <c r="T80" s="145">
        <v>0</v>
      </c>
      <c r="U80" s="145">
        <v>60261</v>
      </c>
      <c r="V80" s="12"/>
      <c r="W80" s="12"/>
    </row>
    <row r="81" spans="2:23" x14ac:dyDescent="0.3">
      <c r="B81" s="34"/>
      <c r="C81" s="185"/>
      <c r="D81" s="272"/>
      <c r="E81" s="272"/>
      <c r="G81" s="34"/>
      <c r="H81" s="185"/>
      <c r="I81" s="272"/>
      <c r="J81" s="272"/>
      <c r="L81" s="36"/>
      <c r="M81" s="185"/>
      <c r="N81" s="272"/>
      <c r="O81" s="272"/>
      <c r="Q81" s="115"/>
      <c r="R81" s="125">
        <v>120123</v>
      </c>
      <c r="S81" s="77" t="s">
        <v>187</v>
      </c>
      <c r="T81" s="145">
        <v>0</v>
      </c>
      <c r="U81" s="145">
        <v>28880</v>
      </c>
      <c r="V81" s="12"/>
      <c r="W81" s="12"/>
    </row>
    <row r="82" spans="2:23" x14ac:dyDescent="0.3">
      <c r="B82" s="34"/>
      <c r="C82" s="185"/>
      <c r="D82" s="272"/>
      <c r="E82" s="272"/>
      <c r="G82" s="34"/>
      <c r="H82" s="185"/>
      <c r="I82" s="272"/>
      <c r="J82" s="272"/>
      <c r="L82" s="36"/>
      <c r="M82" s="185"/>
      <c r="N82" s="272"/>
      <c r="O82" s="272"/>
      <c r="Q82" s="115"/>
      <c r="R82" s="125">
        <v>120124</v>
      </c>
      <c r="S82" s="77" t="s">
        <v>188</v>
      </c>
      <c r="T82" s="145">
        <v>17226</v>
      </c>
      <c r="U82" s="145">
        <v>0</v>
      </c>
      <c r="V82" s="12"/>
      <c r="W82" s="12"/>
    </row>
    <row r="83" spans="2:23" x14ac:dyDescent="0.3">
      <c r="B83" s="34"/>
      <c r="C83" s="185"/>
      <c r="D83" s="272"/>
      <c r="E83" s="272"/>
      <c r="G83" s="34"/>
      <c r="H83" s="185"/>
      <c r="I83" s="272"/>
      <c r="J83" s="272"/>
      <c r="L83" s="36"/>
      <c r="M83" s="185"/>
      <c r="N83" s="272"/>
      <c r="O83" s="272"/>
      <c r="Q83" s="115"/>
      <c r="R83" s="125">
        <v>120138</v>
      </c>
      <c r="S83" s="77" t="s">
        <v>1917</v>
      </c>
      <c r="T83" s="145">
        <v>0</v>
      </c>
      <c r="U83" s="145">
        <v>44642</v>
      </c>
      <c r="V83" s="12"/>
      <c r="W83" s="12"/>
    </row>
    <row r="84" spans="2:23" x14ac:dyDescent="0.3">
      <c r="B84" s="34"/>
      <c r="C84" s="185"/>
      <c r="D84" s="272"/>
      <c r="E84" s="272"/>
      <c r="G84" s="34"/>
      <c r="H84" s="185"/>
      <c r="I84" s="272"/>
      <c r="J84" s="272"/>
      <c r="L84" s="36"/>
      <c r="M84" s="185"/>
      <c r="N84" s="272"/>
      <c r="O84" s="272"/>
      <c r="Q84" s="115"/>
      <c r="R84" s="125">
        <v>120144</v>
      </c>
      <c r="S84" s="77" t="s">
        <v>1923</v>
      </c>
      <c r="T84" s="145">
        <v>0</v>
      </c>
      <c r="U84" s="145">
        <v>1710</v>
      </c>
      <c r="V84" s="12"/>
      <c r="W84" s="12"/>
    </row>
    <row r="85" spans="2:23" x14ac:dyDescent="0.3">
      <c r="B85" s="34"/>
      <c r="C85" s="185"/>
      <c r="D85" s="272"/>
      <c r="E85" s="272"/>
      <c r="G85" s="34"/>
      <c r="H85" s="185"/>
      <c r="I85" s="272"/>
      <c r="J85" s="272"/>
      <c r="L85" s="36"/>
      <c r="M85" s="185"/>
      <c r="N85" s="272"/>
      <c r="O85" s="272"/>
      <c r="Q85" s="115"/>
      <c r="R85" s="125">
        <v>120145</v>
      </c>
      <c r="S85" s="77" t="s">
        <v>1924</v>
      </c>
      <c r="T85" s="145">
        <v>0</v>
      </c>
      <c r="U85" s="145">
        <v>187500</v>
      </c>
      <c r="V85" s="12"/>
      <c r="W85" s="12"/>
    </row>
    <row r="86" spans="2:23" x14ac:dyDescent="0.3">
      <c r="B86" s="34"/>
      <c r="C86" s="185"/>
      <c r="D86" s="272"/>
      <c r="E86" s="272"/>
      <c r="G86" s="34"/>
      <c r="H86" s="185"/>
      <c r="I86" s="272"/>
      <c r="J86" s="272"/>
      <c r="L86" s="36"/>
      <c r="M86" s="185"/>
      <c r="N86" s="272"/>
      <c r="O86" s="272"/>
      <c r="Q86" s="115"/>
      <c r="R86" s="125">
        <v>120146</v>
      </c>
      <c r="S86" s="77" t="s">
        <v>1925</v>
      </c>
      <c r="T86" s="145">
        <v>0</v>
      </c>
      <c r="U86" s="145">
        <v>187500</v>
      </c>
      <c r="V86" s="12"/>
      <c r="W86" s="12"/>
    </row>
    <row r="87" spans="2:23" x14ac:dyDescent="0.3">
      <c r="B87" s="34"/>
      <c r="C87" s="185"/>
      <c r="D87" s="272"/>
      <c r="E87" s="272"/>
      <c r="G87" s="34"/>
      <c r="H87" s="185"/>
      <c r="I87" s="272"/>
      <c r="J87" s="272"/>
      <c r="L87" s="36"/>
      <c r="M87" s="185"/>
      <c r="N87" s="272"/>
      <c r="O87" s="272"/>
      <c r="Q87" s="115"/>
      <c r="R87" s="125">
        <v>120150</v>
      </c>
      <c r="S87" s="77" t="s">
        <v>2237</v>
      </c>
      <c r="T87" s="145">
        <v>0</v>
      </c>
      <c r="U87" s="145">
        <v>170993</v>
      </c>
      <c r="V87" s="12"/>
      <c r="W87" s="12"/>
    </row>
    <row r="88" spans="2:23" x14ac:dyDescent="0.3">
      <c r="B88" s="34"/>
      <c r="C88" s="185"/>
      <c r="D88" s="272"/>
      <c r="E88" s="272"/>
      <c r="G88" s="34"/>
      <c r="H88" s="185"/>
      <c r="I88" s="272"/>
      <c r="J88" s="272"/>
      <c r="L88" s="36"/>
      <c r="M88" s="185"/>
      <c r="N88" s="272"/>
      <c r="O88" s="272"/>
      <c r="Q88" s="115"/>
      <c r="R88" s="125">
        <v>120152</v>
      </c>
      <c r="S88" s="77" t="s">
        <v>3261</v>
      </c>
      <c r="T88" s="145">
        <v>0</v>
      </c>
      <c r="U88" s="145">
        <v>274500</v>
      </c>
      <c r="V88" s="12"/>
      <c r="W88" s="12"/>
    </row>
    <row r="89" spans="2:23" x14ac:dyDescent="0.3">
      <c r="B89" s="34"/>
      <c r="C89" s="185"/>
      <c r="D89" s="272"/>
      <c r="E89" s="272"/>
      <c r="G89" s="34"/>
      <c r="H89" s="185"/>
      <c r="I89" s="272"/>
      <c r="J89" s="272"/>
      <c r="L89" s="36"/>
      <c r="M89" s="185"/>
      <c r="N89" s="272"/>
      <c r="O89" s="272"/>
      <c r="Q89" s="115"/>
      <c r="R89" s="125">
        <v>120153</v>
      </c>
      <c r="S89" s="77" t="s">
        <v>3262</v>
      </c>
      <c r="T89" s="145">
        <v>0</v>
      </c>
      <c r="U89" s="145">
        <v>274500</v>
      </c>
      <c r="V89" s="12"/>
      <c r="W89" s="12"/>
    </row>
    <row r="90" spans="2:23" x14ac:dyDescent="0.3">
      <c r="B90" s="34"/>
      <c r="C90" s="185"/>
      <c r="D90" s="272"/>
      <c r="E90" s="272"/>
      <c r="G90" s="34"/>
      <c r="H90" s="185"/>
      <c r="I90" s="272"/>
      <c r="J90" s="272"/>
      <c r="L90" s="36"/>
      <c r="M90" s="185"/>
      <c r="N90" s="272"/>
      <c r="O90" s="272"/>
      <c r="Q90" s="115"/>
      <c r="R90" s="125">
        <v>120154</v>
      </c>
      <c r="S90" s="77" t="s">
        <v>3263</v>
      </c>
      <c r="T90" s="145">
        <v>53624</v>
      </c>
      <c r="U90" s="145">
        <v>0</v>
      </c>
      <c r="V90" s="12"/>
      <c r="W90" s="12"/>
    </row>
    <row r="91" spans="2:23" x14ac:dyDescent="0.3">
      <c r="B91" s="34"/>
      <c r="C91" s="185"/>
      <c r="D91" s="272"/>
      <c r="E91" s="272"/>
      <c r="G91" s="34"/>
      <c r="H91" s="185"/>
      <c r="I91" s="272"/>
      <c r="J91" s="272"/>
      <c r="L91" s="36"/>
      <c r="M91" s="185"/>
      <c r="N91" s="272"/>
      <c r="O91" s="272"/>
      <c r="Q91" s="115"/>
      <c r="R91" s="125">
        <v>120155</v>
      </c>
      <c r="S91" s="77" t="s">
        <v>3264</v>
      </c>
      <c r="T91" s="145">
        <v>0</v>
      </c>
      <c r="U91" s="145">
        <v>5517</v>
      </c>
      <c r="V91" s="12"/>
      <c r="W91" s="12"/>
    </row>
    <row r="92" spans="2:23" x14ac:dyDescent="0.3">
      <c r="B92" s="34"/>
      <c r="C92" s="185"/>
      <c r="D92" s="272"/>
      <c r="E92" s="272"/>
      <c r="G92" s="34"/>
      <c r="H92" s="185"/>
      <c r="I92" s="272"/>
      <c r="J92" s="272"/>
      <c r="L92" s="36"/>
      <c r="M92" s="185"/>
      <c r="N92" s="272"/>
      <c r="O92" s="272"/>
      <c r="Q92" s="115"/>
      <c r="R92" s="125">
        <v>310004</v>
      </c>
      <c r="S92" s="77" t="s">
        <v>72</v>
      </c>
      <c r="T92" s="145">
        <v>0</v>
      </c>
      <c r="U92" s="145">
        <v>17175</v>
      </c>
      <c r="V92" s="12"/>
      <c r="W92" s="12"/>
    </row>
    <row r="93" spans="2:23" x14ac:dyDescent="0.3">
      <c r="B93" s="34"/>
      <c r="C93" s="185"/>
      <c r="D93" s="272"/>
      <c r="E93" s="272"/>
      <c r="G93" s="34"/>
      <c r="H93" s="185"/>
      <c r="I93" s="272"/>
      <c r="J93" s="272"/>
      <c r="L93" s="36"/>
      <c r="M93" s="185"/>
      <c r="N93" s="272"/>
      <c r="O93" s="272"/>
      <c r="Q93" s="115"/>
      <c r="R93" s="125">
        <v>310007</v>
      </c>
      <c r="S93" s="77" t="s">
        <v>70</v>
      </c>
      <c r="T93" s="145">
        <v>0</v>
      </c>
      <c r="U93" s="145">
        <v>27755</v>
      </c>
      <c r="V93" s="12"/>
      <c r="W93" s="12"/>
    </row>
    <row r="94" spans="2:23" x14ac:dyDescent="0.3">
      <c r="B94" s="34"/>
      <c r="C94" s="185"/>
      <c r="D94" s="272"/>
      <c r="E94" s="272"/>
      <c r="G94" s="34"/>
      <c r="H94" s="185"/>
      <c r="I94" s="272"/>
      <c r="J94" s="272"/>
      <c r="L94" s="36"/>
      <c r="M94" s="185"/>
      <c r="N94" s="272"/>
      <c r="O94" s="272"/>
      <c r="Q94" s="115"/>
      <c r="R94" s="125">
        <v>310018</v>
      </c>
      <c r="S94" s="77" t="s">
        <v>100</v>
      </c>
      <c r="T94" s="145">
        <v>0</v>
      </c>
      <c r="U94" s="145">
        <v>39332</v>
      </c>
      <c r="V94" s="12"/>
      <c r="W94" s="12"/>
    </row>
    <row r="95" spans="2:23" x14ac:dyDescent="0.3">
      <c r="B95" s="34"/>
      <c r="C95" s="185"/>
      <c r="D95" s="272"/>
      <c r="E95" s="272"/>
      <c r="G95" s="34"/>
      <c r="H95" s="185"/>
      <c r="I95" s="272"/>
      <c r="J95" s="272"/>
      <c r="L95" s="36"/>
      <c r="M95" s="185"/>
      <c r="N95" s="272"/>
      <c r="O95" s="272"/>
      <c r="Q95" s="115"/>
      <c r="R95" s="125">
        <v>310040</v>
      </c>
      <c r="S95" s="77" t="s">
        <v>183</v>
      </c>
      <c r="T95" s="145">
        <v>0</v>
      </c>
      <c r="U95" s="145">
        <v>8000</v>
      </c>
      <c r="V95" s="12"/>
      <c r="W95" s="12"/>
    </row>
    <row r="96" spans="2:23" x14ac:dyDescent="0.3">
      <c r="B96" s="34"/>
      <c r="C96" s="185"/>
      <c r="D96" s="272"/>
      <c r="E96" s="272"/>
      <c r="G96" s="34"/>
      <c r="H96" s="185"/>
      <c r="I96" s="272"/>
      <c r="J96" s="272"/>
      <c r="L96" s="36"/>
      <c r="M96" s="185"/>
      <c r="N96" s="272"/>
      <c r="O96" s="272"/>
      <c r="Q96" s="115"/>
      <c r="R96" s="125">
        <v>310047</v>
      </c>
      <c r="S96" s="77" t="s">
        <v>3260</v>
      </c>
      <c r="T96" s="145">
        <v>0</v>
      </c>
      <c r="U96" s="145">
        <v>91091</v>
      </c>
      <c r="V96" s="12"/>
      <c r="W96" s="12"/>
    </row>
    <row r="97" spans="2:26" x14ac:dyDescent="0.3">
      <c r="B97" s="34"/>
      <c r="C97" s="185"/>
      <c r="D97" s="272"/>
      <c r="E97" s="272"/>
      <c r="G97" s="34"/>
      <c r="H97" s="185"/>
      <c r="I97" s="272"/>
      <c r="J97" s="272"/>
      <c r="L97" s="34"/>
      <c r="M97" s="185"/>
      <c r="N97" s="272"/>
      <c r="O97" s="272"/>
      <c r="Q97" s="180">
        <v>12030002</v>
      </c>
      <c r="R97" s="181"/>
      <c r="S97" s="182" t="s">
        <v>2009</v>
      </c>
      <c r="T97" s="183">
        <v>0</v>
      </c>
      <c r="U97" s="183">
        <f>SUM(U98:U145)-SUM(T98:T145)</f>
        <v>5062274</v>
      </c>
      <c r="V97" s="12"/>
      <c r="W97" s="12"/>
      <c r="Z97" s="12"/>
    </row>
    <row r="98" spans="2:26" x14ac:dyDescent="0.3">
      <c r="B98" s="34"/>
      <c r="C98" s="185"/>
      <c r="D98" s="272"/>
      <c r="E98" s="272"/>
      <c r="G98" s="34"/>
      <c r="H98" s="185"/>
      <c r="I98" s="272"/>
      <c r="J98" s="272"/>
      <c r="L98" s="34"/>
      <c r="M98" s="185"/>
      <c r="N98" s="272"/>
      <c r="O98" s="272"/>
      <c r="Q98" s="180"/>
      <c r="R98" s="125" t="s">
        <v>1931</v>
      </c>
      <c r="S98" s="77" t="s">
        <v>1932</v>
      </c>
      <c r="T98" s="145">
        <v>0</v>
      </c>
      <c r="U98" s="145">
        <v>44278</v>
      </c>
      <c r="V98" s="12"/>
      <c r="W98" s="12"/>
      <c r="Z98" s="12"/>
    </row>
    <row r="99" spans="2:26" x14ac:dyDescent="0.3">
      <c r="B99" s="34"/>
      <c r="C99" s="185"/>
      <c r="D99" s="272"/>
      <c r="E99" s="272"/>
      <c r="G99" s="34"/>
      <c r="H99" s="185"/>
      <c r="I99" s="272"/>
      <c r="J99" s="272"/>
      <c r="L99" s="34"/>
      <c r="M99" s="185"/>
      <c r="N99" s="272"/>
      <c r="O99" s="272"/>
      <c r="Q99" s="180"/>
      <c r="R99" s="125" t="s">
        <v>1934</v>
      </c>
      <c r="S99" s="77" t="s">
        <v>2196</v>
      </c>
      <c r="T99" s="145">
        <v>0</v>
      </c>
      <c r="U99" s="145">
        <v>27292</v>
      </c>
      <c r="V99" s="12"/>
      <c r="W99" s="12"/>
      <c r="Z99" s="12"/>
    </row>
    <row r="100" spans="2:26" x14ac:dyDescent="0.3">
      <c r="B100" s="34"/>
      <c r="C100" s="185"/>
      <c r="D100" s="272"/>
      <c r="E100" s="272"/>
      <c r="G100" s="34"/>
      <c r="H100" s="185"/>
      <c r="I100" s="272"/>
      <c r="J100" s="272"/>
      <c r="L100" s="34"/>
      <c r="M100" s="185"/>
      <c r="N100" s="272"/>
      <c r="O100" s="272"/>
      <c r="Q100" s="180"/>
      <c r="R100" s="125" t="s">
        <v>2154</v>
      </c>
      <c r="S100" s="77" t="s">
        <v>2155</v>
      </c>
      <c r="T100" s="145">
        <v>0</v>
      </c>
      <c r="U100" s="145">
        <v>135252</v>
      </c>
      <c r="V100" s="12"/>
      <c r="W100" s="12"/>
      <c r="Z100" s="12"/>
    </row>
    <row r="101" spans="2:26" x14ac:dyDescent="0.3">
      <c r="B101" s="34"/>
      <c r="C101" s="185"/>
      <c r="D101" s="272"/>
      <c r="E101" s="272"/>
      <c r="G101" s="34"/>
      <c r="H101" s="185"/>
      <c r="I101" s="272"/>
      <c r="J101" s="272"/>
      <c r="L101" s="34"/>
      <c r="M101" s="185"/>
      <c r="N101" s="272"/>
      <c r="O101" s="272"/>
      <c r="Q101" s="180"/>
      <c r="R101" s="125" t="s">
        <v>2199</v>
      </c>
      <c r="S101" s="77" t="s">
        <v>2200</v>
      </c>
      <c r="T101" s="145">
        <v>0</v>
      </c>
      <c r="U101" s="145">
        <v>232723</v>
      </c>
      <c r="V101" s="12"/>
      <c r="W101" s="12"/>
      <c r="Z101" s="12"/>
    </row>
    <row r="102" spans="2:26" x14ac:dyDescent="0.3">
      <c r="B102" s="34"/>
      <c r="C102" s="185"/>
      <c r="D102" s="272"/>
      <c r="E102" s="272"/>
      <c r="G102" s="34"/>
      <c r="H102" s="185"/>
      <c r="I102" s="272"/>
      <c r="J102" s="272"/>
      <c r="L102" s="34"/>
      <c r="M102" s="185"/>
      <c r="N102" s="272"/>
      <c r="O102" s="272"/>
      <c r="Q102" s="180"/>
      <c r="R102" s="125" t="s">
        <v>2201</v>
      </c>
      <c r="S102" s="77" t="s">
        <v>2202</v>
      </c>
      <c r="T102" s="145">
        <v>0</v>
      </c>
      <c r="U102" s="145">
        <v>84596</v>
      </c>
      <c r="V102" s="12"/>
      <c r="W102" s="12"/>
      <c r="Z102" s="12"/>
    </row>
    <row r="103" spans="2:26" x14ac:dyDescent="0.3">
      <c r="B103" s="34"/>
      <c r="C103" s="185"/>
      <c r="D103" s="272"/>
      <c r="E103" s="272"/>
      <c r="G103" s="34"/>
      <c r="H103" s="185"/>
      <c r="I103" s="272"/>
      <c r="J103" s="272"/>
      <c r="L103" s="34"/>
      <c r="M103" s="185"/>
      <c r="N103" s="272"/>
      <c r="O103" s="272"/>
      <c r="Q103" s="180"/>
      <c r="R103" s="125" t="s">
        <v>2203</v>
      </c>
      <c r="S103" s="77" t="s">
        <v>2204</v>
      </c>
      <c r="T103" s="145">
        <v>0</v>
      </c>
      <c r="U103" s="145">
        <v>7591</v>
      </c>
      <c r="V103" s="12"/>
      <c r="W103" s="12"/>
      <c r="Z103" s="12"/>
    </row>
    <row r="104" spans="2:26" x14ac:dyDescent="0.3">
      <c r="B104" s="34"/>
      <c r="C104" s="185"/>
      <c r="D104" s="272"/>
      <c r="E104" s="272"/>
      <c r="G104" s="34"/>
      <c r="H104" s="185"/>
      <c r="I104" s="272"/>
      <c r="J104" s="272"/>
      <c r="L104" s="34"/>
      <c r="M104" s="185"/>
      <c r="N104" s="272"/>
      <c r="O104" s="272"/>
      <c r="Q104" s="180"/>
      <c r="R104" s="125" t="s">
        <v>2205</v>
      </c>
      <c r="S104" s="77" t="s">
        <v>2206</v>
      </c>
      <c r="T104" s="145">
        <v>0</v>
      </c>
      <c r="U104" s="145">
        <v>82462</v>
      </c>
      <c r="V104" s="12"/>
      <c r="W104" s="12"/>
      <c r="Z104" s="12"/>
    </row>
    <row r="105" spans="2:26" x14ac:dyDescent="0.3">
      <c r="B105" s="34"/>
      <c r="C105" s="185"/>
      <c r="D105" s="272"/>
      <c r="E105" s="272"/>
      <c r="G105" s="34"/>
      <c r="H105" s="185"/>
      <c r="I105" s="272"/>
      <c r="J105" s="272"/>
      <c r="L105" s="34"/>
      <c r="M105" s="185"/>
      <c r="N105" s="272"/>
      <c r="O105" s="272"/>
      <c r="Q105" s="180"/>
      <c r="R105" s="125" t="s">
        <v>2207</v>
      </c>
      <c r="S105" s="77" t="s">
        <v>2208</v>
      </c>
      <c r="T105" s="145">
        <v>0</v>
      </c>
      <c r="U105" s="145">
        <v>227467</v>
      </c>
      <c r="V105" s="12"/>
      <c r="W105" s="12"/>
      <c r="Z105" s="12"/>
    </row>
    <row r="106" spans="2:26" x14ac:dyDescent="0.3">
      <c r="B106" s="34"/>
      <c r="C106" s="185"/>
      <c r="D106" s="272"/>
      <c r="E106" s="272"/>
      <c r="G106" s="34"/>
      <c r="H106" s="185"/>
      <c r="I106" s="272"/>
      <c r="J106" s="272"/>
      <c r="L106" s="34"/>
      <c r="M106" s="185"/>
      <c r="N106" s="272"/>
      <c r="O106" s="272"/>
      <c r="Q106" s="180"/>
      <c r="R106" s="125" t="s">
        <v>2209</v>
      </c>
      <c r="S106" s="77" t="s">
        <v>2210</v>
      </c>
      <c r="T106" s="145">
        <v>0</v>
      </c>
      <c r="U106" s="145">
        <v>249094</v>
      </c>
      <c r="V106" s="12"/>
      <c r="W106" s="12"/>
      <c r="Z106" s="12"/>
    </row>
    <row r="107" spans="2:26" x14ac:dyDescent="0.3">
      <c r="B107" s="34"/>
      <c r="C107" s="185"/>
      <c r="D107" s="272"/>
      <c r="E107" s="272"/>
      <c r="G107" s="34"/>
      <c r="H107" s="185"/>
      <c r="I107" s="272"/>
      <c r="J107" s="272"/>
      <c r="L107" s="34"/>
      <c r="M107" s="185"/>
      <c r="N107" s="272"/>
      <c r="O107" s="272"/>
      <c r="Q107" s="180"/>
      <c r="R107" s="125" t="s">
        <v>1182</v>
      </c>
      <c r="S107" s="77" t="s">
        <v>66</v>
      </c>
      <c r="T107" s="145">
        <v>0</v>
      </c>
      <c r="U107" s="145">
        <v>615699</v>
      </c>
      <c r="V107" s="12"/>
      <c r="W107" s="12"/>
      <c r="Z107" s="12"/>
    </row>
    <row r="108" spans="2:26" x14ac:dyDescent="0.3">
      <c r="B108" s="34"/>
      <c r="C108" s="185"/>
      <c r="D108" s="272"/>
      <c r="E108" s="272"/>
      <c r="G108" s="34"/>
      <c r="H108" s="185"/>
      <c r="I108" s="272"/>
      <c r="J108" s="272"/>
      <c r="L108" s="34"/>
      <c r="M108" s="185"/>
      <c r="N108" s="272"/>
      <c r="O108" s="272"/>
      <c r="Q108" s="180"/>
      <c r="R108" s="125" t="s">
        <v>3311</v>
      </c>
      <c r="S108" s="77" t="s">
        <v>198</v>
      </c>
      <c r="T108" s="145">
        <v>0</v>
      </c>
      <c r="U108" s="145">
        <v>76650</v>
      </c>
      <c r="V108" s="12"/>
      <c r="W108" s="12"/>
      <c r="Z108" s="12"/>
    </row>
    <row r="109" spans="2:26" x14ac:dyDescent="0.3">
      <c r="B109" s="34"/>
      <c r="C109" s="185"/>
      <c r="D109" s="272"/>
      <c r="E109" s="272"/>
      <c r="G109" s="34"/>
      <c r="H109" s="185"/>
      <c r="I109" s="272"/>
      <c r="J109" s="272"/>
      <c r="L109" s="34"/>
      <c r="M109" s="185"/>
      <c r="N109" s="272"/>
      <c r="O109" s="272"/>
      <c r="Q109" s="180"/>
      <c r="R109" s="125" t="s">
        <v>3312</v>
      </c>
      <c r="S109" s="77" t="s">
        <v>259</v>
      </c>
      <c r="T109" s="145">
        <v>0</v>
      </c>
      <c r="U109" s="145">
        <v>180415</v>
      </c>
      <c r="V109" s="12"/>
      <c r="W109" s="12"/>
      <c r="Z109" s="12"/>
    </row>
    <row r="110" spans="2:26" x14ac:dyDescent="0.3">
      <c r="B110" s="34"/>
      <c r="C110" s="185"/>
      <c r="D110" s="272"/>
      <c r="E110" s="272"/>
      <c r="G110" s="34"/>
      <c r="H110" s="185"/>
      <c r="I110" s="272"/>
      <c r="J110" s="272"/>
      <c r="L110" s="34"/>
      <c r="M110" s="185"/>
      <c r="N110" s="272"/>
      <c r="O110" s="272"/>
      <c r="Q110" s="180"/>
      <c r="R110" s="125" t="s">
        <v>3309</v>
      </c>
      <c r="S110" s="77" t="s">
        <v>3310</v>
      </c>
      <c r="T110" s="145">
        <v>0</v>
      </c>
      <c r="U110" s="145">
        <v>26064</v>
      </c>
      <c r="V110" s="12"/>
      <c r="W110" s="12"/>
      <c r="Z110" s="12"/>
    </row>
    <row r="111" spans="2:26" x14ac:dyDescent="0.3">
      <c r="B111" s="34"/>
      <c r="C111" s="185"/>
      <c r="D111" s="272"/>
      <c r="E111" s="272"/>
      <c r="G111" s="34"/>
      <c r="H111" s="185"/>
      <c r="I111" s="272"/>
      <c r="J111" s="272"/>
      <c r="L111" s="34"/>
      <c r="M111" s="185"/>
      <c r="N111" s="272"/>
      <c r="O111" s="272"/>
      <c r="Q111" s="180"/>
      <c r="R111" s="125" t="s">
        <v>3308</v>
      </c>
      <c r="S111" s="77" t="s">
        <v>828</v>
      </c>
      <c r="T111" s="145">
        <v>0</v>
      </c>
      <c r="U111" s="145">
        <v>9012</v>
      </c>
      <c r="V111" s="12"/>
      <c r="W111" s="12"/>
      <c r="Z111" s="12"/>
    </row>
    <row r="112" spans="2:26" x14ac:dyDescent="0.3">
      <c r="B112" s="34"/>
      <c r="C112" s="185"/>
      <c r="D112" s="272"/>
      <c r="E112" s="272"/>
      <c r="G112" s="34"/>
      <c r="H112" s="185"/>
      <c r="I112" s="272"/>
      <c r="J112" s="272"/>
      <c r="L112" s="34"/>
      <c r="M112" s="185"/>
      <c r="N112" s="272"/>
      <c r="O112" s="272"/>
      <c r="Q112" s="180"/>
      <c r="R112" s="125" t="s">
        <v>2340</v>
      </c>
      <c r="S112" s="77" t="s">
        <v>2159</v>
      </c>
      <c r="T112" s="145">
        <v>0</v>
      </c>
      <c r="U112" s="145">
        <v>254937</v>
      </c>
      <c r="V112" s="12"/>
      <c r="W112" s="12"/>
      <c r="Z112" s="12"/>
    </row>
    <row r="113" spans="2:26" x14ac:dyDescent="0.3">
      <c r="B113" s="34"/>
      <c r="C113" s="185"/>
      <c r="D113" s="272"/>
      <c r="E113" s="272"/>
      <c r="G113" s="34"/>
      <c r="H113" s="185"/>
      <c r="I113" s="272"/>
      <c r="J113" s="272"/>
      <c r="L113" s="34"/>
      <c r="M113" s="185"/>
      <c r="N113" s="272"/>
      <c r="O113" s="272"/>
      <c r="Q113" s="180"/>
      <c r="R113" s="125" t="s">
        <v>2160</v>
      </c>
      <c r="S113" s="77" t="s">
        <v>2161</v>
      </c>
      <c r="T113" s="145">
        <v>0</v>
      </c>
      <c r="U113" s="145">
        <v>46671</v>
      </c>
      <c r="V113" s="12"/>
      <c r="W113" s="12"/>
      <c r="Z113" s="12"/>
    </row>
    <row r="114" spans="2:26" x14ac:dyDescent="0.3">
      <c r="B114" s="34"/>
      <c r="C114" s="185"/>
      <c r="D114" s="272"/>
      <c r="E114" s="272"/>
      <c r="G114" s="34"/>
      <c r="H114" s="185"/>
      <c r="I114" s="272"/>
      <c r="J114" s="272"/>
      <c r="L114" s="34"/>
      <c r="M114" s="185"/>
      <c r="N114" s="272"/>
      <c r="O114" s="272"/>
      <c r="Q114" s="180"/>
      <c r="R114" s="125" t="s">
        <v>2162</v>
      </c>
      <c r="S114" s="77" t="s">
        <v>2163</v>
      </c>
      <c r="T114" s="145">
        <v>0</v>
      </c>
      <c r="U114" s="145">
        <v>37442</v>
      </c>
      <c r="V114" s="12"/>
      <c r="W114" s="12"/>
      <c r="Z114" s="12"/>
    </row>
    <row r="115" spans="2:26" x14ac:dyDescent="0.3">
      <c r="B115" s="34"/>
      <c r="C115" s="185"/>
      <c r="D115" s="272"/>
      <c r="E115" s="272"/>
      <c r="G115" s="34"/>
      <c r="H115" s="185"/>
      <c r="I115" s="272"/>
      <c r="J115" s="272"/>
      <c r="L115" s="34"/>
      <c r="M115" s="185"/>
      <c r="N115" s="272"/>
      <c r="O115" s="272"/>
      <c r="Q115" s="180"/>
      <c r="R115" s="125" t="s">
        <v>2165</v>
      </c>
      <c r="S115" s="77" t="s">
        <v>2166</v>
      </c>
      <c r="T115" s="145">
        <v>0</v>
      </c>
      <c r="U115" s="145">
        <v>185151</v>
      </c>
      <c r="V115" s="12"/>
      <c r="W115" s="12"/>
      <c r="Z115" s="12"/>
    </row>
    <row r="116" spans="2:26" x14ac:dyDescent="0.3">
      <c r="B116" s="34"/>
      <c r="C116" s="185"/>
      <c r="D116" s="272"/>
      <c r="E116" s="272"/>
      <c r="G116" s="34"/>
      <c r="H116" s="185"/>
      <c r="I116" s="272"/>
      <c r="J116" s="272"/>
      <c r="L116" s="34"/>
      <c r="M116" s="185"/>
      <c r="N116" s="272"/>
      <c r="O116" s="272"/>
      <c r="Q116" s="180"/>
      <c r="R116" s="125" t="s">
        <v>2168</v>
      </c>
      <c r="S116" s="77" t="s">
        <v>2169</v>
      </c>
      <c r="T116" s="145">
        <v>0</v>
      </c>
      <c r="U116" s="145">
        <v>21053</v>
      </c>
      <c r="V116" s="12"/>
      <c r="W116" s="12"/>
      <c r="Z116" s="12"/>
    </row>
    <row r="117" spans="2:26" x14ac:dyDescent="0.3">
      <c r="B117" s="34"/>
      <c r="C117" s="185"/>
      <c r="D117" s="272"/>
      <c r="E117" s="272"/>
      <c r="G117" s="34"/>
      <c r="H117" s="185"/>
      <c r="I117" s="272"/>
      <c r="J117" s="272"/>
      <c r="L117" s="34"/>
      <c r="M117" s="185"/>
      <c r="N117" s="272"/>
      <c r="O117" s="272"/>
      <c r="Q117" s="180"/>
      <c r="R117" s="125" t="s">
        <v>2168</v>
      </c>
      <c r="S117" s="77" t="s">
        <v>2169</v>
      </c>
      <c r="T117" s="145">
        <v>0</v>
      </c>
      <c r="U117" s="145">
        <v>94110</v>
      </c>
      <c r="V117" s="12"/>
      <c r="W117" s="12"/>
      <c r="Z117" s="12"/>
    </row>
    <row r="118" spans="2:26" x14ac:dyDescent="0.3">
      <c r="B118" s="34"/>
      <c r="C118" s="185"/>
      <c r="D118" s="272"/>
      <c r="E118" s="272"/>
      <c r="G118" s="34"/>
      <c r="H118" s="185"/>
      <c r="I118" s="272"/>
      <c r="J118" s="272"/>
      <c r="L118" s="34"/>
      <c r="M118" s="185"/>
      <c r="N118" s="272"/>
      <c r="O118" s="272"/>
      <c r="Q118" s="180"/>
      <c r="R118" s="125" t="s">
        <v>3313</v>
      </c>
      <c r="S118" s="77" t="s">
        <v>2211</v>
      </c>
      <c r="T118" s="145">
        <v>0</v>
      </c>
      <c r="U118" s="145">
        <v>223208</v>
      </c>
      <c r="V118" s="12"/>
      <c r="W118" s="12"/>
      <c r="Z118" s="12"/>
    </row>
    <row r="119" spans="2:26" x14ac:dyDescent="0.3">
      <c r="B119" s="34"/>
      <c r="C119" s="185"/>
      <c r="D119" s="272"/>
      <c r="E119" s="272"/>
      <c r="G119" s="34"/>
      <c r="H119" s="185"/>
      <c r="I119" s="272"/>
      <c r="J119" s="272"/>
      <c r="L119" s="34"/>
      <c r="M119" s="185"/>
      <c r="N119" s="272"/>
      <c r="O119" s="272"/>
      <c r="Q119" s="180"/>
      <c r="R119" s="125" t="s">
        <v>2212</v>
      </c>
      <c r="S119" s="77" t="s">
        <v>2213</v>
      </c>
      <c r="T119" s="145">
        <v>0</v>
      </c>
      <c r="U119" s="145">
        <v>70473</v>
      </c>
      <c r="V119" s="12"/>
      <c r="W119" s="12"/>
      <c r="Z119" s="12"/>
    </row>
    <row r="120" spans="2:26" x14ac:dyDescent="0.3">
      <c r="B120" s="34"/>
      <c r="C120" s="185"/>
      <c r="D120" s="272"/>
      <c r="E120" s="272"/>
      <c r="G120" s="34"/>
      <c r="H120" s="185"/>
      <c r="I120" s="272"/>
      <c r="J120" s="272"/>
      <c r="L120" s="34"/>
      <c r="M120" s="185"/>
      <c r="N120" s="272"/>
      <c r="O120" s="272"/>
      <c r="Q120" s="180"/>
      <c r="R120" s="125" t="s">
        <v>2214</v>
      </c>
      <c r="S120" s="77" t="s">
        <v>2215</v>
      </c>
      <c r="T120" s="145">
        <v>0</v>
      </c>
      <c r="U120" s="145">
        <v>190665</v>
      </c>
      <c r="V120" s="12"/>
      <c r="W120" s="12"/>
      <c r="Z120" s="12"/>
    </row>
    <row r="121" spans="2:26" x14ac:dyDescent="0.3">
      <c r="B121" s="34"/>
      <c r="C121" s="185"/>
      <c r="D121" s="272"/>
      <c r="E121" s="272"/>
      <c r="G121" s="34"/>
      <c r="H121" s="185"/>
      <c r="I121" s="272"/>
      <c r="J121" s="272"/>
      <c r="L121" s="34"/>
      <c r="M121" s="185"/>
      <c r="N121" s="272"/>
      <c r="O121" s="272"/>
      <c r="Q121" s="180"/>
      <c r="R121" s="125" t="s">
        <v>1985</v>
      </c>
      <c r="S121" s="77" t="s">
        <v>2197</v>
      </c>
      <c r="T121" s="145">
        <v>0</v>
      </c>
      <c r="U121" s="145">
        <v>87882</v>
      </c>
      <c r="V121" s="12"/>
      <c r="W121" s="12"/>
      <c r="Z121" s="12"/>
    </row>
    <row r="122" spans="2:26" x14ac:dyDescent="0.3">
      <c r="B122" s="34"/>
      <c r="C122" s="185"/>
      <c r="D122" s="272"/>
      <c r="E122" s="272"/>
      <c r="G122" s="34"/>
      <c r="H122" s="185"/>
      <c r="I122" s="272"/>
      <c r="J122" s="272"/>
      <c r="L122" s="34"/>
      <c r="M122" s="185"/>
      <c r="N122" s="272"/>
      <c r="O122" s="272"/>
      <c r="Q122" s="180"/>
      <c r="R122" s="125" t="s">
        <v>1895</v>
      </c>
      <c r="S122" s="77" t="s">
        <v>2174</v>
      </c>
      <c r="T122" s="145">
        <v>0</v>
      </c>
      <c r="U122" s="145">
        <v>141924</v>
      </c>
      <c r="V122" s="12"/>
      <c r="W122" s="12"/>
      <c r="Z122" s="12"/>
    </row>
    <row r="123" spans="2:26" x14ac:dyDescent="0.3">
      <c r="B123" s="34"/>
      <c r="C123" s="185"/>
      <c r="D123" s="272"/>
      <c r="E123" s="272"/>
      <c r="G123" s="34"/>
      <c r="H123" s="185"/>
      <c r="I123" s="272"/>
      <c r="J123" s="272"/>
      <c r="L123" s="34"/>
      <c r="M123" s="185"/>
      <c r="N123" s="272"/>
      <c r="O123" s="272"/>
      <c r="Q123" s="180"/>
      <c r="R123" s="125" t="s">
        <v>2177</v>
      </c>
      <c r="S123" s="77" t="s">
        <v>2341</v>
      </c>
      <c r="T123" s="145">
        <v>0</v>
      </c>
      <c r="U123" s="145">
        <v>283326</v>
      </c>
      <c r="V123" s="12"/>
      <c r="W123" s="12"/>
      <c r="Z123" s="12"/>
    </row>
    <row r="124" spans="2:26" x14ac:dyDescent="0.3">
      <c r="B124" s="34"/>
      <c r="C124" s="185"/>
      <c r="D124" s="272"/>
      <c r="E124" s="272"/>
      <c r="G124" s="34"/>
      <c r="H124" s="185"/>
      <c r="I124" s="272"/>
      <c r="J124" s="272"/>
      <c r="L124" s="34"/>
      <c r="M124" s="185"/>
      <c r="N124" s="272"/>
      <c r="O124" s="272"/>
      <c r="Q124" s="180"/>
      <c r="R124" s="125" t="s">
        <v>2183</v>
      </c>
      <c r="S124" s="77" t="s">
        <v>2182</v>
      </c>
      <c r="T124" s="145">
        <v>0</v>
      </c>
      <c r="U124" s="145">
        <v>168649</v>
      </c>
      <c r="V124" s="12"/>
      <c r="W124" s="12"/>
      <c r="Z124" s="12"/>
    </row>
    <row r="125" spans="2:26" x14ac:dyDescent="0.3">
      <c r="B125" s="34"/>
      <c r="C125" s="185"/>
      <c r="D125" s="272"/>
      <c r="E125" s="272"/>
      <c r="G125" s="34"/>
      <c r="H125" s="185"/>
      <c r="I125" s="272"/>
      <c r="J125" s="272"/>
      <c r="L125" s="34"/>
      <c r="M125" s="185"/>
      <c r="N125" s="272"/>
      <c r="O125" s="272"/>
      <c r="Q125" s="180"/>
      <c r="R125" s="125" t="s">
        <v>2185</v>
      </c>
      <c r="S125" s="77" t="s">
        <v>2184</v>
      </c>
      <c r="T125" s="145">
        <v>0</v>
      </c>
      <c r="U125" s="145">
        <v>132072</v>
      </c>
      <c r="V125" s="12"/>
      <c r="W125" s="12"/>
      <c r="Z125" s="12"/>
    </row>
    <row r="126" spans="2:26" x14ac:dyDescent="0.3">
      <c r="B126" s="34"/>
      <c r="C126" s="185"/>
      <c r="D126" s="272"/>
      <c r="E126" s="272"/>
      <c r="G126" s="34"/>
      <c r="H126" s="185"/>
      <c r="I126" s="272"/>
      <c r="J126" s="272"/>
      <c r="L126" s="34"/>
      <c r="M126" s="185"/>
      <c r="N126" s="272"/>
      <c r="O126" s="272"/>
      <c r="Q126" s="180"/>
      <c r="R126" s="125" t="s">
        <v>2187</v>
      </c>
      <c r="S126" s="77" t="s">
        <v>2186</v>
      </c>
      <c r="T126" s="145">
        <v>0</v>
      </c>
      <c r="U126" s="145">
        <v>340067</v>
      </c>
      <c r="V126" s="12"/>
      <c r="W126" s="12"/>
      <c r="Z126" s="12"/>
    </row>
    <row r="127" spans="2:26" x14ac:dyDescent="0.3">
      <c r="B127" s="34"/>
      <c r="C127" s="185"/>
      <c r="D127" s="272"/>
      <c r="E127" s="272"/>
      <c r="G127" s="34"/>
      <c r="H127" s="185"/>
      <c r="I127" s="272"/>
      <c r="J127" s="272"/>
      <c r="L127" s="34"/>
      <c r="M127" s="185"/>
      <c r="N127" s="272"/>
      <c r="O127" s="272"/>
      <c r="Q127" s="180"/>
      <c r="R127" s="125" t="s">
        <v>2187</v>
      </c>
      <c r="S127" s="77" t="s">
        <v>2186</v>
      </c>
      <c r="T127" s="145">
        <v>327</v>
      </c>
      <c r="U127" s="145">
        <v>0</v>
      </c>
      <c r="V127" s="12"/>
      <c r="W127" s="12"/>
      <c r="Z127" s="12"/>
    </row>
    <row r="128" spans="2:26" x14ac:dyDescent="0.3">
      <c r="B128" s="34"/>
      <c r="C128" s="185"/>
      <c r="D128" s="272"/>
      <c r="E128" s="272"/>
      <c r="G128" s="34"/>
      <c r="H128" s="185"/>
      <c r="I128" s="272"/>
      <c r="J128" s="272"/>
      <c r="L128" s="34"/>
      <c r="M128" s="185"/>
      <c r="N128" s="272"/>
      <c r="O128" s="272"/>
      <c r="Q128" s="180"/>
      <c r="R128" s="125" t="s">
        <v>2342</v>
      </c>
      <c r="S128" s="77" t="s">
        <v>2188</v>
      </c>
      <c r="T128" s="145">
        <v>0</v>
      </c>
      <c r="U128" s="145">
        <v>3572</v>
      </c>
      <c r="V128" s="12"/>
      <c r="W128" s="12"/>
      <c r="Z128" s="12"/>
    </row>
    <row r="129" spans="2:26" x14ac:dyDescent="0.3">
      <c r="B129" s="34"/>
      <c r="C129" s="185"/>
      <c r="D129" s="272"/>
      <c r="E129" s="272"/>
      <c r="G129" s="34"/>
      <c r="H129" s="185"/>
      <c r="I129" s="272"/>
      <c r="J129" s="272"/>
      <c r="L129" s="34"/>
      <c r="M129" s="185"/>
      <c r="N129" s="272"/>
      <c r="O129" s="272"/>
      <c r="Q129" s="180"/>
      <c r="R129" s="125" t="s">
        <v>2190</v>
      </c>
      <c r="S129" s="77" t="s">
        <v>2189</v>
      </c>
      <c r="T129" s="145">
        <v>0</v>
      </c>
      <c r="U129" s="145">
        <v>33422</v>
      </c>
      <c r="V129" s="12"/>
      <c r="W129" s="12"/>
      <c r="Z129" s="12"/>
    </row>
    <row r="130" spans="2:26" x14ac:dyDescent="0.3">
      <c r="B130" s="34"/>
      <c r="C130" s="185"/>
      <c r="D130" s="272"/>
      <c r="E130" s="272"/>
      <c r="G130" s="34"/>
      <c r="H130" s="185"/>
      <c r="I130" s="272"/>
      <c r="J130" s="272"/>
      <c r="L130" s="34"/>
      <c r="M130" s="185"/>
      <c r="N130" s="272"/>
      <c r="O130" s="272"/>
      <c r="Q130" s="180"/>
      <c r="R130" s="125" t="s">
        <v>2192</v>
      </c>
      <c r="S130" s="77" t="s">
        <v>2191</v>
      </c>
      <c r="T130" s="145">
        <v>0</v>
      </c>
      <c r="U130" s="145">
        <v>42218</v>
      </c>
      <c r="V130" s="12"/>
      <c r="W130" s="12"/>
      <c r="Z130" s="12"/>
    </row>
    <row r="131" spans="2:26" x14ac:dyDescent="0.3">
      <c r="B131" s="34"/>
      <c r="C131" s="185"/>
      <c r="D131" s="272"/>
      <c r="E131" s="272"/>
      <c r="G131" s="34"/>
      <c r="H131" s="185"/>
      <c r="I131" s="272"/>
      <c r="J131" s="272"/>
      <c r="L131" s="34"/>
      <c r="M131" s="185"/>
      <c r="N131" s="272"/>
      <c r="O131" s="272"/>
      <c r="Q131" s="180"/>
      <c r="R131" s="125" t="s">
        <v>1896</v>
      </c>
      <c r="S131" s="77" t="s">
        <v>2193</v>
      </c>
      <c r="T131" s="145">
        <v>0</v>
      </c>
      <c r="U131" s="145">
        <v>44734</v>
      </c>
      <c r="V131" s="12"/>
      <c r="W131" s="12"/>
      <c r="Z131" s="12"/>
    </row>
    <row r="132" spans="2:26" x14ac:dyDescent="0.3">
      <c r="B132" s="34"/>
      <c r="C132" s="185"/>
      <c r="D132" s="272"/>
      <c r="E132" s="272"/>
      <c r="G132" s="34"/>
      <c r="H132" s="185"/>
      <c r="I132" s="272"/>
      <c r="J132" s="272"/>
      <c r="L132" s="34"/>
      <c r="M132" s="185"/>
      <c r="N132" s="272"/>
      <c r="O132" s="272"/>
      <c r="Q132" s="180"/>
      <c r="R132" s="125" t="s">
        <v>3291</v>
      </c>
      <c r="S132" s="77" t="s">
        <v>2171</v>
      </c>
      <c r="T132" s="145">
        <v>0</v>
      </c>
      <c r="U132" s="145">
        <v>63452</v>
      </c>
      <c r="V132" s="12"/>
      <c r="W132" s="12"/>
      <c r="Z132" s="12"/>
    </row>
    <row r="133" spans="2:26" x14ac:dyDescent="0.3">
      <c r="B133" s="34"/>
      <c r="C133" s="185"/>
      <c r="D133" s="272"/>
      <c r="E133" s="272"/>
      <c r="G133" s="34"/>
      <c r="H133" s="185"/>
      <c r="I133" s="272"/>
      <c r="J133" s="272"/>
      <c r="L133" s="34"/>
      <c r="M133" s="185"/>
      <c r="N133" s="272"/>
      <c r="O133" s="272"/>
      <c r="Q133" s="180"/>
      <c r="R133" s="125" t="s">
        <v>1898</v>
      </c>
      <c r="S133" s="77" t="s">
        <v>2218</v>
      </c>
      <c r="T133" s="145">
        <v>0</v>
      </c>
      <c r="U133" s="145">
        <v>126320</v>
      </c>
      <c r="V133" s="12"/>
      <c r="W133" s="12"/>
      <c r="Z133" s="12"/>
    </row>
    <row r="134" spans="2:26" x14ac:dyDescent="0.3">
      <c r="B134" s="34"/>
      <c r="C134" s="185"/>
      <c r="D134" s="272"/>
      <c r="E134" s="272"/>
      <c r="G134" s="34"/>
      <c r="H134" s="185"/>
      <c r="I134" s="272"/>
      <c r="J134" s="272"/>
      <c r="L134" s="34"/>
      <c r="M134" s="185"/>
      <c r="N134" s="272"/>
      <c r="O134" s="272"/>
      <c r="Q134" s="180"/>
      <c r="R134" s="125" t="s">
        <v>2219</v>
      </c>
      <c r="S134" s="77" t="s">
        <v>2220</v>
      </c>
      <c r="T134" s="145">
        <v>0</v>
      </c>
      <c r="U134" s="145">
        <v>59522</v>
      </c>
      <c r="V134" s="12"/>
      <c r="W134" s="12"/>
      <c r="Z134" s="12"/>
    </row>
    <row r="135" spans="2:26" x14ac:dyDescent="0.3">
      <c r="B135" s="34"/>
      <c r="C135" s="185"/>
      <c r="D135" s="272"/>
      <c r="E135" s="272"/>
      <c r="G135" s="34"/>
      <c r="H135" s="185"/>
      <c r="I135" s="272"/>
      <c r="J135" s="272"/>
      <c r="L135" s="34"/>
      <c r="M135" s="185"/>
      <c r="N135" s="272"/>
      <c r="O135" s="272"/>
      <c r="Q135" s="180"/>
      <c r="R135" s="125" t="s">
        <v>2221</v>
      </c>
      <c r="S135" s="77" t="s">
        <v>2222</v>
      </c>
      <c r="T135" s="145">
        <v>0</v>
      </c>
      <c r="U135" s="145">
        <v>38760</v>
      </c>
      <c r="V135" s="12"/>
      <c r="W135" s="12"/>
      <c r="Z135" s="12"/>
    </row>
    <row r="136" spans="2:26" x14ac:dyDescent="0.3">
      <c r="B136" s="34"/>
      <c r="C136" s="185"/>
      <c r="D136" s="272"/>
      <c r="E136" s="272"/>
      <c r="G136" s="34"/>
      <c r="H136" s="185"/>
      <c r="I136" s="272"/>
      <c r="J136" s="272"/>
      <c r="L136" s="34"/>
      <c r="M136" s="185"/>
      <c r="N136" s="272"/>
      <c r="O136" s="272"/>
      <c r="Q136" s="180"/>
      <c r="R136" s="125" t="s">
        <v>2223</v>
      </c>
      <c r="S136" s="77" t="s">
        <v>2224</v>
      </c>
      <c r="T136" s="145">
        <v>0</v>
      </c>
      <c r="U136" s="145">
        <v>202200</v>
      </c>
      <c r="V136" s="12"/>
      <c r="W136" s="12"/>
      <c r="Z136" s="12"/>
    </row>
    <row r="137" spans="2:26" x14ac:dyDescent="0.3">
      <c r="B137" s="34"/>
      <c r="C137" s="185"/>
      <c r="D137" s="272"/>
      <c r="E137" s="272"/>
      <c r="G137" s="34"/>
      <c r="H137" s="185"/>
      <c r="I137" s="272"/>
      <c r="J137" s="272"/>
      <c r="L137" s="34"/>
      <c r="M137" s="185"/>
      <c r="N137" s="272"/>
      <c r="O137" s="272"/>
      <c r="Q137" s="180"/>
      <c r="R137" s="125" t="s">
        <v>2226</v>
      </c>
      <c r="S137" s="77" t="s">
        <v>2227</v>
      </c>
      <c r="T137" s="145">
        <v>0</v>
      </c>
      <c r="U137" s="145">
        <v>55491</v>
      </c>
      <c r="V137" s="12"/>
      <c r="W137" s="12"/>
      <c r="Z137" s="12"/>
    </row>
    <row r="138" spans="2:26" x14ac:dyDescent="0.3">
      <c r="B138" s="34"/>
      <c r="C138" s="185"/>
      <c r="D138" s="272"/>
      <c r="E138" s="272"/>
      <c r="G138" s="34"/>
      <c r="H138" s="185"/>
      <c r="I138" s="272"/>
      <c r="J138" s="272"/>
      <c r="L138" s="34"/>
      <c r="M138" s="185"/>
      <c r="N138" s="272"/>
      <c r="O138" s="272"/>
      <c r="Q138" s="180"/>
      <c r="R138" s="125" t="s">
        <v>2228</v>
      </c>
      <c r="S138" s="77" t="s">
        <v>1990</v>
      </c>
      <c r="T138" s="145">
        <v>0</v>
      </c>
      <c r="U138" s="145">
        <v>5183</v>
      </c>
      <c r="V138" s="12"/>
      <c r="W138" s="12"/>
      <c r="Z138" s="12"/>
    </row>
    <row r="139" spans="2:26" x14ac:dyDescent="0.3">
      <c r="B139" s="34"/>
      <c r="C139" s="185"/>
      <c r="D139" s="272"/>
      <c r="E139" s="272"/>
      <c r="G139" s="34"/>
      <c r="H139" s="185"/>
      <c r="I139" s="272"/>
      <c r="J139" s="272"/>
      <c r="L139" s="34"/>
      <c r="M139" s="185"/>
      <c r="N139" s="272"/>
      <c r="O139" s="272"/>
      <c r="Q139" s="180"/>
      <c r="R139" s="125" t="s">
        <v>2228</v>
      </c>
      <c r="S139" s="77" t="s">
        <v>1990</v>
      </c>
      <c r="T139" s="145">
        <v>0</v>
      </c>
      <c r="U139" s="145">
        <v>25317</v>
      </c>
      <c r="V139" s="12"/>
      <c r="W139" s="12"/>
      <c r="Z139" s="12"/>
    </row>
    <row r="140" spans="2:26" x14ac:dyDescent="0.3">
      <c r="B140" s="34"/>
      <c r="C140" s="185"/>
      <c r="D140" s="272"/>
      <c r="E140" s="272"/>
      <c r="G140" s="34"/>
      <c r="H140" s="185"/>
      <c r="I140" s="272"/>
      <c r="J140" s="272"/>
      <c r="L140" s="34"/>
      <c r="M140" s="185"/>
      <c r="N140" s="272"/>
      <c r="O140" s="272"/>
      <c r="Q140" s="180"/>
      <c r="R140" s="125" t="s">
        <v>2229</v>
      </c>
      <c r="S140" s="77" t="s">
        <v>1987</v>
      </c>
      <c r="T140" s="145">
        <v>0</v>
      </c>
      <c r="U140" s="145">
        <v>17106</v>
      </c>
      <c r="V140" s="12"/>
      <c r="W140" s="12"/>
      <c r="Z140" s="12"/>
    </row>
    <row r="141" spans="2:26" x14ac:dyDescent="0.3">
      <c r="B141" s="34"/>
      <c r="C141" s="185"/>
      <c r="D141" s="272"/>
      <c r="E141" s="272"/>
      <c r="G141" s="34"/>
      <c r="H141" s="185"/>
      <c r="I141" s="272"/>
      <c r="J141" s="272"/>
      <c r="L141" s="34"/>
      <c r="M141" s="185"/>
      <c r="N141" s="272"/>
      <c r="O141" s="272"/>
      <c r="Q141" s="180"/>
      <c r="R141" s="125" t="s">
        <v>2230</v>
      </c>
      <c r="S141" s="77" t="s">
        <v>2231</v>
      </c>
      <c r="T141" s="145">
        <v>0</v>
      </c>
      <c r="U141" s="145">
        <v>7317</v>
      </c>
      <c r="V141" s="12"/>
      <c r="W141" s="12"/>
      <c r="Z141" s="12"/>
    </row>
    <row r="142" spans="2:26" x14ac:dyDescent="0.3">
      <c r="B142" s="34"/>
      <c r="C142" s="185"/>
      <c r="D142" s="272"/>
      <c r="E142" s="272"/>
      <c r="G142" s="34"/>
      <c r="H142" s="185"/>
      <c r="I142" s="272"/>
      <c r="J142" s="272"/>
      <c r="L142" s="34"/>
      <c r="M142" s="185"/>
      <c r="N142" s="272"/>
      <c r="O142" s="272"/>
      <c r="Q142" s="180"/>
      <c r="R142" s="125" t="s">
        <v>2232</v>
      </c>
      <c r="S142" s="77" t="s">
        <v>1988</v>
      </c>
      <c r="T142" s="145">
        <v>0</v>
      </c>
      <c r="U142" s="145">
        <v>47931</v>
      </c>
      <c r="V142" s="12"/>
      <c r="W142" s="12"/>
      <c r="Z142" s="12"/>
    </row>
    <row r="143" spans="2:26" x14ac:dyDescent="0.3">
      <c r="B143" s="34"/>
      <c r="C143" s="185"/>
      <c r="D143" s="272"/>
      <c r="E143" s="272"/>
      <c r="G143" s="34"/>
      <c r="H143" s="185"/>
      <c r="I143" s="272"/>
      <c r="J143" s="272"/>
      <c r="L143" s="34"/>
      <c r="M143" s="185"/>
      <c r="N143" s="272"/>
      <c r="O143" s="272"/>
      <c r="Q143" s="180"/>
      <c r="R143" s="125" t="s">
        <v>2233</v>
      </c>
      <c r="S143" s="77" t="s">
        <v>1989</v>
      </c>
      <c r="T143" s="145">
        <v>0</v>
      </c>
      <c r="U143" s="145">
        <v>3631</v>
      </c>
      <c r="V143" s="12"/>
      <c r="W143" s="12"/>
      <c r="Z143" s="12"/>
    </row>
    <row r="144" spans="2:26" x14ac:dyDescent="0.3">
      <c r="B144" s="34"/>
      <c r="C144" s="185"/>
      <c r="D144" s="272"/>
      <c r="E144" s="272"/>
      <c r="G144" s="34"/>
      <c r="H144" s="185"/>
      <c r="I144" s="272"/>
      <c r="J144" s="272"/>
      <c r="L144" s="34"/>
      <c r="M144" s="185"/>
      <c r="N144" s="272"/>
      <c r="O144" s="272"/>
      <c r="Q144" s="180"/>
      <c r="R144" s="125" t="s">
        <v>2233</v>
      </c>
      <c r="S144" s="77" t="s">
        <v>1989</v>
      </c>
      <c r="T144" s="145">
        <v>0</v>
      </c>
      <c r="U144" s="145">
        <v>3745</v>
      </c>
      <c r="V144" s="12"/>
      <c r="W144" s="12"/>
      <c r="Z144" s="12"/>
    </row>
    <row r="145" spans="2:26" x14ac:dyDescent="0.3">
      <c r="B145" s="34"/>
      <c r="C145" s="185"/>
      <c r="D145" s="272"/>
      <c r="E145" s="272"/>
      <c r="G145" s="34"/>
      <c r="H145" s="185"/>
      <c r="I145" s="272"/>
      <c r="J145" s="272"/>
      <c r="L145" s="34"/>
      <c r="M145" s="185"/>
      <c r="N145" s="272"/>
      <c r="O145" s="272"/>
      <c r="Q145" s="180"/>
      <c r="R145" s="125" t="s">
        <v>2234</v>
      </c>
      <c r="S145" s="77" t="s">
        <v>2235</v>
      </c>
      <c r="T145" s="145">
        <v>0</v>
      </c>
      <c r="U145" s="145">
        <v>6455</v>
      </c>
      <c r="V145" s="12"/>
      <c r="W145" s="12"/>
      <c r="Z145" s="12"/>
    </row>
    <row r="146" spans="2:26" x14ac:dyDescent="0.3">
      <c r="B146" s="34"/>
      <c r="C146" s="185"/>
      <c r="D146" s="272"/>
      <c r="E146" s="272"/>
      <c r="G146" s="34"/>
      <c r="H146" s="185"/>
      <c r="I146" s="272"/>
      <c r="J146" s="272"/>
      <c r="L146" s="34"/>
      <c r="M146" s="185"/>
      <c r="N146" s="272"/>
      <c r="O146" s="272"/>
      <c r="Q146" s="180">
        <v>12030003</v>
      </c>
      <c r="R146" s="181"/>
      <c r="S146" s="182" t="s">
        <v>2008</v>
      </c>
      <c r="T146" s="183">
        <v>0</v>
      </c>
      <c r="U146" s="183">
        <f>SUM(U147:U150)-SUM(T147:T150)</f>
        <v>60906</v>
      </c>
      <c r="V146" s="12"/>
      <c r="W146" s="12"/>
    </row>
    <row r="147" spans="2:26" x14ac:dyDescent="0.3">
      <c r="B147" s="34"/>
      <c r="C147" s="185"/>
      <c r="D147" s="272"/>
      <c r="E147" s="272"/>
      <c r="G147" s="34"/>
      <c r="H147" s="185"/>
      <c r="I147" s="272"/>
      <c r="J147" s="272"/>
      <c r="L147" s="34"/>
      <c r="M147" s="185"/>
      <c r="N147" s="272"/>
      <c r="O147" s="272"/>
      <c r="Q147" s="115"/>
      <c r="R147" s="125" t="s">
        <v>3314</v>
      </c>
      <c r="S147" s="77" t="s">
        <v>21</v>
      </c>
      <c r="T147" s="145">
        <v>0</v>
      </c>
      <c r="U147" s="145">
        <v>30100</v>
      </c>
      <c r="V147" s="12"/>
      <c r="W147" s="12"/>
    </row>
    <row r="148" spans="2:26" x14ac:dyDescent="0.3">
      <c r="B148" s="34"/>
      <c r="C148" s="185"/>
      <c r="D148" s="272"/>
      <c r="E148" s="272"/>
      <c r="G148" s="34"/>
      <c r="H148" s="185"/>
      <c r="I148" s="272"/>
      <c r="J148" s="272"/>
      <c r="L148" s="34"/>
      <c r="M148" s="185"/>
      <c r="N148" s="272"/>
      <c r="O148" s="272"/>
      <c r="Q148" s="115"/>
      <c r="R148" s="125" t="s">
        <v>3315</v>
      </c>
      <c r="S148" s="77" t="s">
        <v>518</v>
      </c>
      <c r="T148" s="145">
        <v>0</v>
      </c>
      <c r="U148" s="145">
        <v>6806</v>
      </c>
      <c r="V148" s="12"/>
      <c r="W148" s="12"/>
    </row>
    <row r="149" spans="2:26" x14ac:dyDescent="0.3">
      <c r="B149" s="34"/>
      <c r="C149" s="185"/>
      <c r="D149" s="272"/>
      <c r="E149" s="272"/>
      <c r="G149" s="34"/>
      <c r="H149" s="185"/>
      <c r="I149" s="272"/>
      <c r="J149" s="272"/>
      <c r="L149" s="34"/>
      <c r="M149" s="185"/>
      <c r="N149" s="272"/>
      <c r="O149" s="272"/>
      <c r="Q149" s="115"/>
      <c r="R149" s="125" t="s">
        <v>3316</v>
      </c>
      <c r="S149" s="77" t="s">
        <v>601</v>
      </c>
      <c r="T149" s="145">
        <v>0</v>
      </c>
      <c r="U149" s="145">
        <v>8000</v>
      </c>
      <c r="V149" s="12"/>
      <c r="W149" s="12"/>
    </row>
    <row r="150" spans="2:26" x14ac:dyDescent="0.3">
      <c r="B150" s="34"/>
      <c r="C150" s="185"/>
      <c r="D150" s="272"/>
      <c r="E150" s="272"/>
      <c r="G150" s="34"/>
      <c r="H150" s="185"/>
      <c r="I150" s="272"/>
      <c r="J150" s="272"/>
      <c r="L150" s="34"/>
      <c r="M150" s="185"/>
      <c r="N150" s="272"/>
      <c r="O150" s="272"/>
      <c r="Q150" s="115"/>
      <c r="R150" s="125" t="s">
        <v>3317</v>
      </c>
      <c r="S150" s="77" t="s">
        <v>638</v>
      </c>
      <c r="T150" s="145">
        <v>0</v>
      </c>
      <c r="U150" s="145">
        <v>16000</v>
      </c>
      <c r="V150" s="12"/>
      <c r="W150" s="12"/>
    </row>
    <row r="151" spans="2:26" x14ac:dyDescent="0.3">
      <c r="B151" s="34"/>
      <c r="C151" s="185"/>
      <c r="D151" s="272"/>
      <c r="E151" s="272"/>
      <c r="G151" s="34"/>
      <c r="H151" s="185"/>
      <c r="I151" s="272"/>
      <c r="J151" s="272"/>
      <c r="L151" s="34"/>
      <c r="M151" s="185"/>
      <c r="N151" s="272"/>
      <c r="O151" s="272"/>
      <c r="Q151" s="180">
        <v>12030004</v>
      </c>
      <c r="R151" s="181"/>
      <c r="S151" s="182" t="s">
        <v>2011</v>
      </c>
      <c r="T151" s="183">
        <v>0</v>
      </c>
      <c r="U151" s="183">
        <f>SUM(U152)-SUM(T152)</f>
        <v>553490</v>
      </c>
      <c r="V151" s="12"/>
      <c r="W151" s="12"/>
    </row>
    <row r="152" spans="2:26" x14ac:dyDescent="0.3">
      <c r="B152" s="34"/>
      <c r="C152" s="185"/>
      <c r="D152" s="272"/>
      <c r="E152" s="272"/>
      <c r="G152" s="34"/>
      <c r="H152" s="185"/>
      <c r="I152" s="272"/>
      <c r="J152" s="272"/>
      <c r="L152" s="34"/>
      <c r="M152" s="185"/>
      <c r="N152" s="272"/>
      <c r="O152" s="272"/>
      <c r="Q152" s="115"/>
      <c r="R152" s="125" t="s">
        <v>2138</v>
      </c>
      <c r="S152" s="77" t="s">
        <v>7</v>
      </c>
      <c r="T152" s="145">
        <v>0</v>
      </c>
      <c r="U152" s="145">
        <v>553490</v>
      </c>
      <c r="V152" s="12"/>
      <c r="W152" s="12"/>
    </row>
    <row r="153" spans="2:26" x14ac:dyDescent="0.3">
      <c r="B153" s="34"/>
      <c r="C153" s="185"/>
      <c r="D153" s="272"/>
      <c r="E153" s="272"/>
      <c r="G153" s="34"/>
      <c r="H153" s="185"/>
      <c r="I153" s="272"/>
      <c r="J153" s="272"/>
      <c r="L153" s="34"/>
      <c r="M153" s="185"/>
      <c r="N153" s="272"/>
      <c r="O153" s="272"/>
      <c r="Q153" s="180">
        <v>12030005</v>
      </c>
      <c r="R153" s="181"/>
      <c r="S153" s="182" t="s">
        <v>2010</v>
      </c>
      <c r="T153" s="183">
        <v>0</v>
      </c>
      <c r="U153" s="183">
        <v>0</v>
      </c>
      <c r="V153" s="12"/>
      <c r="W153" s="12"/>
    </row>
    <row r="154" spans="2:26" x14ac:dyDescent="0.3">
      <c r="B154" s="34"/>
      <c r="C154" s="185"/>
      <c r="D154" s="272"/>
      <c r="E154" s="272"/>
      <c r="G154" s="34"/>
      <c r="H154" s="185"/>
      <c r="I154" s="272"/>
      <c r="J154" s="272"/>
      <c r="L154" s="34"/>
      <c r="M154" s="185"/>
      <c r="N154" s="272"/>
      <c r="O154" s="272"/>
      <c r="Q154" s="180">
        <v>12030006</v>
      </c>
      <c r="R154" s="181"/>
      <c r="S154" s="182" t="s">
        <v>2113</v>
      </c>
      <c r="T154" s="183">
        <v>0</v>
      </c>
      <c r="U154" s="183">
        <v>0</v>
      </c>
      <c r="V154" s="12"/>
      <c r="W154" s="12"/>
    </row>
    <row r="155" spans="2:26" x14ac:dyDescent="0.3">
      <c r="B155" s="34"/>
      <c r="C155" s="185"/>
      <c r="D155" s="272"/>
      <c r="E155" s="272"/>
      <c r="G155" s="34"/>
      <c r="H155" s="185"/>
      <c r="I155" s="272"/>
      <c r="J155" s="272"/>
      <c r="L155" s="34"/>
      <c r="M155" s="185"/>
      <c r="N155" s="272"/>
      <c r="O155" s="272"/>
      <c r="Q155" s="180">
        <v>12030007</v>
      </c>
      <c r="R155" s="181"/>
      <c r="S155" s="182" t="s">
        <v>2012</v>
      </c>
      <c r="T155" s="183">
        <v>0</v>
      </c>
      <c r="U155" s="183">
        <v>0</v>
      </c>
      <c r="V155" s="12"/>
      <c r="W155" s="12"/>
    </row>
    <row r="156" spans="2:26" x14ac:dyDescent="0.3">
      <c r="B156" s="34"/>
      <c r="C156" s="185"/>
      <c r="D156" s="272"/>
      <c r="E156" s="272"/>
      <c r="G156" s="34"/>
      <c r="H156" s="185"/>
      <c r="I156" s="272"/>
      <c r="J156" s="272"/>
      <c r="L156" s="34"/>
      <c r="M156" s="185"/>
      <c r="N156" s="272"/>
      <c r="O156" s="272"/>
      <c r="Q156" s="180">
        <v>12030008</v>
      </c>
      <c r="R156" s="181"/>
      <c r="S156" s="281" t="s">
        <v>2014</v>
      </c>
      <c r="T156" s="183">
        <v>0</v>
      </c>
      <c r="U156" s="183">
        <f>SUM(U157:U163)-SUM(T157:T163)</f>
        <v>8993317</v>
      </c>
      <c r="V156" s="334" t="s">
        <v>3424</v>
      </c>
      <c r="W156" s="12"/>
      <c r="Y156" t="s">
        <v>3425</v>
      </c>
    </row>
    <row r="157" spans="2:26" x14ac:dyDescent="0.3">
      <c r="B157" s="34"/>
      <c r="C157" s="185"/>
      <c r="D157" s="272"/>
      <c r="E157" s="272"/>
      <c r="G157" s="34"/>
      <c r="H157" s="185"/>
      <c r="I157" s="272"/>
      <c r="J157" s="272"/>
      <c r="L157" s="34"/>
      <c r="M157" s="185"/>
      <c r="N157" s="272"/>
      <c r="O157" s="272"/>
      <c r="Q157" s="115"/>
      <c r="R157" s="125">
        <v>120150</v>
      </c>
      <c r="S157" s="77" t="s">
        <v>2237</v>
      </c>
      <c r="T157" s="145">
        <v>0</v>
      </c>
      <c r="U157" s="145">
        <v>109539</v>
      </c>
      <c r="V157" s="12"/>
      <c r="W157" s="12"/>
    </row>
    <row r="158" spans="2:26" x14ac:dyDescent="0.3">
      <c r="B158" s="34"/>
      <c r="C158" s="185"/>
      <c r="D158" s="272"/>
      <c r="E158" s="272"/>
      <c r="G158" s="34"/>
      <c r="H158" s="185"/>
      <c r="I158" s="272"/>
      <c r="J158" s="272"/>
      <c r="L158" s="34"/>
      <c r="M158" s="185"/>
      <c r="N158" s="272"/>
      <c r="O158" s="272"/>
      <c r="Q158" s="115"/>
      <c r="R158" s="125">
        <v>120084</v>
      </c>
      <c r="S158" s="77" t="s">
        <v>2338</v>
      </c>
      <c r="T158" s="145">
        <v>0</v>
      </c>
      <c r="U158" s="145">
        <v>371700</v>
      </c>
      <c r="V158" s="12"/>
      <c r="W158" s="12"/>
    </row>
    <row r="159" spans="2:26" x14ac:dyDescent="0.3">
      <c r="B159" s="34"/>
      <c r="C159" s="185"/>
      <c r="D159" s="272"/>
      <c r="E159" s="272"/>
      <c r="G159" s="34"/>
      <c r="H159" s="185"/>
      <c r="I159" s="272"/>
      <c r="J159" s="272"/>
      <c r="L159" s="34"/>
      <c r="M159" s="185"/>
      <c r="N159" s="272"/>
      <c r="O159" s="272"/>
      <c r="Q159" s="115"/>
      <c r="R159" s="125">
        <v>120088</v>
      </c>
      <c r="S159" s="77" t="s">
        <v>149</v>
      </c>
      <c r="T159" s="145">
        <v>0</v>
      </c>
      <c r="U159" s="145">
        <v>17320</v>
      </c>
      <c r="V159" s="12"/>
      <c r="W159" s="12"/>
    </row>
    <row r="160" spans="2:26" x14ac:dyDescent="0.3">
      <c r="B160" s="34"/>
      <c r="C160" s="185"/>
      <c r="D160" s="272"/>
      <c r="E160" s="272"/>
      <c r="G160" s="34"/>
      <c r="H160" s="185"/>
      <c r="I160" s="272"/>
      <c r="J160" s="272"/>
      <c r="L160" s="34"/>
      <c r="M160" s="185"/>
      <c r="N160" s="272"/>
      <c r="O160" s="272"/>
      <c r="Q160" s="115"/>
      <c r="R160" s="125">
        <v>120147</v>
      </c>
      <c r="S160" s="77" t="s">
        <v>1926</v>
      </c>
      <c r="T160" s="145">
        <v>0</v>
      </c>
      <c r="U160" s="145">
        <v>7820000</v>
      </c>
      <c r="V160" s="12"/>
      <c r="W160" s="12"/>
    </row>
    <row r="161" spans="2:25" x14ac:dyDescent="0.3">
      <c r="B161" s="34"/>
      <c r="C161" s="185"/>
      <c r="D161" s="272"/>
      <c r="E161" s="272"/>
      <c r="G161" s="34"/>
      <c r="H161" s="185"/>
      <c r="I161" s="272"/>
      <c r="J161" s="272"/>
      <c r="L161" s="34"/>
      <c r="M161" s="185"/>
      <c r="N161" s="272"/>
      <c r="O161" s="272"/>
      <c r="Q161" s="115"/>
      <c r="R161" s="125">
        <v>120020</v>
      </c>
      <c r="S161" s="77" t="s">
        <v>75</v>
      </c>
      <c r="T161" s="145">
        <v>0</v>
      </c>
      <c r="U161" s="145">
        <v>358500</v>
      </c>
      <c r="V161" s="12"/>
      <c r="W161" s="12"/>
    </row>
    <row r="162" spans="2:25" x14ac:dyDescent="0.3">
      <c r="B162" s="34"/>
      <c r="C162" s="185"/>
      <c r="D162" s="272"/>
      <c r="E162" s="272"/>
      <c r="G162" s="34"/>
      <c r="H162" s="185"/>
      <c r="I162" s="272"/>
      <c r="J162" s="272"/>
      <c r="L162" s="34"/>
      <c r="M162" s="185"/>
      <c r="N162" s="272"/>
      <c r="O162" s="272"/>
      <c r="Q162" s="115"/>
      <c r="R162" s="125">
        <v>120150</v>
      </c>
      <c r="S162" s="77" t="s">
        <v>2237</v>
      </c>
      <c r="T162" s="145">
        <v>0</v>
      </c>
      <c r="U162" s="145">
        <v>213826</v>
      </c>
      <c r="V162" s="12"/>
      <c r="W162" s="12"/>
    </row>
    <row r="163" spans="2:25" x14ac:dyDescent="0.3">
      <c r="B163" s="34"/>
      <c r="C163" s="185"/>
      <c r="D163" s="272"/>
      <c r="E163" s="272"/>
      <c r="G163" s="34"/>
      <c r="H163" s="185"/>
      <c r="I163" s="272"/>
      <c r="J163" s="272"/>
      <c r="L163" s="34"/>
      <c r="M163" s="185"/>
      <c r="N163" s="272"/>
      <c r="O163" s="272"/>
      <c r="Q163" s="115"/>
      <c r="R163" s="125">
        <v>120138</v>
      </c>
      <c r="S163" s="77" t="s">
        <v>1917</v>
      </c>
      <c r="T163" s="145">
        <v>0</v>
      </c>
      <c r="U163" s="145">
        <v>102432</v>
      </c>
      <c r="V163" s="12"/>
      <c r="W163" s="12"/>
    </row>
    <row r="164" spans="2:25" x14ac:dyDescent="0.3">
      <c r="B164" s="34"/>
      <c r="C164" s="185"/>
      <c r="D164" s="272"/>
      <c r="E164" s="272"/>
      <c r="G164" s="34"/>
      <c r="H164" s="185"/>
      <c r="I164" s="272"/>
      <c r="J164" s="272"/>
      <c r="L164" s="34"/>
      <c r="M164" s="185"/>
      <c r="N164" s="272"/>
      <c r="O164" s="272"/>
      <c r="Q164" s="180">
        <v>12030009</v>
      </c>
      <c r="R164" s="181"/>
      <c r="S164" s="281" t="s">
        <v>2015</v>
      </c>
      <c r="T164" s="183">
        <v>0</v>
      </c>
      <c r="U164" s="183">
        <v>0</v>
      </c>
      <c r="V164" s="334" t="s">
        <v>3427</v>
      </c>
      <c r="W164" s="12"/>
    </row>
    <row r="165" spans="2:25" x14ac:dyDescent="0.3">
      <c r="B165" s="34"/>
      <c r="C165" s="185"/>
      <c r="D165" s="272"/>
      <c r="E165" s="272"/>
      <c r="G165" s="34"/>
      <c r="H165" s="185"/>
      <c r="I165" s="272"/>
      <c r="J165" s="272"/>
      <c r="L165" s="34"/>
      <c r="M165" s="185"/>
      <c r="N165" s="272"/>
      <c r="O165" s="272"/>
      <c r="Q165" s="180">
        <v>12030010</v>
      </c>
      <c r="R165" s="181"/>
      <c r="S165" s="281" t="s">
        <v>2016</v>
      </c>
      <c r="T165" s="183">
        <v>0</v>
      </c>
      <c r="U165" s="183">
        <v>0</v>
      </c>
      <c r="V165" s="334" t="s">
        <v>3427</v>
      </c>
      <c r="W165" s="12"/>
    </row>
    <row r="166" spans="2:25" x14ac:dyDescent="0.3">
      <c r="B166" s="34"/>
      <c r="C166" s="185"/>
      <c r="D166" s="272"/>
      <c r="E166" s="272"/>
      <c r="G166" s="34"/>
      <c r="H166" s="185"/>
      <c r="I166" s="272"/>
      <c r="J166" s="272"/>
      <c r="L166" s="34"/>
      <c r="M166" s="185"/>
      <c r="N166" s="272"/>
      <c r="O166" s="272"/>
      <c r="Q166" s="180">
        <v>12030011</v>
      </c>
      <c r="R166" s="181"/>
      <c r="S166" s="281" t="s">
        <v>2017</v>
      </c>
      <c r="T166" s="183">
        <v>0</v>
      </c>
      <c r="U166" s="183">
        <v>0</v>
      </c>
      <c r="V166" s="334" t="s">
        <v>3427</v>
      </c>
      <c r="W166" s="12"/>
    </row>
    <row r="167" spans="2:25" x14ac:dyDescent="0.3">
      <c r="B167" s="34"/>
      <c r="C167" s="185"/>
      <c r="D167" s="272"/>
      <c r="E167" s="272"/>
      <c r="G167" s="34"/>
      <c r="H167" s="185"/>
      <c r="I167" s="272"/>
      <c r="J167" s="272"/>
      <c r="L167" s="34"/>
      <c r="M167" s="185"/>
      <c r="N167" s="272"/>
      <c r="O167" s="272"/>
      <c r="Q167" s="180">
        <v>12030012</v>
      </c>
      <c r="R167" s="181"/>
      <c r="S167" s="281" t="s">
        <v>3257</v>
      </c>
      <c r="T167" s="183">
        <v>0</v>
      </c>
      <c r="U167" s="183">
        <f>SUM(U168:U169)-SUM(T168:T169)</f>
        <v>633694</v>
      </c>
      <c r="V167" s="334" t="s">
        <v>3423</v>
      </c>
      <c r="W167" s="12"/>
      <c r="Y167" t="s">
        <v>3425</v>
      </c>
    </row>
    <row r="168" spans="2:25" x14ac:dyDescent="0.3">
      <c r="B168" s="34"/>
      <c r="C168" s="185"/>
      <c r="D168" s="272"/>
      <c r="E168" s="272"/>
      <c r="G168" s="34"/>
      <c r="H168" s="185"/>
      <c r="I168" s="272"/>
      <c r="J168" s="272"/>
      <c r="L168" s="34"/>
      <c r="M168" s="185"/>
      <c r="N168" s="272"/>
      <c r="O168" s="272"/>
      <c r="Q168" s="115"/>
      <c r="R168" s="125">
        <v>120150</v>
      </c>
      <c r="S168" s="77" t="s">
        <v>2237</v>
      </c>
      <c r="T168" s="145">
        <v>0</v>
      </c>
      <c r="U168" s="145">
        <f>547249+22355</f>
        <v>569604</v>
      </c>
      <c r="V168" s="12"/>
      <c r="W168" s="12"/>
    </row>
    <row r="169" spans="2:25" x14ac:dyDescent="0.3">
      <c r="B169" s="34"/>
      <c r="C169" s="185"/>
      <c r="D169" s="272"/>
      <c r="E169" s="272"/>
      <c r="G169" s="34"/>
      <c r="H169" s="185"/>
      <c r="I169" s="272"/>
      <c r="J169" s="272"/>
      <c r="L169" s="34"/>
      <c r="M169" s="185"/>
      <c r="N169" s="272"/>
      <c r="O169" s="272"/>
      <c r="Q169" s="115"/>
      <c r="R169" s="125">
        <v>120138</v>
      </c>
      <c r="S169" s="77" t="s">
        <v>1917</v>
      </c>
      <c r="T169" s="145">
        <v>0</v>
      </c>
      <c r="U169" s="145">
        <v>64090</v>
      </c>
      <c r="V169" s="12"/>
      <c r="W169" s="12"/>
    </row>
    <row r="170" spans="2:25" x14ac:dyDescent="0.3">
      <c r="B170" s="34"/>
      <c r="C170" s="185"/>
      <c r="D170" s="272"/>
      <c r="E170" s="272"/>
      <c r="G170" s="34"/>
      <c r="H170" s="185"/>
      <c r="I170" s="272"/>
      <c r="J170" s="272"/>
      <c r="L170" s="34"/>
      <c r="M170" s="185"/>
      <c r="N170" s="272"/>
      <c r="O170" s="272"/>
      <c r="Q170" s="180">
        <v>12030013</v>
      </c>
      <c r="R170" s="181"/>
      <c r="S170" s="281" t="s">
        <v>2013</v>
      </c>
      <c r="T170" s="183">
        <v>0</v>
      </c>
      <c r="U170" s="183">
        <v>0</v>
      </c>
      <c r="V170" s="334" t="s">
        <v>3427</v>
      </c>
      <c r="W170" s="12"/>
    </row>
    <row r="171" spans="2:25" x14ac:dyDescent="0.3">
      <c r="B171" s="34"/>
      <c r="C171" s="185"/>
      <c r="D171" s="272"/>
      <c r="E171" s="272"/>
      <c r="G171" s="34"/>
      <c r="H171" s="185"/>
      <c r="I171" s="272"/>
      <c r="J171" s="272"/>
      <c r="L171" s="34"/>
      <c r="M171" s="185"/>
      <c r="N171" s="272"/>
      <c r="O171" s="272"/>
      <c r="Q171" s="180">
        <v>12030014</v>
      </c>
      <c r="R171" s="181"/>
      <c r="S171" s="281" t="s">
        <v>3307</v>
      </c>
      <c r="T171" s="183">
        <v>0</v>
      </c>
      <c r="U171" s="183">
        <f>SUM(U172:U175)-SUM(T172:T175)</f>
        <v>938215</v>
      </c>
      <c r="V171" s="334" t="s">
        <v>3426</v>
      </c>
      <c r="W171" s="12"/>
      <c r="Y171" t="s">
        <v>3425</v>
      </c>
    </row>
    <row r="172" spans="2:25" x14ac:dyDescent="0.3">
      <c r="B172" s="34"/>
      <c r="C172" s="185"/>
      <c r="D172" s="272"/>
      <c r="E172" s="272"/>
      <c r="G172" s="34"/>
      <c r="H172" s="185"/>
      <c r="I172" s="272"/>
      <c r="J172" s="272"/>
      <c r="L172" s="34"/>
      <c r="M172" s="185"/>
      <c r="N172" s="272"/>
      <c r="O172" s="272"/>
      <c r="Q172" s="115"/>
      <c r="R172" s="125">
        <v>120009</v>
      </c>
      <c r="S172" s="77" t="s">
        <v>60</v>
      </c>
      <c r="T172" s="145">
        <v>0</v>
      </c>
      <c r="U172" s="145">
        <v>115400</v>
      </c>
      <c r="V172" s="12"/>
      <c r="W172" s="12"/>
    </row>
    <row r="173" spans="2:25" x14ac:dyDescent="0.3">
      <c r="B173" s="34"/>
      <c r="C173" s="185"/>
      <c r="D173" s="272"/>
      <c r="E173" s="272"/>
      <c r="G173" s="34"/>
      <c r="H173" s="185"/>
      <c r="I173" s="272"/>
      <c r="J173" s="272"/>
      <c r="L173" s="34"/>
      <c r="M173" s="185"/>
      <c r="N173" s="272"/>
      <c r="O173" s="272"/>
      <c r="Q173" s="115"/>
      <c r="R173" s="125">
        <v>120020</v>
      </c>
      <c r="S173" s="77" t="s">
        <v>75</v>
      </c>
      <c r="T173" s="145">
        <v>0</v>
      </c>
      <c r="U173" s="145">
        <v>110000</v>
      </c>
      <c r="V173" s="12"/>
      <c r="W173" s="12"/>
    </row>
    <row r="174" spans="2:25" x14ac:dyDescent="0.3">
      <c r="B174" s="34"/>
      <c r="C174" s="185"/>
      <c r="D174" s="272"/>
      <c r="E174" s="272"/>
      <c r="G174" s="34"/>
      <c r="H174" s="185"/>
      <c r="I174" s="272"/>
      <c r="J174" s="272"/>
      <c r="L174" s="34"/>
      <c r="M174" s="185"/>
      <c r="N174" s="272"/>
      <c r="O174" s="272"/>
      <c r="Q174" s="115"/>
      <c r="R174" s="125">
        <v>120150</v>
      </c>
      <c r="S174" s="77" t="s">
        <v>2237</v>
      </c>
      <c r="T174" s="145">
        <v>0</v>
      </c>
      <c r="U174" s="145">
        <v>523720</v>
      </c>
      <c r="V174" s="12"/>
      <c r="W174" s="12"/>
    </row>
    <row r="175" spans="2:25" x14ac:dyDescent="0.3">
      <c r="B175" s="34"/>
      <c r="C175" s="185"/>
      <c r="D175" s="272"/>
      <c r="E175" s="272"/>
      <c r="G175" s="34"/>
      <c r="H175" s="185"/>
      <c r="I175" s="272"/>
      <c r="J175" s="272"/>
      <c r="L175" s="34"/>
      <c r="M175" s="185"/>
      <c r="N175" s="272"/>
      <c r="O175" s="272"/>
      <c r="Q175" s="115"/>
      <c r="R175" s="125">
        <v>120070</v>
      </c>
      <c r="S175" s="77" t="s">
        <v>132</v>
      </c>
      <c r="T175" s="145">
        <v>0</v>
      </c>
      <c r="U175" s="145">
        <v>189095</v>
      </c>
      <c r="V175" s="12"/>
      <c r="W175" s="12"/>
    </row>
    <row r="176" spans="2:25" x14ac:dyDescent="0.3">
      <c r="B176" s="34"/>
      <c r="C176" s="185"/>
      <c r="D176" s="272"/>
      <c r="E176" s="272"/>
      <c r="G176" s="34"/>
      <c r="H176" s="185"/>
      <c r="I176" s="272"/>
      <c r="J176" s="272"/>
      <c r="L176" s="34"/>
      <c r="M176" s="185"/>
      <c r="N176" s="272"/>
      <c r="O176" s="272"/>
      <c r="Q176" s="180">
        <v>12030015</v>
      </c>
      <c r="R176" s="181"/>
      <c r="S176" s="182" t="s">
        <v>2018</v>
      </c>
      <c r="T176" s="183">
        <v>0</v>
      </c>
      <c r="U176" s="183">
        <f>SUM(U177)-SUM(T177)</f>
        <v>9172146</v>
      </c>
      <c r="V176" s="12"/>
      <c r="W176" s="12"/>
    </row>
    <row r="177" spans="2:23" x14ac:dyDescent="0.3">
      <c r="B177" s="34"/>
      <c r="C177" s="185"/>
      <c r="D177" s="272"/>
      <c r="E177" s="272"/>
      <c r="G177" s="34"/>
      <c r="H177" s="185"/>
      <c r="I177" s="272"/>
      <c r="J177" s="272"/>
      <c r="L177" s="34"/>
      <c r="M177" s="185"/>
      <c r="N177" s="272"/>
      <c r="O177" s="272"/>
      <c r="Q177" s="115"/>
      <c r="R177" s="125">
        <v>120165</v>
      </c>
      <c r="S177" s="77" t="s">
        <v>2237</v>
      </c>
      <c r="T177" s="145">
        <v>0</v>
      </c>
      <c r="U177" s="145">
        <v>9172146</v>
      </c>
      <c r="V177" s="12"/>
      <c r="W177" s="12"/>
    </row>
    <row r="178" spans="2:23" x14ac:dyDescent="0.3">
      <c r="B178" s="34"/>
      <c r="C178" s="185"/>
      <c r="D178" s="272"/>
      <c r="E178" s="272"/>
      <c r="G178" s="34"/>
      <c r="H178" s="185"/>
      <c r="I178" s="272"/>
      <c r="J178" s="272"/>
      <c r="L178" s="34"/>
      <c r="M178" s="185"/>
      <c r="N178" s="272"/>
      <c r="O178" s="272"/>
      <c r="Q178" s="180">
        <v>12030016</v>
      </c>
      <c r="R178" s="181"/>
      <c r="S178" s="182" t="s">
        <v>940</v>
      </c>
      <c r="T178" s="183">
        <v>0</v>
      </c>
      <c r="U178" s="183">
        <f>SUM(U179)-SUM(T179)</f>
        <v>58749000</v>
      </c>
      <c r="V178" s="12"/>
      <c r="W178" s="12"/>
    </row>
    <row r="179" spans="2:23" x14ac:dyDescent="0.3">
      <c r="B179" s="34"/>
      <c r="C179" s="185"/>
      <c r="D179" s="272"/>
      <c r="E179" s="272"/>
      <c r="G179" s="34"/>
      <c r="H179" s="185"/>
      <c r="I179" s="272"/>
      <c r="J179" s="272"/>
      <c r="L179" s="34"/>
      <c r="M179" s="185"/>
      <c r="N179" s="272"/>
      <c r="O179" s="272"/>
      <c r="Q179" s="115"/>
      <c r="R179" s="125" t="s">
        <v>2138</v>
      </c>
      <c r="S179" s="77" t="s">
        <v>7</v>
      </c>
      <c r="T179" s="145">
        <v>0</v>
      </c>
      <c r="U179" s="145">
        <v>58749000</v>
      </c>
      <c r="V179" s="12"/>
      <c r="W179" s="12"/>
    </row>
    <row r="180" spans="2:23" x14ac:dyDescent="0.3">
      <c r="B180" s="34"/>
      <c r="C180" s="185"/>
      <c r="D180" s="272"/>
      <c r="E180" s="272"/>
      <c r="G180" s="34"/>
      <c r="H180" s="185"/>
      <c r="I180" s="272"/>
      <c r="J180" s="272"/>
      <c r="L180" s="34"/>
      <c r="M180" s="185"/>
      <c r="N180" s="272"/>
      <c r="O180" s="272"/>
      <c r="Q180" s="180">
        <v>12030017</v>
      </c>
      <c r="R180" s="181"/>
      <c r="S180" s="281" t="s">
        <v>3337</v>
      </c>
      <c r="T180" s="183">
        <v>0</v>
      </c>
      <c r="U180" s="183">
        <f>SUM(U181)-SUM(T181)</f>
        <v>10477765.800000001</v>
      </c>
      <c r="V180" s="11" t="s">
        <v>3338</v>
      </c>
      <c r="W180" s="12"/>
    </row>
    <row r="181" spans="2:23" x14ac:dyDescent="0.3">
      <c r="B181" s="34"/>
      <c r="C181" s="185"/>
      <c r="D181" s="272"/>
      <c r="E181" s="272"/>
      <c r="G181" s="34"/>
      <c r="H181" s="185"/>
      <c r="I181" s="272"/>
      <c r="J181" s="272"/>
      <c r="L181" s="34"/>
      <c r="M181" s="185"/>
      <c r="N181" s="272"/>
      <c r="O181" s="272"/>
      <c r="Q181" s="115"/>
      <c r="R181" s="125">
        <v>120151</v>
      </c>
      <c r="S181" s="77" t="s">
        <v>3259</v>
      </c>
      <c r="T181" s="145">
        <v>0</v>
      </c>
      <c r="U181" s="145">
        <v>10477765.800000001</v>
      </c>
      <c r="V181" s="12"/>
      <c r="W181" s="12"/>
    </row>
    <row r="182" spans="2:23" x14ac:dyDescent="0.3">
      <c r="B182" s="34"/>
      <c r="C182" s="185"/>
      <c r="D182" s="272"/>
      <c r="E182" s="272"/>
      <c r="G182" s="34"/>
      <c r="H182" s="185"/>
      <c r="I182" s="272"/>
      <c r="J182" s="272"/>
      <c r="L182" s="34"/>
      <c r="M182" s="185"/>
      <c r="N182" s="272"/>
      <c r="O182" s="272"/>
      <c r="Q182" s="180">
        <v>12030018</v>
      </c>
      <c r="R182" s="181"/>
      <c r="S182" s="281" t="s">
        <v>3422</v>
      </c>
      <c r="T182" s="183">
        <v>0</v>
      </c>
      <c r="U182" s="183">
        <f>SUM(U183)-SUM(T183)</f>
        <v>380097.51</v>
      </c>
      <c r="V182" s="11" t="s">
        <v>3338</v>
      </c>
      <c r="W182" s="12"/>
    </row>
    <row r="183" spans="2:23" x14ac:dyDescent="0.3">
      <c r="B183" s="34"/>
      <c r="C183" s="185"/>
      <c r="D183" s="272"/>
      <c r="E183" s="272"/>
      <c r="G183" s="34"/>
      <c r="H183" s="185"/>
      <c r="I183" s="272"/>
      <c r="J183" s="272"/>
      <c r="L183" s="34"/>
      <c r="M183" s="185"/>
      <c r="N183" s="272"/>
      <c r="O183" s="272"/>
      <c r="Q183" s="115"/>
      <c r="R183" s="125" t="s">
        <v>2138</v>
      </c>
      <c r="S183" s="77" t="s">
        <v>7</v>
      </c>
      <c r="T183" s="145">
        <v>0</v>
      </c>
      <c r="U183" s="145">
        <v>380097.51</v>
      </c>
      <c r="V183" s="12"/>
      <c r="W183" s="12"/>
    </row>
    <row r="184" spans="2:23" x14ac:dyDescent="0.3">
      <c r="B184" s="34"/>
      <c r="C184" s="185"/>
      <c r="D184" s="272"/>
      <c r="E184" s="272"/>
      <c r="G184" s="34"/>
      <c r="H184" s="185"/>
      <c r="I184" s="272"/>
      <c r="J184" s="272"/>
      <c r="L184" s="34"/>
      <c r="M184" s="185"/>
      <c r="N184" s="272"/>
      <c r="O184" s="272"/>
      <c r="Q184" s="115"/>
      <c r="R184" s="125"/>
      <c r="S184" s="77"/>
      <c r="T184" s="145"/>
      <c r="U184" s="145"/>
      <c r="V184" s="12"/>
      <c r="W184" s="12"/>
    </row>
    <row r="185" spans="2:23" x14ac:dyDescent="0.3">
      <c r="B185" s="34"/>
      <c r="C185" s="185"/>
      <c r="D185" s="272"/>
      <c r="E185" s="272"/>
      <c r="G185" s="34"/>
      <c r="H185" s="185"/>
      <c r="I185" s="272"/>
      <c r="J185" s="272"/>
      <c r="K185">
        <v>1204</v>
      </c>
      <c r="L185" s="175">
        <v>1204</v>
      </c>
      <c r="M185" s="188" t="s">
        <v>2019</v>
      </c>
      <c r="N185" s="278">
        <v>0</v>
      </c>
      <c r="O185" s="278">
        <f>U185+U187+U188+U189+U190+U191+U192</f>
        <v>29432989</v>
      </c>
      <c r="Q185" s="175">
        <v>12040001</v>
      </c>
      <c r="R185" s="176"/>
      <c r="S185" s="177" t="s">
        <v>2020</v>
      </c>
      <c r="T185" s="183">
        <v>0</v>
      </c>
      <c r="U185" s="183">
        <f>SUM(U186)-SUM(T186)</f>
        <v>29432989</v>
      </c>
    </row>
    <row r="186" spans="2:23" x14ac:dyDescent="0.3">
      <c r="B186" s="34"/>
      <c r="C186" s="185"/>
      <c r="D186" s="272"/>
      <c r="E186" s="272"/>
      <c r="G186" s="34"/>
      <c r="H186" s="185"/>
      <c r="I186" s="272"/>
      <c r="J186" s="272"/>
      <c r="L186" s="34"/>
      <c r="M186" s="185"/>
      <c r="N186" s="272"/>
      <c r="O186" s="272"/>
      <c r="Q186" s="34"/>
      <c r="R186" s="124">
        <v>120150</v>
      </c>
      <c r="S186" s="9" t="s">
        <v>2237</v>
      </c>
      <c r="T186" s="144">
        <v>0</v>
      </c>
      <c r="U186" s="144">
        <v>29432989</v>
      </c>
    </row>
    <row r="187" spans="2:23" x14ac:dyDescent="0.3">
      <c r="B187" s="34"/>
      <c r="C187" s="185"/>
      <c r="D187" s="272"/>
      <c r="E187" s="272"/>
      <c r="G187" s="34"/>
      <c r="H187" s="185"/>
      <c r="I187" s="272"/>
      <c r="J187" s="272"/>
      <c r="L187" s="34"/>
      <c r="M187" s="185"/>
      <c r="N187" s="272"/>
      <c r="O187" s="272"/>
      <c r="Q187" s="175">
        <v>12040002</v>
      </c>
      <c r="R187" s="176"/>
      <c r="S187" s="177" t="s">
        <v>2021</v>
      </c>
      <c r="T187" s="178">
        <v>0</v>
      </c>
      <c r="U187" s="178">
        <v>0</v>
      </c>
    </row>
    <row r="188" spans="2:23" x14ac:dyDescent="0.3">
      <c r="B188" s="34"/>
      <c r="C188" s="185"/>
      <c r="D188" s="272"/>
      <c r="E188" s="272"/>
      <c r="G188" s="34"/>
      <c r="H188" s="185"/>
      <c r="I188" s="272"/>
      <c r="J188" s="272"/>
      <c r="L188" s="34"/>
      <c r="M188" s="185"/>
      <c r="N188" s="272"/>
      <c r="O188" s="272"/>
      <c r="Q188" s="175">
        <v>12040003</v>
      </c>
      <c r="R188" s="176"/>
      <c r="S188" s="177" t="s">
        <v>2060</v>
      </c>
      <c r="T188" s="178">
        <v>0</v>
      </c>
      <c r="U188" s="178">
        <v>0</v>
      </c>
    </row>
    <row r="189" spans="2:23" x14ac:dyDescent="0.3">
      <c r="B189" s="34"/>
      <c r="C189" s="185"/>
      <c r="D189" s="272"/>
      <c r="E189" s="272"/>
      <c r="G189" s="34"/>
      <c r="H189" s="185"/>
      <c r="I189" s="272"/>
      <c r="J189" s="272"/>
      <c r="L189" s="34"/>
      <c r="M189" s="185"/>
      <c r="N189" s="272"/>
      <c r="O189" s="272"/>
      <c r="Q189" s="175">
        <v>12040004</v>
      </c>
      <c r="R189" s="176"/>
      <c r="S189" s="177" t="s">
        <v>999</v>
      </c>
      <c r="T189" s="178">
        <v>0</v>
      </c>
      <c r="U189" s="178">
        <v>0</v>
      </c>
    </row>
    <row r="190" spans="2:23" x14ac:dyDescent="0.3">
      <c r="B190" s="34"/>
      <c r="C190" s="185"/>
      <c r="D190" s="272"/>
      <c r="E190" s="272"/>
      <c r="G190" s="34"/>
      <c r="H190" s="185"/>
      <c r="I190" s="272"/>
      <c r="J190" s="272"/>
      <c r="L190" s="34"/>
      <c r="M190" s="185"/>
      <c r="N190" s="272"/>
      <c r="O190" s="272"/>
      <c r="Q190" s="175">
        <v>12040005</v>
      </c>
      <c r="R190" s="176"/>
      <c r="S190" s="177" t="s">
        <v>1002</v>
      </c>
      <c r="T190" s="178">
        <v>0</v>
      </c>
      <c r="U190" s="178">
        <v>0</v>
      </c>
    </row>
    <row r="191" spans="2:23" x14ac:dyDescent="0.3">
      <c r="B191" s="34"/>
      <c r="C191" s="185"/>
      <c r="D191" s="272"/>
      <c r="E191" s="272"/>
      <c r="G191" s="34"/>
      <c r="H191" s="185"/>
      <c r="I191" s="272"/>
      <c r="J191" s="272"/>
      <c r="L191" s="34"/>
      <c r="M191" s="185"/>
      <c r="N191" s="272"/>
      <c r="O191" s="272"/>
      <c r="Q191" s="175">
        <v>12040006</v>
      </c>
      <c r="R191" s="176"/>
      <c r="S191" s="177" t="s">
        <v>2238</v>
      </c>
      <c r="T191" s="178">
        <v>0</v>
      </c>
      <c r="U191" s="178">
        <v>0</v>
      </c>
    </row>
    <row r="192" spans="2:23" x14ac:dyDescent="0.3">
      <c r="B192" s="34"/>
      <c r="C192" s="185"/>
      <c r="D192" s="272"/>
      <c r="E192" s="272"/>
      <c r="G192" s="34"/>
      <c r="H192" s="185"/>
      <c r="I192" s="272"/>
      <c r="J192" s="272"/>
      <c r="L192" s="34"/>
      <c r="M192" s="185"/>
      <c r="N192" s="272"/>
      <c r="O192" s="272"/>
      <c r="Q192" s="175">
        <v>12040007</v>
      </c>
      <c r="R192" s="176"/>
      <c r="S192" s="177" t="s">
        <v>1001</v>
      </c>
      <c r="T192" s="178">
        <v>0</v>
      </c>
      <c r="U192" s="178">
        <v>0</v>
      </c>
    </row>
    <row r="193" spans="2:21" x14ac:dyDescent="0.3">
      <c r="B193" s="34"/>
      <c r="C193" s="185"/>
      <c r="D193" s="272"/>
      <c r="E193" s="272"/>
      <c r="G193" s="34"/>
      <c r="H193" s="185"/>
      <c r="I193" s="272"/>
      <c r="J193" s="272"/>
      <c r="L193" s="34"/>
      <c r="M193" s="185"/>
      <c r="N193" s="272"/>
      <c r="O193" s="272"/>
      <c r="Q193" s="175"/>
      <c r="R193" s="176"/>
      <c r="S193" s="177"/>
      <c r="T193" s="178"/>
      <c r="U193" s="178"/>
    </row>
    <row r="194" spans="2:21" x14ac:dyDescent="0.3">
      <c r="B194" s="34"/>
      <c r="C194" s="185"/>
      <c r="D194" s="272"/>
      <c r="E194" s="272"/>
      <c r="G194" s="34"/>
      <c r="H194" s="185"/>
      <c r="I194" s="272"/>
      <c r="J194" s="272"/>
      <c r="L194" s="34"/>
      <c r="M194" s="185"/>
      <c r="N194" s="272"/>
      <c r="O194" s="272"/>
      <c r="Q194" s="175"/>
      <c r="R194" s="176"/>
      <c r="S194" s="177"/>
      <c r="T194" s="178"/>
      <c r="U194" s="178"/>
    </row>
    <row r="195" spans="2:21" x14ac:dyDescent="0.3">
      <c r="B195" s="34"/>
      <c r="C195" s="185"/>
      <c r="D195" s="272"/>
      <c r="E195" s="272"/>
      <c r="G195" s="34"/>
      <c r="H195" s="185"/>
      <c r="I195" s="272"/>
      <c r="J195" s="272"/>
      <c r="K195">
        <v>1205</v>
      </c>
      <c r="L195" s="175">
        <v>1205</v>
      </c>
      <c r="M195" s="188" t="s">
        <v>3258</v>
      </c>
      <c r="N195" s="278">
        <v>0</v>
      </c>
      <c r="O195" s="278">
        <f>U195</f>
        <v>10028158.5</v>
      </c>
      <c r="Q195" s="180">
        <v>12050001</v>
      </c>
      <c r="R195" s="181"/>
      <c r="S195" s="182" t="s">
        <v>2031</v>
      </c>
      <c r="T195" s="183">
        <v>0</v>
      </c>
      <c r="U195" s="183">
        <f>SUM(U196)-SUM(T196)</f>
        <v>10028158.5</v>
      </c>
    </row>
    <row r="196" spans="2:21" x14ac:dyDescent="0.3">
      <c r="B196" s="34"/>
      <c r="C196" s="185"/>
      <c r="D196" s="272"/>
      <c r="E196" s="272"/>
      <c r="G196" s="34"/>
      <c r="H196" s="185"/>
      <c r="I196" s="272"/>
      <c r="J196" s="272"/>
      <c r="L196" s="34"/>
      <c r="M196" s="185"/>
      <c r="N196" s="272"/>
      <c r="O196" s="272"/>
      <c r="Q196" s="115"/>
      <c r="R196" s="125" t="s">
        <v>2138</v>
      </c>
      <c r="S196" s="77" t="s">
        <v>7</v>
      </c>
      <c r="T196" s="145">
        <v>0</v>
      </c>
      <c r="U196" s="145">
        <v>10028158.5</v>
      </c>
    </row>
    <row r="197" spans="2:21" x14ac:dyDescent="0.3">
      <c r="B197" s="34"/>
      <c r="C197" s="185"/>
      <c r="D197" s="272"/>
      <c r="E197" s="272"/>
      <c r="G197" s="34"/>
      <c r="H197" s="185"/>
      <c r="I197" s="272"/>
      <c r="J197" s="272"/>
      <c r="L197" s="34"/>
      <c r="M197" s="185"/>
      <c r="N197" s="272"/>
      <c r="O197" s="272"/>
      <c r="Q197" s="115"/>
      <c r="R197" s="125"/>
      <c r="S197" s="77"/>
      <c r="T197" s="145"/>
      <c r="U197" s="145"/>
    </row>
    <row r="198" spans="2:21" x14ac:dyDescent="0.3">
      <c r="B198" s="34"/>
      <c r="C198" s="185"/>
      <c r="D198" s="272"/>
      <c r="E198" s="272"/>
      <c r="G198" s="34"/>
      <c r="H198" s="185"/>
      <c r="I198" s="272"/>
      <c r="J198" s="272"/>
      <c r="L198" s="34"/>
      <c r="M198" s="185"/>
      <c r="N198" s="272"/>
      <c r="O198" s="272"/>
      <c r="Q198" s="115"/>
      <c r="R198" s="125"/>
      <c r="S198" s="77"/>
      <c r="T198" s="145"/>
      <c r="U198" s="145"/>
    </row>
    <row r="199" spans="2:21" x14ac:dyDescent="0.3">
      <c r="B199" s="34"/>
      <c r="C199" s="185"/>
      <c r="D199" s="272"/>
      <c r="E199" s="272"/>
      <c r="G199" s="34"/>
      <c r="H199" s="185"/>
      <c r="I199" s="272"/>
      <c r="J199" s="272"/>
      <c r="K199">
        <v>1206</v>
      </c>
      <c r="L199" s="175">
        <v>1206</v>
      </c>
      <c r="M199" s="188" t="s">
        <v>2022</v>
      </c>
      <c r="N199" s="278">
        <v>0</v>
      </c>
      <c r="O199" s="278">
        <f>U199+U200+U201+U202+U203+U204+U205+U206+U207</f>
        <v>0</v>
      </c>
      <c r="Q199" s="175">
        <v>12060001</v>
      </c>
      <c r="R199" s="176"/>
      <c r="S199" s="177" t="s">
        <v>2239</v>
      </c>
      <c r="T199" s="178">
        <v>0</v>
      </c>
      <c r="U199" s="178">
        <v>0</v>
      </c>
    </row>
    <row r="200" spans="2:21" x14ac:dyDescent="0.3">
      <c r="B200" s="34"/>
      <c r="C200" s="185"/>
      <c r="D200" s="272"/>
      <c r="E200" s="272"/>
      <c r="G200" s="34"/>
      <c r="H200" s="185"/>
      <c r="I200" s="272"/>
      <c r="J200" s="272"/>
      <c r="L200" s="34"/>
      <c r="M200" s="185"/>
      <c r="N200" s="272"/>
      <c r="O200" s="272"/>
      <c r="Q200" s="175">
        <v>12060002</v>
      </c>
      <c r="R200" s="176"/>
      <c r="S200" s="177" t="s">
        <v>2240</v>
      </c>
      <c r="T200" s="178">
        <v>0</v>
      </c>
      <c r="U200" s="178">
        <v>0</v>
      </c>
    </row>
    <row r="201" spans="2:21" x14ac:dyDescent="0.3">
      <c r="B201" s="34"/>
      <c r="C201" s="185"/>
      <c r="D201" s="272"/>
      <c r="E201" s="272"/>
      <c r="G201" s="34"/>
      <c r="H201" s="185"/>
      <c r="I201" s="272"/>
      <c r="J201" s="272"/>
      <c r="L201" s="34"/>
      <c r="M201" s="185"/>
      <c r="N201" s="272"/>
      <c r="O201" s="272"/>
      <c r="Q201" s="175">
        <v>12060003</v>
      </c>
      <c r="R201" s="176"/>
      <c r="S201" s="177" t="s">
        <v>2241</v>
      </c>
      <c r="T201" s="178">
        <v>0</v>
      </c>
      <c r="U201" s="178">
        <v>0</v>
      </c>
    </row>
    <row r="202" spans="2:21" x14ac:dyDescent="0.3">
      <c r="B202" s="34"/>
      <c r="C202" s="185"/>
      <c r="D202" s="272"/>
      <c r="E202" s="272"/>
      <c r="G202" s="34"/>
      <c r="H202" s="185"/>
      <c r="I202" s="272"/>
      <c r="J202" s="272"/>
      <c r="L202" s="34"/>
      <c r="M202" s="185"/>
      <c r="N202" s="272"/>
      <c r="O202" s="272"/>
      <c r="Q202" s="175">
        <v>12060004</v>
      </c>
      <c r="R202" s="176"/>
      <c r="S202" s="177" t="s">
        <v>2242</v>
      </c>
      <c r="T202" s="178">
        <v>0</v>
      </c>
      <c r="U202" s="178">
        <v>0</v>
      </c>
    </row>
    <row r="203" spans="2:21" x14ac:dyDescent="0.3">
      <c r="B203" s="34"/>
      <c r="C203" s="185"/>
      <c r="D203" s="272"/>
      <c r="E203" s="272"/>
      <c r="G203" s="34"/>
      <c r="H203" s="185"/>
      <c r="I203" s="272"/>
      <c r="J203" s="272"/>
      <c r="L203" s="34"/>
      <c r="M203" s="185"/>
      <c r="N203" s="272"/>
      <c r="O203" s="272"/>
      <c r="Q203" s="175">
        <v>12060005</v>
      </c>
      <c r="R203" s="176"/>
      <c r="S203" s="177" t="s">
        <v>2243</v>
      </c>
      <c r="T203" s="178">
        <v>0</v>
      </c>
      <c r="U203" s="178">
        <v>0</v>
      </c>
    </row>
    <row r="204" spans="2:21" x14ac:dyDescent="0.3">
      <c r="B204" s="34"/>
      <c r="C204" s="185"/>
      <c r="D204" s="272"/>
      <c r="E204" s="272"/>
      <c r="G204" s="34"/>
      <c r="H204" s="185"/>
      <c r="I204" s="272"/>
      <c r="J204" s="272"/>
      <c r="L204" s="34"/>
      <c r="M204" s="185"/>
      <c r="N204" s="272"/>
      <c r="O204" s="272"/>
      <c r="Q204" s="175">
        <v>12060006</v>
      </c>
      <c r="R204" s="176"/>
      <c r="S204" s="177" t="s">
        <v>2244</v>
      </c>
      <c r="T204" s="178">
        <v>0</v>
      </c>
      <c r="U204" s="178">
        <v>0</v>
      </c>
    </row>
    <row r="205" spans="2:21" x14ac:dyDescent="0.3">
      <c r="B205" s="34"/>
      <c r="C205" s="185"/>
      <c r="D205" s="272"/>
      <c r="E205" s="272"/>
      <c r="G205" s="34"/>
      <c r="H205" s="185"/>
      <c r="I205" s="272"/>
      <c r="J205" s="272"/>
      <c r="L205" s="34"/>
      <c r="M205" s="185"/>
      <c r="N205" s="272"/>
      <c r="O205" s="272"/>
      <c r="Q205" s="175">
        <v>12060007</v>
      </c>
      <c r="R205" s="176"/>
      <c r="S205" s="177" t="s">
        <v>2245</v>
      </c>
      <c r="T205" s="178">
        <v>0</v>
      </c>
      <c r="U205" s="178">
        <v>0</v>
      </c>
    </row>
    <row r="206" spans="2:21" x14ac:dyDescent="0.3">
      <c r="B206" s="34"/>
      <c r="C206" s="185"/>
      <c r="D206" s="272"/>
      <c r="E206" s="272"/>
      <c r="G206" s="34"/>
      <c r="H206" s="185"/>
      <c r="I206" s="272"/>
      <c r="J206" s="272"/>
      <c r="L206" s="34"/>
      <c r="M206" s="185"/>
      <c r="N206" s="272"/>
      <c r="O206" s="272"/>
      <c r="Q206" s="175">
        <v>12060008</v>
      </c>
      <c r="R206" s="176"/>
      <c r="S206" s="177" t="s">
        <v>2022</v>
      </c>
      <c r="T206" s="178">
        <v>0</v>
      </c>
      <c r="U206" s="178">
        <v>0</v>
      </c>
    </row>
    <row r="207" spans="2:21" x14ac:dyDescent="0.3">
      <c r="B207" s="34"/>
      <c r="C207" s="185"/>
      <c r="D207" s="272"/>
      <c r="E207" s="272"/>
      <c r="G207" s="34"/>
      <c r="H207" s="185"/>
      <c r="I207" s="272"/>
      <c r="J207" s="272"/>
      <c r="L207" s="34"/>
      <c r="M207" s="185"/>
      <c r="N207" s="272"/>
      <c r="O207" s="272"/>
      <c r="Q207" s="175">
        <v>12060009</v>
      </c>
      <c r="R207" s="176"/>
      <c r="S207" s="177" t="s">
        <v>928</v>
      </c>
      <c r="T207" s="178">
        <v>0</v>
      </c>
      <c r="U207" s="178">
        <v>0</v>
      </c>
    </row>
    <row r="208" spans="2:21" x14ac:dyDescent="0.3">
      <c r="B208" s="34"/>
      <c r="C208" s="185"/>
      <c r="D208" s="272"/>
      <c r="E208" s="272"/>
      <c r="G208" s="34"/>
      <c r="H208" s="185"/>
      <c r="I208" s="272"/>
      <c r="J208" s="272"/>
      <c r="L208" s="34"/>
      <c r="M208" s="185"/>
      <c r="N208" s="272"/>
      <c r="O208" s="272"/>
      <c r="Q208" s="175"/>
      <c r="R208" s="176"/>
      <c r="S208" s="177"/>
      <c r="T208" s="178"/>
      <c r="U208" s="178"/>
    </row>
    <row r="209" spans="2:21" x14ac:dyDescent="0.3">
      <c r="B209" s="34"/>
      <c r="C209" s="185"/>
      <c r="D209" s="272"/>
      <c r="E209" s="272"/>
      <c r="G209" s="34"/>
      <c r="H209" s="185"/>
      <c r="I209" s="272"/>
      <c r="J209" s="272"/>
      <c r="L209" s="34"/>
      <c r="M209" s="185"/>
      <c r="N209" s="272"/>
      <c r="O209" s="272"/>
      <c r="Q209" s="175"/>
      <c r="R209" s="176"/>
      <c r="S209" s="177"/>
      <c r="T209" s="178"/>
      <c r="U209" s="178"/>
    </row>
    <row r="210" spans="2:21" x14ac:dyDescent="0.3">
      <c r="B210" s="34"/>
      <c r="C210" s="185"/>
      <c r="D210" s="272"/>
      <c r="E210" s="272"/>
      <c r="G210" s="34"/>
      <c r="H210" s="185"/>
      <c r="I210" s="272"/>
      <c r="J210" s="272"/>
      <c r="K210">
        <v>1207</v>
      </c>
      <c r="L210" s="175">
        <v>1207</v>
      </c>
      <c r="M210" s="188" t="s">
        <v>887</v>
      </c>
      <c r="N210" s="278">
        <v>0</v>
      </c>
      <c r="O210" s="278">
        <f>U210+U211+U212+U213+U214+U215+U250+U275+U309+U310+U336+U337+U339+U340</f>
        <v>39762502.259999998</v>
      </c>
      <c r="Q210" s="175">
        <v>12070001</v>
      </c>
      <c r="R210" s="176"/>
      <c r="S210" s="177" t="s">
        <v>2023</v>
      </c>
      <c r="T210" s="178">
        <v>0</v>
      </c>
      <c r="U210" s="178">
        <v>0</v>
      </c>
    </row>
    <row r="211" spans="2:21" x14ac:dyDescent="0.3">
      <c r="B211" s="34"/>
      <c r="C211" s="185"/>
      <c r="D211" s="272"/>
      <c r="E211" s="272"/>
      <c r="G211" s="34"/>
      <c r="H211" s="185"/>
      <c r="I211" s="272"/>
      <c r="J211" s="272"/>
      <c r="L211" s="34"/>
      <c r="M211" s="185"/>
      <c r="N211" s="272"/>
      <c r="O211" s="272"/>
      <c r="Q211" s="175">
        <v>12070002</v>
      </c>
      <c r="R211" s="176"/>
      <c r="S211" s="177" t="s">
        <v>2026</v>
      </c>
      <c r="T211" s="178">
        <v>0</v>
      </c>
      <c r="U211" s="178">
        <v>0</v>
      </c>
    </row>
    <row r="212" spans="2:21" x14ac:dyDescent="0.3">
      <c r="B212" s="34"/>
      <c r="C212" s="185"/>
      <c r="D212" s="272"/>
      <c r="E212" s="272"/>
      <c r="G212" s="34"/>
      <c r="H212" s="185"/>
      <c r="I212" s="272"/>
      <c r="J212" s="272"/>
      <c r="L212" s="34"/>
      <c r="M212" s="185"/>
      <c r="N212" s="272"/>
      <c r="O212" s="272"/>
      <c r="Q212" s="175">
        <v>12070003</v>
      </c>
      <c r="R212" s="176"/>
      <c r="S212" s="177" t="s">
        <v>2027</v>
      </c>
      <c r="T212" s="178">
        <v>0</v>
      </c>
      <c r="U212" s="178">
        <v>0</v>
      </c>
    </row>
    <row r="213" spans="2:21" x14ac:dyDescent="0.3">
      <c r="B213" s="34"/>
      <c r="C213" s="185"/>
      <c r="D213" s="272"/>
      <c r="E213" s="272"/>
      <c r="G213" s="34"/>
      <c r="H213" s="185"/>
      <c r="I213" s="272"/>
      <c r="J213" s="272"/>
      <c r="L213" s="34"/>
      <c r="M213" s="185"/>
      <c r="N213" s="272"/>
      <c r="O213" s="272"/>
      <c r="Q213" s="175">
        <v>12070004</v>
      </c>
      <c r="R213" s="176"/>
      <c r="S213" s="177" t="s">
        <v>2028</v>
      </c>
      <c r="T213" s="178">
        <v>0</v>
      </c>
      <c r="U213" s="178">
        <v>0</v>
      </c>
    </row>
    <row r="214" spans="2:21" x14ac:dyDescent="0.3">
      <c r="B214" s="34"/>
      <c r="C214" s="185"/>
      <c r="D214" s="272"/>
      <c r="E214" s="272"/>
      <c r="G214" s="34"/>
      <c r="H214" s="185"/>
      <c r="I214" s="272"/>
      <c r="J214" s="272"/>
      <c r="L214" s="34"/>
      <c r="M214" s="185"/>
      <c r="N214" s="272"/>
      <c r="O214" s="272"/>
      <c r="Q214" s="175">
        <v>12070005</v>
      </c>
      <c r="R214" s="176"/>
      <c r="S214" s="177" t="s">
        <v>2029</v>
      </c>
      <c r="T214" s="178">
        <v>0</v>
      </c>
      <c r="U214" s="178">
        <v>0</v>
      </c>
    </row>
    <row r="215" spans="2:21" x14ac:dyDescent="0.3">
      <c r="B215" s="34"/>
      <c r="C215" s="185"/>
      <c r="D215" s="272"/>
      <c r="E215" s="272"/>
      <c r="G215" s="34"/>
      <c r="H215" s="185"/>
      <c r="I215" s="272"/>
      <c r="J215" s="272"/>
      <c r="L215" s="34"/>
      <c r="M215" s="185"/>
      <c r="N215" s="272"/>
      <c r="O215" s="272"/>
      <c r="Q215" s="175">
        <v>12070006</v>
      </c>
      <c r="R215" s="176"/>
      <c r="S215" s="177" t="s">
        <v>943</v>
      </c>
      <c r="T215" s="183">
        <v>0</v>
      </c>
      <c r="U215" s="183">
        <f>SUM(U216:U249)-SUM(T216:T249)</f>
        <v>3912745.2600000002</v>
      </c>
    </row>
    <row r="216" spans="2:21" x14ac:dyDescent="0.3">
      <c r="B216" s="34"/>
      <c r="C216" s="185"/>
      <c r="D216" s="272"/>
      <c r="E216" s="272"/>
      <c r="G216" s="34"/>
      <c r="H216" s="185"/>
      <c r="I216" s="272"/>
      <c r="J216" s="272"/>
      <c r="L216" s="34"/>
      <c r="M216" s="185"/>
      <c r="N216" s="272"/>
      <c r="O216" s="272"/>
      <c r="Q216" s="34"/>
      <c r="R216" s="124" t="s">
        <v>1931</v>
      </c>
      <c r="S216" s="9" t="s">
        <v>1932</v>
      </c>
      <c r="T216" s="144">
        <v>0</v>
      </c>
      <c r="U216" s="144">
        <v>2940</v>
      </c>
    </row>
    <row r="217" spans="2:21" x14ac:dyDescent="0.3">
      <c r="B217" s="34"/>
      <c r="C217" s="185"/>
      <c r="D217" s="272"/>
      <c r="E217" s="272"/>
      <c r="G217" s="34"/>
      <c r="H217" s="185"/>
      <c r="I217" s="272"/>
      <c r="J217" s="272"/>
      <c r="L217" s="34"/>
      <c r="M217" s="185"/>
      <c r="N217" s="272"/>
      <c r="O217" s="272"/>
      <c r="Q217" s="34"/>
      <c r="R217" s="124" t="s">
        <v>1934</v>
      </c>
      <c r="S217" s="9" t="s">
        <v>2196</v>
      </c>
      <c r="T217" s="144">
        <v>0</v>
      </c>
      <c r="U217" s="144">
        <v>798</v>
      </c>
    </row>
    <row r="218" spans="2:21" x14ac:dyDescent="0.3">
      <c r="B218" s="34"/>
      <c r="C218" s="185"/>
      <c r="D218" s="272"/>
      <c r="E218" s="272"/>
      <c r="G218" s="34"/>
      <c r="H218" s="185"/>
      <c r="I218" s="272"/>
      <c r="J218" s="272"/>
      <c r="L218" s="34"/>
      <c r="M218" s="185"/>
      <c r="N218" s="272"/>
      <c r="O218" s="272"/>
      <c r="Q218" s="34"/>
      <c r="R218" s="124" t="s">
        <v>2138</v>
      </c>
      <c r="S218" s="9" t="s">
        <v>7</v>
      </c>
      <c r="T218" s="144">
        <v>0</v>
      </c>
      <c r="U218" s="144">
        <v>70371</v>
      </c>
    </row>
    <row r="219" spans="2:21" x14ac:dyDescent="0.3">
      <c r="B219" s="34"/>
      <c r="C219" s="185"/>
      <c r="D219" s="272"/>
      <c r="E219" s="272"/>
      <c r="G219" s="34"/>
      <c r="H219" s="185"/>
      <c r="I219" s="272"/>
      <c r="J219" s="272"/>
      <c r="L219" s="34"/>
      <c r="M219" s="185"/>
      <c r="N219" s="272"/>
      <c r="O219" s="272"/>
      <c r="Q219" s="34"/>
      <c r="R219" s="124" t="s">
        <v>2199</v>
      </c>
      <c r="S219" s="9" t="s">
        <v>2200</v>
      </c>
      <c r="T219" s="144">
        <v>0</v>
      </c>
      <c r="U219" s="144">
        <v>620278</v>
      </c>
    </row>
    <row r="220" spans="2:21" x14ac:dyDescent="0.3">
      <c r="B220" s="34"/>
      <c r="C220" s="185"/>
      <c r="D220" s="272"/>
      <c r="E220" s="272"/>
      <c r="G220" s="34"/>
      <c r="H220" s="185"/>
      <c r="I220" s="272"/>
      <c r="J220" s="272"/>
      <c r="L220" s="34"/>
      <c r="M220" s="185"/>
      <c r="N220" s="272"/>
      <c r="O220" s="272"/>
      <c r="Q220" s="34"/>
      <c r="R220" s="124" t="s">
        <v>2201</v>
      </c>
      <c r="S220" s="9" t="s">
        <v>2202</v>
      </c>
      <c r="T220" s="144">
        <v>0</v>
      </c>
      <c r="U220" s="144">
        <v>167525</v>
      </c>
    </row>
    <row r="221" spans="2:21" x14ac:dyDescent="0.3">
      <c r="B221" s="34"/>
      <c r="C221" s="185"/>
      <c r="D221" s="272"/>
      <c r="E221" s="272"/>
      <c r="G221" s="34"/>
      <c r="H221" s="185"/>
      <c r="I221" s="272"/>
      <c r="J221" s="272"/>
      <c r="L221" s="34"/>
      <c r="M221" s="185"/>
      <c r="N221" s="272"/>
      <c r="O221" s="272"/>
      <c r="Q221" s="34"/>
      <c r="R221" s="124" t="s">
        <v>2203</v>
      </c>
      <c r="S221" s="9" t="s">
        <v>2204</v>
      </c>
      <c r="T221" s="144">
        <v>0</v>
      </c>
      <c r="U221" s="144">
        <v>81296</v>
      </c>
    </row>
    <row r="222" spans="2:21" x14ac:dyDescent="0.3">
      <c r="B222" s="34"/>
      <c r="C222" s="185"/>
      <c r="D222" s="272"/>
      <c r="E222" s="272"/>
      <c r="G222" s="34"/>
      <c r="H222" s="185"/>
      <c r="I222" s="272"/>
      <c r="J222" s="272"/>
      <c r="L222" s="34"/>
      <c r="M222" s="185"/>
      <c r="N222" s="272"/>
      <c r="O222" s="272"/>
      <c r="Q222" s="34"/>
      <c r="R222" s="124" t="s">
        <v>2205</v>
      </c>
      <c r="S222" s="9" t="s">
        <v>2206</v>
      </c>
      <c r="T222" s="144">
        <v>0</v>
      </c>
      <c r="U222" s="144">
        <v>115514</v>
      </c>
    </row>
    <row r="223" spans="2:21" x14ac:dyDescent="0.3">
      <c r="B223" s="34"/>
      <c r="C223" s="185"/>
      <c r="D223" s="272"/>
      <c r="E223" s="272"/>
      <c r="G223" s="34"/>
      <c r="H223" s="185"/>
      <c r="I223" s="272"/>
      <c r="J223" s="272"/>
      <c r="L223" s="34"/>
      <c r="M223" s="185"/>
      <c r="N223" s="272"/>
      <c r="O223" s="272"/>
      <c r="Q223" s="34"/>
      <c r="R223" s="124" t="s">
        <v>2207</v>
      </c>
      <c r="S223" s="9" t="s">
        <v>2208</v>
      </c>
      <c r="T223" s="144">
        <v>0</v>
      </c>
      <c r="U223" s="144">
        <v>53302</v>
      </c>
    </row>
    <row r="224" spans="2:21" x14ac:dyDescent="0.3">
      <c r="B224" s="34"/>
      <c r="C224" s="185"/>
      <c r="D224" s="272"/>
      <c r="E224" s="272"/>
      <c r="G224" s="34"/>
      <c r="H224" s="185"/>
      <c r="I224" s="272"/>
      <c r="J224" s="272"/>
      <c r="L224" s="34"/>
      <c r="M224" s="185"/>
      <c r="N224" s="272"/>
      <c r="O224" s="272"/>
      <c r="Q224" s="34"/>
      <c r="R224" s="124" t="s">
        <v>2209</v>
      </c>
      <c r="S224" s="9" t="s">
        <v>2210</v>
      </c>
      <c r="T224" s="144">
        <v>0</v>
      </c>
      <c r="U224" s="144">
        <v>405340</v>
      </c>
    </row>
    <row r="225" spans="2:21" x14ac:dyDescent="0.3">
      <c r="B225" s="34"/>
      <c r="C225" s="185"/>
      <c r="D225" s="272"/>
      <c r="E225" s="272"/>
      <c r="G225" s="34"/>
      <c r="H225" s="185"/>
      <c r="I225" s="272"/>
      <c r="J225" s="272"/>
      <c r="L225" s="34"/>
      <c r="M225" s="185"/>
      <c r="N225" s="272"/>
      <c r="O225" s="272"/>
      <c r="Q225" s="34"/>
      <c r="R225" s="124" t="s">
        <v>2340</v>
      </c>
      <c r="S225" s="9" t="s">
        <v>2159</v>
      </c>
      <c r="T225" s="144">
        <v>0</v>
      </c>
      <c r="U225" s="144">
        <v>540394</v>
      </c>
    </row>
    <row r="226" spans="2:21" x14ac:dyDescent="0.3">
      <c r="B226" s="34"/>
      <c r="C226" s="185"/>
      <c r="D226" s="272"/>
      <c r="E226" s="272"/>
      <c r="G226" s="34"/>
      <c r="H226" s="185"/>
      <c r="I226" s="272"/>
      <c r="J226" s="272"/>
      <c r="L226" s="34"/>
      <c r="M226" s="185"/>
      <c r="N226" s="272"/>
      <c r="O226" s="272"/>
      <c r="Q226" s="34"/>
      <c r="R226" s="124" t="s">
        <v>2160</v>
      </c>
      <c r="S226" s="9" t="s">
        <v>2161</v>
      </c>
      <c r="T226" s="144">
        <v>0</v>
      </c>
      <c r="U226" s="144">
        <v>87612</v>
      </c>
    </row>
    <row r="227" spans="2:21" x14ac:dyDescent="0.3">
      <c r="B227" s="34"/>
      <c r="C227" s="185"/>
      <c r="D227" s="272"/>
      <c r="E227" s="272"/>
      <c r="G227" s="34"/>
      <c r="H227" s="185"/>
      <c r="I227" s="272"/>
      <c r="J227" s="272"/>
      <c r="L227" s="34"/>
      <c r="M227" s="185"/>
      <c r="N227" s="272"/>
      <c r="O227" s="272"/>
      <c r="Q227" s="34"/>
      <c r="R227" s="124" t="s">
        <v>2162</v>
      </c>
      <c r="S227" s="9" t="s">
        <v>2163</v>
      </c>
      <c r="T227" s="144">
        <v>0</v>
      </c>
      <c r="U227" s="144">
        <v>77970</v>
      </c>
    </row>
    <row r="228" spans="2:21" x14ac:dyDescent="0.3">
      <c r="B228" s="34"/>
      <c r="C228" s="185"/>
      <c r="D228" s="272"/>
      <c r="E228" s="272"/>
      <c r="G228" s="34"/>
      <c r="H228" s="185"/>
      <c r="I228" s="272"/>
      <c r="J228" s="272"/>
      <c r="L228" s="34"/>
      <c r="M228" s="185"/>
      <c r="N228" s="272"/>
      <c r="O228" s="272"/>
      <c r="Q228" s="34"/>
      <c r="R228" s="124" t="s">
        <v>2165</v>
      </c>
      <c r="S228" s="9" t="s">
        <v>2166</v>
      </c>
      <c r="T228" s="144">
        <v>0</v>
      </c>
      <c r="U228" s="144">
        <v>40285</v>
      </c>
    </row>
    <row r="229" spans="2:21" x14ac:dyDescent="0.3">
      <c r="B229" s="34"/>
      <c r="C229" s="185"/>
      <c r="D229" s="272"/>
      <c r="E229" s="272"/>
      <c r="G229" s="34"/>
      <c r="H229" s="185"/>
      <c r="I229" s="272"/>
      <c r="J229" s="272"/>
      <c r="L229" s="34"/>
      <c r="M229" s="185"/>
      <c r="N229" s="272"/>
      <c r="O229" s="272"/>
      <c r="Q229" s="34"/>
      <c r="R229" s="124" t="s">
        <v>2168</v>
      </c>
      <c r="S229" s="9" t="s">
        <v>2169</v>
      </c>
      <c r="T229" s="144">
        <v>0</v>
      </c>
      <c r="U229" s="144">
        <v>78580</v>
      </c>
    </row>
    <row r="230" spans="2:21" x14ac:dyDescent="0.3">
      <c r="B230" s="34"/>
      <c r="C230" s="185"/>
      <c r="D230" s="272"/>
      <c r="E230" s="272"/>
      <c r="G230" s="34"/>
      <c r="H230" s="185"/>
      <c r="I230" s="272"/>
      <c r="J230" s="272"/>
      <c r="L230" s="34"/>
      <c r="M230" s="185"/>
      <c r="N230" s="272"/>
      <c r="O230" s="272"/>
      <c r="Q230" s="34"/>
      <c r="R230" s="124" t="s">
        <v>3313</v>
      </c>
      <c r="S230" s="9" t="s">
        <v>2211</v>
      </c>
      <c r="T230" s="144">
        <v>0</v>
      </c>
      <c r="U230" s="144">
        <v>173936.7</v>
      </c>
    </row>
    <row r="231" spans="2:21" x14ac:dyDescent="0.3">
      <c r="B231" s="34"/>
      <c r="C231" s="185"/>
      <c r="D231" s="272"/>
      <c r="E231" s="272"/>
      <c r="G231" s="34"/>
      <c r="H231" s="185"/>
      <c r="I231" s="272"/>
      <c r="J231" s="272"/>
      <c r="L231" s="34"/>
      <c r="M231" s="185"/>
      <c r="N231" s="272"/>
      <c r="O231" s="272"/>
      <c r="Q231" s="34"/>
      <c r="R231" s="124" t="s">
        <v>2212</v>
      </c>
      <c r="S231" s="9" t="s">
        <v>2213</v>
      </c>
      <c r="T231" s="144">
        <v>0</v>
      </c>
      <c r="U231" s="144">
        <v>39752</v>
      </c>
    </row>
    <row r="232" spans="2:21" x14ac:dyDescent="0.3">
      <c r="B232" s="34"/>
      <c r="C232" s="185"/>
      <c r="D232" s="272"/>
      <c r="E232" s="272"/>
      <c r="G232" s="34"/>
      <c r="H232" s="185"/>
      <c r="I232" s="272"/>
      <c r="J232" s="272"/>
      <c r="L232" s="34"/>
      <c r="M232" s="185"/>
      <c r="N232" s="272"/>
      <c r="O232" s="272"/>
      <c r="Q232" s="34"/>
      <c r="R232" s="124" t="s">
        <v>2214</v>
      </c>
      <c r="S232" s="9" t="s">
        <v>2215</v>
      </c>
      <c r="T232" s="144">
        <v>0</v>
      </c>
      <c r="U232" s="144">
        <v>20241</v>
      </c>
    </row>
    <row r="233" spans="2:21" x14ac:dyDescent="0.3">
      <c r="B233" s="34"/>
      <c r="C233" s="185"/>
      <c r="D233" s="272"/>
      <c r="E233" s="272"/>
      <c r="G233" s="34"/>
      <c r="H233" s="185"/>
      <c r="I233" s="272"/>
      <c r="J233" s="272"/>
      <c r="L233" s="34"/>
      <c r="M233" s="185"/>
      <c r="N233" s="272"/>
      <c r="O233" s="272"/>
      <c r="Q233" s="34"/>
      <c r="R233" s="124" t="s">
        <v>2216</v>
      </c>
      <c r="S233" s="9" t="s">
        <v>2217</v>
      </c>
      <c r="T233" s="144">
        <v>0</v>
      </c>
      <c r="U233" s="144">
        <v>28295</v>
      </c>
    </row>
    <row r="234" spans="2:21" x14ac:dyDescent="0.3">
      <c r="B234" s="34"/>
      <c r="C234" s="185"/>
      <c r="D234" s="272"/>
      <c r="E234" s="272"/>
      <c r="G234" s="34"/>
      <c r="H234" s="185"/>
      <c r="I234" s="272"/>
      <c r="J234" s="272"/>
      <c r="L234" s="34"/>
      <c r="M234" s="185"/>
      <c r="N234" s="272"/>
      <c r="O234" s="272"/>
      <c r="Q234" s="34"/>
      <c r="R234" s="124" t="s">
        <v>1985</v>
      </c>
      <c r="S234" s="9" t="s">
        <v>2197</v>
      </c>
      <c r="T234" s="144">
        <v>0</v>
      </c>
      <c r="U234" s="144">
        <v>1848</v>
      </c>
    </row>
    <row r="235" spans="2:21" x14ac:dyDescent="0.3">
      <c r="B235" s="34"/>
      <c r="C235" s="185"/>
      <c r="D235" s="272"/>
      <c r="E235" s="272"/>
      <c r="G235" s="34"/>
      <c r="H235" s="185"/>
      <c r="I235" s="272"/>
      <c r="J235" s="272"/>
      <c r="L235" s="34"/>
      <c r="M235" s="185"/>
      <c r="N235" s="272"/>
      <c r="O235" s="272"/>
      <c r="Q235" s="34"/>
      <c r="R235" s="124" t="s">
        <v>1895</v>
      </c>
      <c r="S235" s="9" t="s">
        <v>2174</v>
      </c>
      <c r="T235" s="144">
        <v>0</v>
      </c>
      <c r="U235" s="144">
        <v>110361</v>
      </c>
    </row>
    <row r="236" spans="2:21" x14ac:dyDescent="0.3">
      <c r="B236" s="34"/>
      <c r="C236" s="185"/>
      <c r="D236" s="272"/>
      <c r="E236" s="272"/>
      <c r="G236" s="34"/>
      <c r="H236" s="185"/>
      <c r="I236" s="272"/>
      <c r="J236" s="272"/>
      <c r="L236" s="34"/>
      <c r="M236" s="185"/>
      <c r="N236" s="272"/>
      <c r="O236" s="272"/>
      <c r="Q236" s="34"/>
      <c r="R236" s="124" t="s">
        <v>2177</v>
      </c>
      <c r="S236" s="9" t="s">
        <v>2341</v>
      </c>
      <c r="T236" s="144">
        <v>0</v>
      </c>
      <c r="U236" s="144">
        <v>206182</v>
      </c>
    </row>
    <row r="237" spans="2:21" x14ac:dyDescent="0.3">
      <c r="B237" s="34"/>
      <c r="C237" s="185"/>
      <c r="D237" s="272"/>
      <c r="E237" s="272"/>
      <c r="G237" s="34"/>
      <c r="H237" s="185"/>
      <c r="I237" s="272"/>
      <c r="J237" s="272"/>
      <c r="L237" s="34"/>
      <c r="M237" s="185"/>
      <c r="N237" s="272"/>
      <c r="O237" s="272"/>
      <c r="Q237" s="34"/>
      <c r="R237" s="124" t="s">
        <v>2183</v>
      </c>
      <c r="S237" s="9" t="s">
        <v>2182</v>
      </c>
      <c r="T237" s="144">
        <v>0</v>
      </c>
      <c r="U237" s="144">
        <v>192916.9</v>
      </c>
    </row>
    <row r="238" spans="2:21" x14ac:dyDescent="0.3">
      <c r="B238" s="34"/>
      <c r="C238" s="185"/>
      <c r="D238" s="272"/>
      <c r="E238" s="272"/>
      <c r="G238" s="34"/>
      <c r="H238" s="185"/>
      <c r="I238" s="272"/>
      <c r="J238" s="272"/>
      <c r="L238" s="34"/>
      <c r="M238" s="185"/>
      <c r="N238" s="272"/>
      <c r="O238" s="272"/>
      <c r="Q238" s="34"/>
      <c r="R238" s="124" t="s">
        <v>2185</v>
      </c>
      <c r="S238" s="9" t="s">
        <v>2184</v>
      </c>
      <c r="T238" s="144">
        <v>0</v>
      </c>
      <c r="U238" s="144">
        <v>117270</v>
      </c>
    </row>
    <row r="239" spans="2:21" x14ac:dyDescent="0.3">
      <c r="B239" s="34"/>
      <c r="C239" s="185"/>
      <c r="D239" s="272"/>
      <c r="E239" s="272"/>
      <c r="G239" s="34"/>
      <c r="H239" s="185"/>
      <c r="I239" s="272"/>
      <c r="J239" s="272"/>
      <c r="L239" s="34"/>
      <c r="M239" s="185"/>
      <c r="N239" s="272"/>
      <c r="O239" s="272"/>
      <c r="Q239" s="34"/>
      <c r="R239" s="124" t="s">
        <v>2187</v>
      </c>
      <c r="S239" s="9" t="s">
        <v>2186</v>
      </c>
      <c r="T239" s="144">
        <v>0</v>
      </c>
      <c r="U239" s="144">
        <v>24003</v>
      </c>
    </row>
    <row r="240" spans="2:21" x14ac:dyDescent="0.3">
      <c r="B240" s="34"/>
      <c r="C240" s="185"/>
      <c r="D240" s="272"/>
      <c r="E240" s="272"/>
      <c r="G240" s="34"/>
      <c r="H240" s="185"/>
      <c r="I240" s="272"/>
      <c r="J240" s="272"/>
      <c r="L240" s="34"/>
      <c r="M240" s="185"/>
      <c r="N240" s="272"/>
      <c r="O240" s="272"/>
      <c r="Q240" s="34"/>
      <c r="R240" s="124" t="s">
        <v>2187</v>
      </c>
      <c r="S240" s="9" t="s">
        <v>2186</v>
      </c>
      <c r="T240" s="144">
        <v>0</v>
      </c>
      <c r="U240" s="144">
        <v>14740</v>
      </c>
    </row>
    <row r="241" spans="2:21" x14ac:dyDescent="0.3">
      <c r="B241" s="34"/>
      <c r="C241" s="185"/>
      <c r="D241" s="272"/>
      <c r="E241" s="272"/>
      <c r="G241" s="34"/>
      <c r="H241" s="185"/>
      <c r="I241" s="272"/>
      <c r="J241" s="272"/>
      <c r="L241" s="34"/>
      <c r="M241" s="185"/>
      <c r="N241" s="272"/>
      <c r="O241" s="272"/>
      <c r="Q241" s="34"/>
      <c r="R241" s="124" t="s">
        <v>2342</v>
      </c>
      <c r="S241" s="9" t="s">
        <v>2188</v>
      </c>
      <c r="T241" s="144">
        <v>0</v>
      </c>
      <c r="U241" s="144">
        <v>18233</v>
      </c>
    </row>
    <row r="242" spans="2:21" x14ac:dyDescent="0.3">
      <c r="B242" s="34"/>
      <c r="C242" s="185"/>
      <c r="D242" s="272"/>
      <c r="E242" s="272"/>
      <c r="G242" s="34"/>
      <c r="H242" s="185"/>
      <c r="I242" s="272"/>
      <c r="J242" s="272"/>
      <c r="L242" s="34"/>
      <c r="M242" s="185"/>
      <c r="N242" s="272"/>
      <c r="O242" s="272"/>
      <c r="Q242" s="34"/>
      <c r="R242" s="124" t="s">
        <v>2342</v>
      </c>
      <c r="S242" s="9" t="s">
        <v>2188</v>
      </c>
      <c r="T242" s="144">
        <v>0</v>
      </c>
      <c r="U242" s="144">
        <v>489</v>
      </c>
    </row>
    <row r="243" spans="2:21" x14ac:dyDescent="0.3">
      <c r="B243" s="34"/>
      <c r="C243" s="185"/>
      <c r="D243" s="272"/>
      <c r="E243" s="272"/>
      <c r="G243" s="34"/>
      <c r="H243" s="185"/>
      <c r="I243" s="272"/>
      <c r="J243" s="272"/>
      <c r="L243" s="34"/>
      <c r="M243" s="185"/>
      <c r="N243" s="272"/>
      <c r="O243" s="272"/>
      <c r="Q243" s="34"/>
      <c r="R243" s="124" t="s">
        <v>2190</v>
      </c>
      <c r="S243" s="9" t="s">
        <v>2189</v>
      </c>
      <c r="T243" s="144">
        <v>0</v>
      </c>
      <c r="U243" s="144">
        <v>39587</v>
      </c>
    </row>
    <row r="244" spans="2:21" x14ac:dyDescent="0.3">
      <c r="B244" s="34"/>
      <c r="C244" s="185"/>
      <c r="D244" s="272"/>
      <c r="E244" s="272"/>
      <c r="G244" s="34"/>
      <c r="H244" s="185"/>
      <c r="I244" s="272"/>
      <c r="J244" s="272"/>
      <c r="L244" s="34"/>
      <c r="M244" s="185"/>
      <c r="N244" s="272"/>
      <c r="O244" s="272"/>
      <c r="Q244" s="34"/>
      <c r="R244" s="124" t="s">
        <v>2192</v>
      </c>
      <c r="S244" s="9" t="s">
        <v>2191</v>
      </c>
      <c r="T244" s="144">
        <v>0</v>
      </c>
      <c r="U244" s="144">
        <v>2673</v>
      </c>
    </row>
    <row r="245" spans="2:21" x14ac:dyDescent="0.3">
      <c r="B245" s="34"/>
      <c r="C245" s="185"/>
      <c r="D245" s="272"/>
      <c r="E245" s="272"/>
      <c r="G245" s="34"/>
      <c r="H245" s="185"/>
      <c r="I245" s="272"/>
      <c r="J245" s="272"/>
      <c r="L245" s="34"/>
      <c r="M245" s="185"/>
      <c r="N245" s="272"/>
      <c r="O245" s="272"/>
      <c r="Q245" s="34"/>
      <c r="R245" s="124" t="s">
        <v>1896</v>
      </c>
      <c r="S245" s="9" t="s">
        <v>2193</v>
      </c>
      <c r="T245" s="144">
        <v>0</v>
      </c>
      <c r="U245" s="144">
        <v>22524</v>
      </c>
    </row>
    <row r="246" spans="2:21" x14ac:dyDescent="0.3">
      <c r="B246" s="34"/>
      <c r="C246" s="185"/>
      <c r="D246" s="272"/>
      <c r="E246" s="272"/>
      <c r="G246" s="34"/>
      <c r="H246" s="185"/>
      <c r="I246" s="272"/>
      <c r="J246" s="272"/>
      <c r="L246" s="34"/>
      <c r="M246" s="185"/>
      <c r="N246" s="272"/>
      <c r="O246" s="272"/>
      <c r="Q246" s="34"/>
      <c r="R246" s="124" t="s">
        <v>2343</v>
      </c>
      <c r="S246" s="9" t="s">
        <v>2194</v>
      </c>
      <c r="T246" s="144">
        <v>0</v>
      </c>
      <c r="U246" s="144">
        <v>336071</v>
      </c>
    </row>
    <row r="247" spans="2:21" x14ac:dyDescent="0.3">
      <c r="B247" s="34"/>
      <c r="C247" s="185"/>
      <c r="D247" s="272"/>
      <c r="E247" s="272"/>
      <c r="G247" s="34"/>
      <c r="H247" s="185"/>
      <c r="I247" s="272"/>
      <c r="J247" s="272"/>
      <c r="L247" s="34"/>
      <c r="M247" s="185"/>
      <c r="N247" s="272"/>
      <c r="O247" s="272"/>
      <c r="Q247" s="34"/>
      <c r="R247" s="124" t="s">
        <v>3291</v>
      </c>
      <c r="S247" s="9" t="s">
        <v>2171</v>
      </c>
      <c r="T247" s="144">
        <v>0</v>
      </c>
      <c r="U247" s="144">
        <v>215722.66</v>
      </c>
    </row>
    <row r="248" spans="2:21" x14ac:dyDescent="0.3">
      <c r="B248" s="34"/>
      <c r="C248" s="185"/>
      <c r="D248" s="272"/>
      <c r="E248" s="272"/>
      <c r="G248" s="34"/>
      <c r="H248" s="185"/>
      <c r="I248" s="272"/>
      <c r="J248" s="272"/>
      <c r="L248" s="34"/>
      <c r="M248" s="185"/>
      <c r="N248" s="272"/>
      <c r="O248" s="272"/>
      <c r="Q248" s="34"/>
      <c r="R248" s="124" t="s">
        <v>2219</v>
      </c>
      <c r="S248" s="9" t="s">
        <v>2220</v>
      </c>
      <c r="T248" s="144">
        <v>0</v>
      </c>
      <c r="U248" s="144">
        <v>5499</v>
      </c>
    </row>
    <row r="249" spans="2:21" x14ac:dyDescent="0.3">
      <c r="B249" s="34"/>
      <c r="C249" s="185"/>
      <c r="D249" s="272"/>
      <c r="E249" s="272"/>
      <c r="G249" s="34"/>
      <c r="H249" s="185"/>
      <c r="I249" s="272"/>
      <c r="J249" s="272"/>
      <c r="L249" s="34"/>
      <c r="M249" s="185"/>
      <c r="N249" s="272"/>
      <c r="O249" s="272"/>
      <c r="Q249" s="34"/>
      <c r="R249" s="124" t="s">
        <v>2234</v>
      </c>
      <c r="S249" s="9" t="s">
        <v>2235</v>
      </c>
      <c r="T249" s="144">
        <v>0</v>
      </c>
      <c r="U249" s="144">
        <v>196</v>
      </c>
    </row>
    <row r="250" spans="2:21" x14ac:dyDescent="0.3">
      <c r="B250" s="34"/>
      <c r="C250" s="185"/>
      <c r="D250" s="272"/>
      <c r="E250" s="272"/>
      <c r="G250" s="34"/>
      <c r="H250" s="185"/>
      <c r="I250" s="272"/>
      <c r="J250" s="272"/>
      <c r="L250" s="34"/>
      <c r="M250" s="185"/>
      <c r="N250" s="272"/>
      <c r="O250" s="272"/>
      <c r="Q250" s="175">
        <v>12070007</v>
      </c>
      <c r="R250" s="176"/>
      <c r="S250" s="177" t="s">
        <v>944</v>
      </c>
      <c r="T250" s="183">
        <v>0</v>
      </c>
      <c r="U250" s="183">
        <f>SUM(U251:U274)-SUM(T251:T274)</f>
        <v>3698273</v>
      </c>
    </row>
    <row r="251" spans="2:21" x14ac:dyDescent="0.3">
      <c r="B251" s="34"/>
      <c r="C251" s="185"/>
      <c r="D251" s="272"/>
      <c r="E251" s="272"/>
      <c r="G251" s="34"/>
      <c r="H251" s="185"/>
      <c r="I251" s="272"/>
      <c r="J251" s="272"/>
      <c r="L251" s="34"/>
      <c r="M251" s="185"/>
      <c r="N251" s="272"/>
      <c r="O251" s="272"/>
      <c r="Q251" s="34"/>
      <c r="R251" s="124" t="s">
        <v>2138</v>
      </c>
      <c r="S251" s="9" t="s">
        <v>7</v>
      </c>
      <c r="T251" s="144">
        <v>0</v>
      </c>
      <c r="U251" s="144">
        <v>256750</v>
      </c>
    </row>
    <row r="252" spans="2:21" x14ac:dyDescent="0.3">
      <c r="B252" s="34"/>
      <c r="C252" s="185"/>
      <c r="D252" s="272"/>
      <c r="E252" s="272"/>
      <c r="G252" s="34"/>
      <c r="H252" s="185"/>
      <c r="I252" s="272"/>
      <c r="J252" s="272"/>
      <c r="L252" s="34"/>
      <c r="M252" s="185"/>
      <c r="N252" s="272"/>
      <c r="O252" s="272"/>
      <c r="Q252" s="34"/>
      <c r="R252" s="124" t="s">
        <v>2199</v>
      </c>
      <c r="S252" s="9" t="s">
        <v>2200</v>
      </c>
      <c r="T252" s="144">
        <v>0</v>
      </c>
      <c r="U252" s="144">
        <v>924838</v>
      </c>
    </row>
    <row r="253" spans="2:21" x14ac:dyDescent="0.3">
      <c r="B253" s="34"/>
      <c r="C253" s="185"/>
      <c r="D253" s="272"/>
      <c r="E253" s="272"/>
      <c r="G253" s="34"/>
      <c r="H253" s="185"/>
      <c r="I253" s="272"/>
      <c r="J253" s="272"/>
      <c r="L253" s="34"/>
      <c r="M253" s="185"/>
      <c r="N253" s="272"/>
      <c r="O253" s="272"/>
      <c r="Q253" s="34"/>
      <c r="R253" s="124" t="s">
        <v>2201</v>
      </c>
      <c r="S253" s="9" t="s">
        <v>2202</v>
      </c>
      <c r="T253" s="144">
        <v>0</v>
      </c>
      <c r="U253" s="144">
        <v>50801</v>
      </c>
    </row>
    <row r="254" spans="2:21" x14ac:dyDescent="0.3">
      <c r="B254" s="34"/>
      <c r="C254" s="185"/>
      <c r="D254" s="272"/>
      <c r="E254" s="272"/>
      <c r="G254" s="34"/>
      <c r="H254" s="185"/>
      <c r="I254" s="272"/>
      <c r="J254" s="272"/>
      <c r="L254" s="34"/>
      <c r="M254" s="185"/>
      <c r="N254" s="272"/>
      <c r="O254" s="272"/>
      <c r="Q254" s="34"/>
      <c r="R254" s="124" t="s">
        <v>2203</v>
      </c>
      <c r="S254" s="9" t="s">
        <v>2204</v>
      </c>
      <c r="T254" s="144">
        <v>0</v>
      </c>
      <c r="U254" s="144">
        <v>10579</v>
      </c>
    </row>
    <row r="255" spans="2:21" x14ac:dyDescent="0.3">
      <c r="B255" s="34"/>
      <c r="C255" s="185"/>
      <c r="D255" s="272"/>
      <c r="E255" s="272"/>
      <c r="G255" s="34"/>
      <c r="H255" s="185"/>
      <c r="I255" s="272"/>
      <c r="J255" s="272"/>
      <c r="L255" s="34"/>
      <c r="M255" s="185"/>
      <c r="N255" s="272"/>
      <c r="O255" s="272"/>
      <c r="Q255" s="34"/>
      <c r="R255" s="124" t="s">
        <v>2205</v>
      </c>
      <c r="S255" s="9" t="s">
        <v>2206</v>
      </c>
      <c r="T255" s="144">
        <v>0</v>
      </c>
      <c r="U255" s="144">
        <v>13824</v>
      </c>
    </row>
    <row r="256" spans="2:21" x14ac:dyDescent="0.3">
      <c r="B256" s="34"/>
      <c r="C256" s="185"/>
      <c r="D256" s="272"/>
      <c r="E256" s="272"/>
      <c r="G256" s="34"/>
      <c r="H256" s="185"/>
      <c r="I256" s="272"/>
      <c r="J256" s="272"/>
      <c r="L256" s="34"/>
      <c r="M256" s="185"/>
      <c r="N256" s="272"/>
      <c r="O256" s="272"/>
      <c r="Q256" s="34"/>
      <c r="R256" s="124" t="s">
        <v>2209</v>
      </c>
      <c r="S256" s="9" t="s">
        <v>2210</v>
      </c>
      <c r="T256" s="144">
        <v>0</v>
      </c>
      <c r="U256" s="144">
        <v>75268</v>
      </c>
    </row>
    <row r="257" spans="2:21" x14ac:dyDescent="0.3">
      <c r="B257" s="34"/>
      <c r="C257" s="185"/>
      <c r="D257" s="272"/>
      <c r="E257" s="272"/>
      <c r="G257" s="34"/>
      <c r="H257" s="185"/>
      <c r="I257" s="272"/>
      <c r="J257" s="272"/>
      <c r="L257" s="34"/>
      <c r="M257" s="185"/>
      <c r="N257" s="272"/>
      <c r="O257" s="272"/>
      <c r="Q257" s="34"/>
      <c r="R257" s="124" t="s">
        <v>2340</v>
      </c>
      <c r="S257" s="9" t="s">
        <v>2159</v>
      </c>
      <c r="T257" s="144">
        <v>0</v>
      </c>
      <c r="U257" s="144">
        <v>551178</v>
      </c>
    </row>
    <row r="258" spans="2:21" x14ac:dyDescent="0.3">
      <c r="B258" s="34"/>
      <c r="C258" s="185"/>
      <c r="D258" s="272"/>
      <c r="E258" s="272"/>
      <c r="G258" s="34"/>
      <c r="H258" s="185"/>
      <c r="I258" s="272"/>
      <c r="J258" s="272"/>
      <c r="L258" s="34"/>
      <c r="M258" s="185"/>
      <c r="N258" s="272"/>
      <c r="O258" s="272"/>
      <c r="Q258" s="34"/>
      <c r="R258" s="124" t="s">
        <v>2160</v>
      </c>
      <c r="S258" s="9" t="s">
        <v>2161</v>
      </c>
      <c r="T258" s="144">
        <v>0</v>
      </c>
      <c r="U258" s="144">
        <v>84573</v>
      </c>
    </row>
    <row r="259" spans="2:21" x14ac:dyDescent="0.3">
      <c r="B259" s="34"/>
      <c r="C259" s="185"/>
      <c r="D259" s="272"/>
      <c r="E259" s="272"/>
      <c r="G259" s="34"/>
      <c r="H259" s="185"/>
      <c r="I259" s="272"/>
      <c r="J259" s="272"/>
      <c r="L259" s="34"/>
      <c r="M259" s="185"/>
      <c r="N259" s="272"/>
      <c r="O259" s="272"/>
      <c r="Q259" s="34"/>
      <c r="R259" s="124" t="s">
        <v>2162</v>
      </c>
      <c r="S259" s="9" t="s">
        <v>2163</v>
      </c>
      <c r="T259" s="144">
        <v>0</v>
      </c>
      <c r="U259" s="144">
        <v>277</v>
      </c>
    </row>
    <row r="260" spans="2:21" x14ac:dyDescent="0.3">
      <c r="B260" s="34"/>
      <c r="C260" s="185"/>
      <c r="D260" s="272"/>
      <c r="E260" s="272"/>
      <c r="G260" s="34"/>
      <c r="H260" s="185"/>
      <c r="I260" s="272"/>
      <c r="J260" s="272"/>
      <c r="L260" s="34"/>
      <c r="M260" s="185"/>
      <c r="N260" s="272"/>
      <c r="O260" s="272"/>
      <c r="Q260" s="34"/>
      <c r="R260" s="124" t="s">
        <v>2165</v>
      </c>
      <c r="S260" s="9" t="s">
        <v>2166</v>
      </c>
      <c r="T260" s="144">
        <v>0</v>
      </c>
      <c r="U260" s="144">
        <v>139638</v>
      </c>
    </row>
    <row r="261" spans="2:21" x14ac:dyDescent="0.3">
      <c r="B261" s="34"/>
      <c r="C261" s="185"/>
      <c r="D261" s="272"/>
      <c r="E261" s="272"/>
      <c r="G261" s="34"/>
      <c r="H261" s="185"/>
      <c r="I261" s="272"/>
      <c r="J261" s="272"/>
      <c r="L261" s="34"/>
      <c r="M261" s="185"/>
      <c r="N261" s="272"/>
      <c r="O261" s="272"/>
      <c r="Q261" s="34"/>
      <c r="R261" s="124" t="s">
        <v>2168</v>
      </c>
      <c r="S261" s="9" t="s">
        <v>2169</v>
      </c>
      <c r="T261" s="144">
        <v>0</v>
      </c>
      <c r="U261" s="144">
        <v>13175</v>
      </c>
    </row>
    <row r="262" spans="2:21" x14ac:dyDescent="0.3">
      <c r="B262" s="34"/>
      <c r="C262" s="185"/>
      <c r="D262" s="272"/>
      <c r="E262" s="272"/>
      <c r="G262" s="34"/>
      <c r="H262" s="185"/>
      <c r="I262" s="272"/>
      <c r="J262" s="272"/>
      <c r="L262" s="34"/>
      <c r="M262" s="185"/>
      <c r="N262" s="272"/>
      <c r="O262" s="272"/>
      <c r="Q262" s="34"/>
      <c r="R262" s="124" t="s">
        <v>3313</v>
      </c>
      <c r="S262" s="9" t="s">
        <v>2211</v>
      </c>
      <c r="T262" s="144">
        <v>0</v>
      </c>
      <c r="U262" s="144">
        <v>16569</v>
      </c>
    </row>
    <row r="263" spans="2:21" x14ac:dyDescent="0.3">
      <c r="B263" s="34"/>
      <c r="C263" s="185"/>
      <c r="D263" s="272"/>
      <c r="E263" s="272"/>
      <c r="G263" s="34"/>
      <c r="H263" s="185"/>
      <c r="I263" s="272"/>
      <c r="J263" s="272"/>
      <c r="L263" s="34"/>
      <c r="M263" s="185"/>
      <c r="N263" s="272"/>
      <c r="O263" s="272"/>
      <c r="Q263" s="34"/>
      <c r="R263" s="124" t="s">
        <v>2212</v>
      </c>
      <c r="S263" s="9" t="s">
        <v>2213</v>
      </c>
      <c r="T263" s="144">
        <v>0</v>
      </c>
      <c r="U263" s="144">
        <v>14905</v>
      </c>
    </row>
    <row r="264" spans="2:21" x14ac:dyDescent="0.3">
      <c r="B264" s="34"/>
      <c r="C264" s="185"/>
      <c r="D264" s="272"/>
      <c r="E264" s="272"/>
      <c r="G264" s="34"/>
      <c r="H264" s="185"/>
      <c r="I264" s="272"/>
      <c r="J264" s="272"/>
      <c r="L264" s="34"/>
      <c r="M264" s="185"/>
      <c r="N264" s="272"/>
      <c r="O264" s="272"/>
      <c r="Q264" s="34"/>
      <c r="R264" s="124" t="s">
        <v>2216</v>
      </c>
      <c r="S264" s="9" t="s">
        <v>2217</v>
      </c>
      <c r="T264" s="144">
        <v>0</v>
      </c>
      <c r="U264" s="144">
        <v>9425</v>
      </c>
    </row>
    <row r="265" spans="2:21" x14ac:dyDescent="0.3">
      <c r="B265" s="34"/>
      <c r="C265" s="185"/>
      <c r="D265" s="272"/>
      <c r="E265" s="272"/>
      <c r="G265" s="34"/>
      <c r="H265" s="185"/>
      <c r="I265" s="272"/>
      <c r="J265" s="272"/>
      <c r="L265" s="34"/>
      <c r="M265" s="185"/>
      <c r="N265" s="272"/>
      <c r="O265" s="272"/>
      <c r="Q265" s="34"/>
      <c r="R265" s="124" t="s">
        <v>1895</v>
      </c>
      <c r="S265" s="9" t="s">
        <v>2174</v>
      </c>
      <c r="T265" s="144">
        <v>0</v>
      </c>
      <c r="U265" s="144">
        <v>437925</v>
      </c>
    </row>
    <row r="266" spans="2:21" x14ac:dyDescent="0.3">
      <c r="B266" s="34"/>
      <c r="C266" s="185"/>
      <c r="D266" s="272"/>
      <c r="E266" s="272"/>
      <c r="G266" s="34"/>
      <c r="H266" s="185"/>
      <c r="I266" s="272"/>
      <c r="J266" s="272"/>
      <c r="L266" s="34"/>
      <c r="M266" s="185"/>
      <c r="N266" s="272"/>
      <c r="O266" s="272"/>
      <c r="Q266" s="34"/>
      <c r="R266" s="124" t="s">
        <v>2177</v>
      </c>
      <c r="S266" s="9" t="s">
        <v>2341</v>
      </c>
      <c r="T266" s="144">
        <v>0</v>
      </c>
      <c r="U266" s="144">
        <v>295000</v>
      </c>
    </row>
    <row r="267" spans="2:21" x14ac:dyDescent="0.3">
      <c r="B267" s="34"/>
      <c r="C267" s="185"/>
      <c r="D267" s="272"/>
      <c r="E267" s="272"/>
      <c r="G267" s="34"/>
      <c r="H267" s="185"/>
      <c r="I267" s="272"/>
      <c r="J267" s="272"/>
      <c r="L267" s="34"/>
      <c r="M267" s="185"/>
      <c r="N267" s="272"/>
      <c r="O267" s="272"/>
      <c r="Q267" s="34"/>
      <c r="R267" s="124" t="s">
        <v>2183</v>
      </c>
      <c r="S267" s="9" t="s">
        <v>2182</v>
      </c>
      <c r="T267" s="144">
        <v>0</v>
      </c>
      <c r="U267" s="144">
        <v>310731</v>
      </c>
    </row>
    <row r="268" spans="2:21" x14ac:dyDescent="0.3">
      <c r="B268" s="34"/>
      <c r="C268" s="185"/>
      <c r="D268" s="272"/>
      <c r="E268" s="272"/>
      <c r="G268" s="34"/>
      <c r="H268" s="185"/>
      <c r="I268" s="272"/>
      <c r="J268" s="272"/>
      <c r="L268" s="34"/>
      <c r="M268" s="185"/>
      <c r="N268" s="272"/>
      <c r="O268" s="272"/>
      <c r="Q268" s="34"/>
      <c r="R268" s="124" t="s">
        <v>2185</v>
      </c>
      <c r="S268" s="9" t="s">
        <v>2184</v>
      </c>
      <c r="T268" s="144">
        <v>0</v>
      </c>
      <c r="U268" s="144">
        <v>13915</v>
      </c>
    </row>
    <row r="269" spans="2:21" x14ac:dyDescent="0.3">
      <c r="B269" s="34"/>
      <c r="C269" s="185"/>
      <c r="D269" s="272"/>
      <c r="E269" s="272"/>
      <c r="G269" s="34"/>
      <c r="H269" s="185"/>
      <c r="I269" s="272"/>
      <c r="J269" s="272"/>
      <c r="L269" s="34"/>
      <c r="M269" s="185"/>
      <c r="N269" s="272"/>
      <c r="O269" s="272"/>
      <c r="Q269" s="34"/>
      <c r="R269" s="124" t="s">
        <v>2187</v>
      </c>
      <c r="S269" s="9" t="s">
        <v>2186</v>
      </c>
      <c r="T269" s="144">
        <v>0</v>
      </c>
      <c r="U269" s="144">
        <v>20000</v>
      </c>
    </row>
    <row r="270" spans="2:21" x14ac:dyDescent="0.3">
      <c r="B270" s="34"/>
      <c r="C270" s="185"/>
      <c r="D270" s="272"/>
      <c r="E270" s="272"/>
      <c r="G270" s="34"/>
      <c r="H270" s="185"/>
      <c r="I270" s="272"/>
      <c r="J270" s="272"/>
      <c r="L270" s="34"/>
      <c r="M270" s="185"/>
      <c r="N270" s="272"/>
      <c r="O270" s="272"/>
      <c r="Q270" s="34"/>
      <c r="R270" s="124" t="s">
        <v>2342</v>
      </c>
      <c r="S270" s="9" t="s">
        <v>2188</v>
      </c>
      <c r="T270" s="144">
        <v>0</v>
      </c>
      <c r="U270" s="144">
        <v>10000</v>
      </c>
    </row>
    <row r="271" spans="2:21" x14ac:dyDescent="0.3">
      <c r="B271" s="34"/>
      <c r="C271" s="185"/>
      <c r="D271" s="272"/>
      <c r="E271" s="272"/>
      <c r="G271" s="34"/>
      <c r="H271" s="185"/>
      <c r="I271" s="272"/>
      <c r="J271" s="272"/>
      <c r="L271" s="34"/>
      <c r="M271" s="185"/>
      <c r="N271" s="272"/>
      <c r="O271" s="272"/>
      <c r="Q271" s="34"/>
      <c r="R271" s="124" t="s">
        <v>2192</v>
      </c>
      <c r="S271" s="9" t="s">
        <v>2191</v>
      </c>
      <c r="T271" s="144">
        <v>0</v>
      </c>
      <c r="U271" s="144">
        <v>10000</v>
      </c>
    </row>
    <row r="272" spans="2:21" x14ac:dyDescent="0.3">
      <c r="B272" s="34"/>
      <c r="C272" s="185"/>
      <c r="D272" s="272"/>
      <c r="E272" s="272"/>
      <c r="G272" s="34"/>
      <c r="H272" s="185"/>
      <c r="I272" s="272"/>
      <c r="J272" s="272"/>
      <c r="L272" s="34"/>
      <c r="M272" s="185"/>
      <c r="N272" s="272"/>
      <c r="O272" s="272"/>
      <c r="Q272" s="34"/>
      <c r="R272" s="124" t="s">
        <v>1896</v>
      </c>
      <c r="S272" s="9" t="s">
        <v>2193</v>
      </c>
      <c r="T272" s="144">
        <v>0</v>
      </c>
      <c r="U272" s="144">
        <v>20000</v>
      </c>
    </row>
    <row r="273" spans="2:21" x14ac:dyDescent="0.3">
      <c r="B273" s="34"/>
      <c r="C273" s="185"/>
      <c r="D273" s="272"/>
      <c r="E273" s="272"/>
      <c r="G273" s="34"/>
      <c r="H273" s="185"/>
      <c r="I273" s="272"/>
      <c r="J273" s="272"/>
      <c r="L273" s="34"/>
      <c r="M273" s="185"/>
      <c r="N273" s="272"/>
      <c r="O273" s="272"/>
      <c r="Q273" s="34"/>
      <c r="R273" s="124" t="s">
        <v>2343</v>
      </c>
      <c r="S273" s="9" t="s">
        <v>2194</v>
      </c>
      <c r="T273" s="144">
        <v>0</v>
      </c>
      <c r="U273" s="144">
        <v>18350</v>
      </c>
    </row>
    <row r="274" spans="2:21" x14ac:dyDescent="0.3">
      <c r="B274" s="34"/>
      <c r="C274" s="185"/>
      <c r="D274" s="272"/>
      <c r="E274" s="272"/>
      <c r="G274" s="34"/>
      <c r="H274" s="185"/>
      <c r="I274" s="272"/>
      <c r="J274" s="272"/>
      <c r="L274" s="34"/>
      <c r="M274" s="185"/>
      <c r="N274" s="272"/>
      <c r="O274" s="272"/>
      <c r="Q274" s="34"/>
      <c r="R274" s="124" t="s">
        <v>3291</v>
      </c>
      <c r="S274" s="9" t="s">
        <v>2171</v>
      </c>
      <c r="T274" s="144">
        <v>0</v>
      </c>
      <c r="U274" s="144">
        <v>400552</v>
      </c>
    </row>
    <row r="275" spans="2:21" x14ac:dyDescent="0.3">
      <c r="B275" s="34"/>
      <c r="C275" s="185"/>
      <c r="D275" s="272"/>
      <c r="E275" s="272"/>
      <c r="G275" s="34"/>
      <c r="H275" s="185"/>
      <c r="I275" s="272"/>
      <c r="J275" s="272"/>
      <c r="L275" s="34"/>
      <c r="M275" s="185"/>
      <c r="N275" s="272"/>
      <c r="O275" s="272"/>
      <c r="Q275" s="175">
        <v>12070008</v>
      </c>
      <c r="R275" s="176"/>
      <c r="S275" s="177" t="s">
        <v>1175</v>
      </c>
      <c r="T275" s="183">
        <v>0</v>
      </c>
      <c r="U275" s="183">
        <f>SUM(U276:U308)-SUM(T276:T308)</f>
        <v>15303292</v>
      </c>
    </row>
    <row r="276" spans="2:21" x14ac:dyDescent="0.3">
      <c r="B276" s="34"/>
      <c r="C276" s="185"/>
      <c r="D276" s="272"/>
      <c r="E276" s="272"/>
      <c r="G276" s="34"/>
      <c r="H276" s="185"/>
      <c r="I276" s="272"/>
      <c r="J276" s="272"/>
      <c r="L276" s="34"/>
      <c r="M276" s="185"/>
      <c r="N276" s="272"/>
      <c r="O276" s="272"/>
      <c r="Q276" s="34"/>
      <c r="R276" s="124">
        <v>120003</v>
      </c>
      <c r="S276" s="9" t="s">
        <v>56</v>
      </c>
      <c r="T276" s="144">
        <v>0</v>
      </c>
      <c r="U276" s="144">
        <v>90000</v>
      </c>
    </row>
    <row r="277" spans="2:21" x14ac:dyDescent="0.3">
      <c r="B277" s="34"/>
      <c r="C277" s="185"/>
      <c r="D277" s="272"/>
      <c r="E277" s="272"/>
      <c r="G277" s="34"/>
      <c r="H277" s="185"/>
      <c r="I277" s="272"/>
      <c r="J277" s="272"/>
      <c r="L277" s="34"/>
      <c r="M277" s="185"/>
      <c r="N277" s="272"/>
      <c r="O277" s="272"/>
      <c r="Q277" s="34"/>
      <c r="R277" s="124">
        <v>120028</v>
      </c>
      <c r="S277" s="9" t="s">
        <v>85</v>
      </c>
      <c r="T277" s="144">
        <v>0</v>
      </c>
      <c r="U277" s="144">
        <v>75000</v>
      </c>
    </row>
    <row r="278" spans="2:21" x14ac:dyDescent="0.3">
      <c r="B278" s="34"/>
      <c r="C278" s="185"/>
      <c r="D278" s="272"/>
      <c r="E278" s="272"/>
      <c r="G278" s="34"/>
      <c r="H278" s="185"/>
      <c r="I278" s="272"/>
      <c r="J278" s="272"/>
      <c r="L278" s="34"/>
      <c r="M278" s="185"/>
      <c r="N278" s="272"/>
      <c r="O278" s="272"/>
      <c r="Q278" s="34"/>
      <c r="R278" s="124">
        <v>310020</v>
      </c>
      <c r="S278" s="9" t="s">
        <v>107</v>
      </c>
      <c r="T278" s="144">
        <v>729904</v>
      </c>
      <c r="U278" s="144">
        <v>0</v>
      </c>
    </row>
    <row r="279" spans="2:21" x14ac:dyDescent="0.3">
      <c r="B279" s="34"/>
      <c r="C279" s="185"/>
      <c r="D279" s="272"/>
      <c r="E279" s="272"/>
      <c r="G279" s="34"/>
      <c r="H279" s="185"/>
      <c r="I279" s="272"/>
      <c r="J279" s="272"/>
      <c r="L279" s="34"/>
      <c r="M279" s="185"/>
      <c r="N279" s="272"/>
      <c r="O279" s="272"/>
      <c r="Q279" s="34"/>
      <c r="R279" s="124">
        <v>310027</v>
      </c>
      <c r="S279" s="9" t="s">
        <v>843</v>
      </c>
      <c r="T279" s="144">
        <v>0</v>
      </c>
      <c r="U279" s="144">
        <v>9193574</v>
      </c>
    </row>
    <row r="280" spans="2:21" x14ac:dyDescent="0.3">
      <c r="B280" s="34"/>
      <c r="C280" s="185"/>
      <c r="D280" s="272"/>
      <c r="E280" s="272"/>
      <c r="G280" s="34"/>
      <c r="H280" s="185"/>
      <c r="I280" s="272"/>
      <c r="J280" s="272"/>
      <c r="L280" s="34"/>
      <c r="M280" s="185"/>
      <c r="N280" s="272"/>
      <c r="O280" s="272"/>
      <c r="Q280" s="34"/>
      <c r="R280" s="124">
        <v>310030</v>
      </c>
      <c r="S280" s="9" t="s">
        <v>846</v>
      </c>
      <c r="T280" s="144">
        <v>0</v>
      </c>
      <c r="U280" s="144">
        <v>2623920</v>
      </c>
    </row>
    <row r="281" spans="2:21" x14ac:dyDescent="0.3">
      <c r="B281" s="34"/>
      <c r="C281" s="185"/>
      <c r="D281" s="272"/>
      <c r="E281" s="272"/>
      <c r="G281" s="34"/>
      <c r="H281" s="185"/>
      <c r="I281" s="272"/>
      <c r="J281" s="272"/>
      <c r="L281" s="34"/>
      <c r="M281" s="185"/>
      <c r="N281" s="272"/>
      <c r="O281" s="272"/>
      <c r="Q281" s="34"/>
      <c r="R281" s="124">
        <v>310031</v>
      </c>
      <c r="S281" s="9" t="s">
        <v>847</v>
      </c>
      <c r="T281" s="144">
        <v>0</v>
      </c>
      <c r="U281" s="144">
        <v>128712</v>
      </c>
    </row>
    <row r="282" spans="2:21" x14ac:dyDescent="0.3">
      <c r="B282" s="34"/>
      <c r="C282" s="185"/>
      <c r="D282" s="272"/>
      <c r="E282" s="272"/>
      <c r="G282" s="34"/>
      <c r="H282" s="185"/>
      <c r="I282" s="272"/>
      <c r="J282" s="272"/>
      <c r="L282" s="34"/>
      <c r="M282" s="185"/>
      <c r="N282" s="272"/>
      <c r="O282" s="272"/>
      <c r="Q282" s="34"/>
      <c r="R282" s="124">
        <v>310033</v>
      </c>
      <c r="S282" s="9" t="s">
        <v>849</v>
      </c>
      <c r="T282" s="144">
        <v>0</v>
      </c>
      <c r="U282" s="144">
        <v>307994</v>
      </c>
    </row>
    <row r="283" spans="2:21" x14ac:dyDescent="0.3">
      <c r="B283" s="34"/>
      <c r="C283" s="185"/>
      <c r="D283" s="272"/>
      <c r="E283" s="272"/>
      <c r="G283" s="34"/>
      <c r="H283" s="185"/>
      <c r="I283" s="272"/>
      <c r="J283" s="272"/>
      <c r="L283" s="34"/>
      <c r="M283" s="185"/>
      <c r="N283" s="272"/>
      <c r="O283" s="272"/>
      <c r="Q283" s="34"/>
      <c r="R283" s="124">
        <v>310046</v>
      </c>
      <c r="S283" s="9" t="s">
        <v>2225</v>
      </c>
      <c r="T283" s="144">
        <v>0</v>
      </c>
      <c r="U283" s="144">
        <v>210000</v>
      </c>
    </row>
    <row r="284" spans="2:21" x14ac:dyDescent="0.3">
      <c r="B284" s="34"/>
      <c r="C284" s="185"/>
      <c r="D284" s="272"/>
      <c r="E284" s="272"/>
      <c r="G284" s="34"/>
      <c r="H284" s="185"/>
      <c r="I284" s="272"/>
      <c r="J284" s="272"/>
      <c r="L284" s="34"/>
      <c r="M284" s="185"/>
      <c r="N284" s="272"/>
      <c r="O284" s="272"/>
      <c r="Q284" s="34"/>
      <c r="R284" s="124">
        <v>310048</v>
      </c>
      <c r="S284" s="9" t="s">
        <v>3266</v>
      </c>
      <c r="T284" s="144">
        <v>0</v>
      </c>
      <c r="U284" s="144">
        <v>308700</v>
      </c>
    </row>
    <row r="285" spans="2:21" x14ac:dyDescent="0.3">
      <c r="B285" s="34"/>
      <c r="C285" s="185"/>
      <c r="D285" s="272"/>
      <c r="E285" s="272"/>
      <c r="G285" s="34"/>
      <c r="H285" s="185"/>
      <c r="I285" s="272"/>
      <c r="J285" s="272"/>
      <c r="L285" s="34"/>
      <c r="M285" s="185"/>
      <c r="N285" s="272"/>
      <c r="O285" s="272"/>
      <c r="Q285" s="34"/>
      <c r="R285" s="124">
        <v>310049</v>
      </c>
      <c r="S285" s="9" t="s">
        <v>3267</v>
      </c>
      <c r="T285" s="144">
        <v>0</v>
      </c>
      <c r="U285" s="144">
        <v>460402</v>
      </c>
    </row>
    <row r="286" spans="2:21" x14ac:dyDescent="0.3">
      <c r="B286" s="34"/>
      <c r="C286" s="185"/>
      <c r="D286" s="272"/>
      <c r="E286" s="272"/>
      <c r="G286" s="34"/>
      <c r="H286" s="185"/>
      <c r="I286" s="272"/>
      <c r="J286" s="272"/>
      <c r="L286" s="34"/>
      <c r="M286" s="185"/>
      <c r="N286" s="272"/>
      <c r="O286" s="272"/>
      <c r="Q286" s="34"/>
      <c r="R286" s="124">
        <v>310050</v>
      </c>
      <c r="S286" s="9" t="s">
        <v>3268</v>
      </c>
      <c r="T286" s="144">
        <v>0</v>
      </c>
      <c r="U286" s="144">
        <v>36999</v>
      </c>
    </row>
    <row r="287" spans="2:21" x14ac:dyDescent="0.3">
      <c r="B287" s="34"/>
      <c r="C287" s="185"/>
      <c r="D287" s="272"/>
      <c r="E287" s="272"/>
      <c r="G287" s="34"/>
      <c r="H287" s="185"/>
      <c r="I287" s="272"/>
      <c r="J287" s="272"/>
      <c r="L287" s="34"/>
      <c r="M287" s="185"/>
      <c r="N287" s="272"/>
      <c r="O287" s="272"/>
      <c r="Q287" s="34"/>
      <c r="R287" s="124">
        <v>310051</v>
      </c>
      <c r="S287" s="9" t="s">
        <v>3269</v>
      </c>
      <c r="T287" s="144">
        <v>0</v>
      </c>
      <c r="U287" s="144">
        <v>5200</v>
      </c>
    </row>
    <row r="288" spans="2:21" x14ac:dyDescent="0.3">
      <c r="B288" s="34"/>
      <c r="C288" s="185"/>
      <c r="D288" s="272"/>
      <c r="E288" s="272"/>
      <c r="G288" s="34"/>
      <c r="H288" s="185"/>
      <c r="I288" s="272"/>
      <c r="J288" s="272"/>
      <c r="L288" s="34"/>
      <c r="M288" s="185"/>
      <c r="N288" s="272"/>
      <c r="O288" s="272"/>
      <c r="Q288" s="34"/>
      <c r="R288" s="124">
        <v>310052</v>
      </c>
      <c r="S288" s="9" t="s">
        <v>3270</v>
      </c>
      <c r="T288" s="144">
        <v>0</v>
      </c>
      <c r="U288" s="144">
        <v>15000</v>
      </c>
    </row>
    <row r="289" spans="2:21" x14ac:dyDescent="0.3">
      <c r="B289" s="34"/>
      <c r="C289" s="185"/>
      <c r="D289" s="272"/>
      <c r="E289" s="272"/>
      <c r="G289" s="34"/>
      <c r="H289" s="185"/>
      <c r="I289" s="272"/>
      <c r="J289" s="272"/>
      <c r="L289" s="34"/>
      <c r="M289" s="185"/>
      <c r="N289" s="272"/>
      <c r="O289" s="272"/>
      <c r="Q289" s="34"/>
      <c r="R289" s="124">
        <v>310053</v>
      </c>
      <c r="S289" s="9" t="s">
        <v>3271</v>
      </c>
      <c r="T289" s="144">
        <v>0</v>
      </c>
      <c r="U289" s="144">
        <v>27500</v>
      </c>
    </row>
    <row r="290" spans="2:21" x14ac:dyDescent="0.3">
      <c r="B290" s="34"/>
      <c r="C290" s="185"/>
      <c r="D290" s="272"/>
      <c r="E290" s="272"/>
      <c r="G290" s="34"/>
      <c r="H290" s="185"/>
      <c r="I290" s="272"/>
      <c r="J290" s="272"/>
      <c r="L290" s="34"/>
      <c r="M290" s="185"/>
      <c r="N290" s="272"/>
      <c r="O290" s="272"/>
      <c r="Q290" s="34"/>
      <c r="R290" s="124">
        <v>310054</v>
      </c>
      <c r="S290" s="9" t="s">
        <v>3272</v>
      </c>
      <c r="T290" s="144">
        <v>0</v>
      </c>
      <c r="U290" s="144">
        <v>95000</v>
      </c>
    </row>
    <row r="291" spans="2:21" x14ac:dyDescent="0.3">
      <c r="B291" s="34"/>
      <c r="C291" s="185"/>
      <c r="D291" s="272"/>
      <c r="E291" s="272"/>
      <c r="G291" s="34"/>
      <c r="H291" s="185"/>
      <c r="I291" s="272"/>
      <c r="J291" s="272"/>
      <c r="L291" s="34"/>
      <c r="M291" s="185"/>
      <c r="N291" s="272"/>
      <c r="O291" s="272"/>
      <c r="Q291" s="34"/>
      <c r="R291" s="124">
        <v>310055</v>
      </c>
      <c r="S291" s="9" t="s">
        <v>3273</v>
      </c>
      <c r="T291" s="144">
        <v>0</v>
      </c>
      <c r="U291" s="144">
        <v>92198</v>
      </c>
    </row>
    <row r="292" spans="2:21" x14ac:dyDescent="0.3">
      <c r="B292" s="34"/>
      <c r="C292" s="185"/>
      <c r="D292" s="272"/>
      <c r="E292" s="272"/>
      <c r="G292" s="34"/>
      <c r="H292" s="185"/>
      <c r="I292" s="272"/>
      <c r="J292" s="272"/>
      <c r="L292" s="34"/>
      <c r="M292" s="185"/>
      <c r="N292" s="272"/>
      <c r="O292" s="272"/>
      <c r="Q292" s="34"/>
      <c r="R292" s="124">
        <v>310056</v>
      </c>
      <c r="S292" s="9" t="s">
        <v>3274</v>
      </c>
      <c r="T292" s="144">
        <v>20000</v>
      </c>
      <c r="U292" s="144">
        <v>0</v>
      </c>
    </row>
    <row r="293" spans="2:21" x14ac:dyDescent="0.3">
      <c r="B293" s="34"/>
      <c r="C293" s="185"/>
      <c r="D293" s="272"/>
      <c r="E293" s="272"/>
      <c r="G293" s="34"/>
      <c r="H293" s="185"/>
      <c r="I293" s="272"/>
      <c r="J293" s="272"/>
      <c r="L293" s="34"/>
      <c r="M293" s="185"/>
      <c r="N293" s="272"/>
      <c r="O293" s="272"/>
      <c r="Q293" s="34"/>
      <c r="R293" s="124">
        <v>310057</v>
      </c>
      <c r="S293" s="9" t="s">
        <v>3275</v>
      </c>
      <c r="T293" s="144">
        <v>0</v>
      </c>
      <c r="U293" s="144">
        <v>30000</v>
      </c>
    </row>
    <row r="294" spans="2:21" x14ac:dyDescent="0.3">
      <c r="B294" s="34"/>
      <c r="C294" s="185"/>
      <c r="D294" s="272"/>
      <c r="E294" s="272"/>
      <c r="G294" s="34"/>
      <c r="H294" s="185"/>
      <c r="I294" s="272"/>
      <c r="J294" s="272"/>
      <c r="L294" s="34"/>
      <c r="M294" s="185"/>
      <c r="N294" s="272"/>
      <c r="O294" s="272"/>
      <c r="Q294" s="34"/>
      <c r="R294" s="124">
        <v>310058</v>
      </c>
      <c r="S294" s="9" t="s">
        <v>3276</v>
      </c>
      <c r="T294" s="144">
        <v>0</v>
      </c>
      <c r="U294" s="144">
        <v>2000</v>
      </c>
    </row>
    <row r="295" spans="2:21" x14ac:dyDescent="0.3">
      <c r="B295" s="34"/>
      <c r="C295" s="185"/>
      <c r="D295" s="272"/>
      <c r="E295" s="272"/>
      <c r="G295" s="34"/>
      <c r="H295" s="185"/>
      <c r="I295" s="272"/>
      <c r="J295" s="272"/>
      <c r="L295" s="34"/>
      <c r="M295" s="185"/>
      <c r="N295" s="272"/>
      <c r="O295" s="272"/>
      <c r="Q295" s="34"/>
      <c r="R295" s="124">
        <v>310059</v>
      </c>
      <c r="S295" s="9" t="s">
        <v>3277</v>
      </c>
      <c r="T295" s="144">
        <v>0</v>
      </c>
      <c r="U295" s="144">
        <v>10000</v>
      </c>
    </row>
    <row r="296" spans="2:21" x14ac:dyDescent="0.3">
      <c r="B296" s="34"/>
      <c r="C296" s="185"/>
      <c r="D296" s="272"/>
      <c r="E296" s="272"/>
      <c r="G296" s="34"/>
      <c r="H296" s="185"/>
      <c r="I296" s="272"/>
      <c r="J296" s="272"/>
      <c r="L296" s="34"/>
      <c r="M296" s="185"/>
      <c r="N296" s="272"/>
      <c r="O296" s="272"/>
      <c r="Q296" s="34"/>
      <c r="R296" s="124">
        <v>310060</v>
      </c>
      <c r="S296" s="9" t="s">
        <v>3278</v>
      </c>
      <c r="T296" s="144">
        <v>0</v>
      </c>
      <c r="U296" s="144">
        <v>391250</v>
      </c>
    </row>
    <row r="297" spans="2:21" x14ac:dyDescent="0.3">
      <c r="B297" s="34"/>
      <c r="C297" s="185"/>
      <c r="D297" s="272"/>
      <c r="E297" s="272"/>
      <c r="G297" s="34"/>
      <c r="H297" s="185"/>
      <c r="I297" s="272"/>
      <c r="J297" s="272"/>
      <c r="L297" s="34"/>
      <c r="M297" s="185"/>
      <c r="N297" s="272"/>
      <c r="O297" s="272"/>
      <c r="Q297" s="34"/>
      <c r="R297" s="124">
        <v>310061</v>
      </c>
      <c r="S297" s="9" t="s">
        <v>3279</v>
      </c>
      <c r="T297" s="144">
        <v>0</v>
      </c>
      <c r="U297" s="144">
        <v>878748</v>
      </c>
    </row>
    <row r="298" spans="2:21" x14ac:dyDescent="0.3">
      <c r="B298" s="34"/>
      <c r="C298" s="185"/>
      <c r="D298" s="272"/>
      <c r="E298" s="272"/>
      <c r="G298" s="34"/>
      <c r="H298" s="185"/>
      <c r="I298" s="272"/>
      <c r="J298" s="272"/>
      <c r="L298" s="34"/>
      <c r="M298" s="185"/>
      <c r="N298" s="272"/>
      <c r="O298" s="272"/>
      <c r="Q298" s="34"/>
      <c r="R298" s="124">
        <v>310062</v>
      </c>
      <c r="S298" s="9" t="s">
        <v>3280</v>
      </c>
      <c r="T298" s="144">
        <v>0</v>
      </c>
      <c r="U298" s="144">
        <v>26000</v>
      </c>
    </row>
    <row r="299" spans="2:21" x14ac:dyDescent="0.3">
      <c r="B299" s="34"/>
      <c r="C299" s="185"/>
      <c r="D299" s="272"/>
      <c r="E299" s="272"/>
      <c r="G299" s="34"/>
      <c r="H299" s="185"/>
      <c r="I299" s="272"/>
      <c r="J299" s="272"/>
      <c r="L299" s="34"/>
      <c r="M299" s="185"/>
      <c r="N299" s="272"/>
      <c r="O299" s="272"/>
      <c r="Q299" s="34"/>
      <c r="R299" s="124">
        <v>310063</v>
      </c>
      <c r="S299" s="9" t="s">
        <v>3281</v>
      </c>
      <c r="T299" s="144">
        <v>0</v>
      </c>
      <c r="U299" s="144">
        <v>15000</v>
      </c>
    </row>
    <row r="300" spans="2:21" x14ac:dyDescent="0.3">
      <c r="B300" s="34"/>
      <c r="C300" s="185"/>
      <c r="D300" s="272"/>
      <c r="E300" s="272"/>
      <c r="G300" s="34"/>
      <c r="H300" s="185"/>
      <c r="I300" s="272"/>
      <c r="J300" s="272"/>
      <c r="L300" s="34"/>
      <c r="M300" s="185"/>
      <c r="N300" s="272"/>
      <c r="O300" s="272"/>
      <c r="Q300" s="34"/>
      <c r="R300" s="124">
        <v>310064</v>
      </c>
      <c r="S300" s="9" t="s">
        <v>3282</v>
      </c>
      <c r="T300" s="144">
        <v>0</v>
      </c>
      <c r="U300" s="144">
        <v>65000</v>
      </c>
    </row>
    <row r="301" spans="2:21" x14ac:dyDescent="0.3">
      <c r="B301" s="34"/>
      <c r="C301" s="185"/>
      <c r="D301" s="272"/>
      <c r="E301" s="272"/>
      <c r="G301" s="34"/>
      <c r="H301" s="185"/>
      <c r="I301" s="272"/>
      <c r="J301" s="272"/>
      <c r="L301" s="34"/>
      <c r="M301" s="185"/>
      <c r="N301" s="272"/>
      <c r="O301" s="272"/>
      <c r="Q301" s="34"/>
      <c r="R301" s="124">
        <v>310065</v>
      </c>
      <c r="S301" s="9" t="s">
        <v>3283</v>
      </c>
      <c r="T301" s="144">
        <v>0</v>
      </c>
      <c r="U301" s="144">
        <v>460000</v>
      </c>
    </row>
    <row r="302" spans="2:21" x14ac:dyDescent="0.3">
      <c r="B302" s="34"/>
      <c r="C302" s="185"/>
      <c r="D302" s="272"/>
      <c r="E302" s="272"/>
      <c r="G302" s="34"/>
      <c r="H302" s="185"/>
      <c r="I302" s="272"/>
      <c r="J302" s="272"/>
      <c r="L302" s="34"/>
      <c r="M302" s="185"/>
      <c r="N302" s="272"/>
      <c r="O302" s="272"/>
      <c r="Q302" s="34"/>
      <c r="R302" s="124">
        <v>310066</v>
      </c>
      <c r="S302" s="9" t="s">
        <v>3284</v>
      </c>
      <c r="T302" s="144">
        <v>0</v>
      </c>
      <c r="U302" s="144">
        <v>90000</v>
      </c>
    </row>
    <row r="303" spans="2:21" x14ac:dyDescent="0.3">
      <c r="B303" s="34"/>
      <c r="C303" s="185"/>
      <c r="D303" s="272"/>
      <c r="E303" s="272"/>
      <c r="G303" s="34"/>
      <c r="H303" s="185"/>
      <c r="I303" s="272"/>
      <c r="J303" s="272"/>
      <c r="L303" s="34"/>
      <c r="M303" s="185"/>
      <c r="N303" s="272"/>
      <c r="O303" s="272"/>
      <c r="Q303" s="34"/>
      <c r="R303" s="124">
        <v>310067</v>
      </c>
      <c r="S303" s="9" t="s">
        <v>3285</v>
      </c>
      <c r="T303" s="144">
        <v>0</v>
      </c>
      <c r="U303" s="144">
        <v>165000</v>
      </c>
    </row>
    <row r="304" spans="2:21" x14ac:dyDescent="0.3">
      <c r="B304" s="34"/>
      <c r="C304" s="185"/>
      <c r="D304" s="272"/>
      <c r="E304" s="272"/>
      <c r="G304" s="34"/>
      <c r="H304" s="185"/>
      <c r="I304" s="272"/>
      <c r="J304" s="272"/>
      <c r="L304" s="34"/>
      <c r="M304" s="185"/>
      <c r="N304" s="272"/>
      <c r="O304" s="272"/>
      <c r="Q304" s="34"/>
      <c r="R304" s="124">
        <v>310068</v>
      </c>
      <c r="S304" s="9" t="s">
        <v>3286</v>
      </c>
      <c r="T304" s="144">
        <v>0</v>
      </c>
      <c r="U304" s="144">
        <v>10000</v>
      </c>
    </row>
    <row r="305" spans="2:21" x14ac:dyDescent="0.3">
      <c r="B305" s="34"/>
      <c r="C305" s="185"/>
      <c r="D305" s="272"/>
      <c r="E305" s="272"/>
      <c r="G305" s="34"/>
      <c r="H305" s="185"/>
      <c r="I305" s="272"/>
      <c r="J305" s="272"/>
      <c r="L305" s="34"/>
      <c r="M305" s="185"/>
      <c r="N305" s="272"/>
      <c r="O305" s="272"/>
      <c r="Q305" s="34"/>
      <c r="R305" s="124">
        <v>310069</v>
      </c>
      <c r="S305" s="9" t="s">
        <v>3287</v>
      </c>
      <c r="T305" s="144">
        <v>0</v>
      </c>
      <c r="U305" s="144">
        <v>24999</v>
      </c>
    </row>
    <row r="306" spans="2:21" x14ac:dyDescent="0.3">
      <c r="B306" s="34"/>
      <c r="C306" s="185"/>
      <c r="D306" s="272"/>
      <c r="E306" s="272"/>
      <c r="G306" s="34"/>
      <c r="H306" s="185"/>
      <c r="I306" s="272"/>
      <c r="J306" s="272"/>
      <c r="L306" s="34"/>
      <c r="M306" s="185"/>
      <c r="N306" s="272"/>
      <c r="O306" s="272"/>
      <c r="Q306" s="34"/>
      <c r="R306" s="124">
        <v>310070</v>
      </c>
      <c r="S306" s="9" t="s">
        <v>3288</v>
      </c>
      <c r="T306" s="144">
        <v>0</v>
      </c>
      <c r="U306" s="144">
        <v>155000</v>
      </c>
    </row>
    <row r="307" spans="2:21" x14ac:dyDescent="0.3">
      <c r="B307" s="34"/>
      <c r="C307" s="185"/>
      <c r="D307" s="272"/>
      <c r="E307" s="272"/>
      <c r="G307" s="34"/>
      <c r="H307" s="185"/>
      <c r="I307" s="272"/>
      <c r="J307" s="272"/>
      <c r="L307" s="34"/>
      <c r="M307" s="185"/>
      <c r="N307" s="272"/>
      <c r="O307" s="272"/>
      <c r="Q307" s="34"/>
      <c r="R307" s="124">
        <v>310071</v>
      </c>
      <c r="S307" s="9" t="s">
        <v>3289</v>
      </c>
      <c r="T307" s="144">
        <v>0</v>
      </c>
      <c r="U307" s="144">
        <v>50000</v>
      </c>
    </row>
    <row r="308" spans="2:21" x14ac:dyDescent="0.3">
      <c r="B308" s="34"/>
      <c r="C308" s="185"/>
      <c r="D308" s="272"/>
      <c r="E308" s="272"/>
      <c r="G308" s="34"/>
      <c r="H308" s="185"/>
      <c r="I308" s="272"/>
      <c r="J308" s="272"/>
      <c r="L308" s="34"/>
      <c r="M308" s="185"/>
      <c r="N308" s="272"/>
      <c r="O308" s="272"/>
      <c r="Q308" s="34"/>
      <c r="R308" s="124">
        <v>310072</v>
      </c>
      <c r="S308" s="9" t="s">
        <v>3290</v>
      </c>
      <c r="T308" s="144">
        <v>0</v>
      </c>
      <c r="U308" s="144">
        <v>10000</v>
      </c>
    </row>
    <row r="309" spans="2:21" x14ac:dyDescent="0.3">
      <c r="B309" s="34"/>
      <c r="C309" s="185"/>
      <c r="D309" s="272"/>
      <c r="E309" s="272"/>
      <c r="G309" s="34"/>
      <c r="H309" s="185"/>
      <c r="I309" s="272"/>
      <c r="J309" s="272"/>
      <c r="L309" s="34"/>
      <c r="M309" s="185"/>
      <c r="N309" s="272"/>
      <c r="O309" s="272"/>
      <c r="Q309" s="175">
        <v>12070009</v>
      </c>
      <c r="R309" s="176"/>
      <c r="S309" s="177" t="s">
        <v>927</v>
      </c>
      <c r="T309" s="178">
        <v>0</v>
      </c>
      <c r="U309" s="178">
        <v>0</v>
      </c>
    </row>
    <row r="310" spans="2:21" x14ac:dyDescent="0.3">
      <c r="B310" s="34"/>
      <c r="C310" s="185"/>
      <c r="D310" s="272"/>
      <c r="E310" s="272"/>
      <c r="G310" s="34"/>
      <c r="H310" s="185"/>
      <c r="I310" s="272"/>
      <c r="J310" s="272"/>
      <c r="L310" s="34"/>
      <c r="M310" s="185"/>
      <c r="N310" s="272"/>
      <c r="O310" s="272"/>
      <c r="Q310" s="175">
        <v>12070010</v>
      </c>
      <c r="R310" s="176"/>
      <c r="S310" s="177" t="s">
        <v>945</v>
      </c>
      <c r="T310" s="183">
        <v>0</v>
      </c>
      <c r="U310" s="183">
        <f>SUM(U311:U335)-SUM(T311:T335)</f>
        <v>1629192</v>
      </c>
    </row>
    <row r="311" spans="2:21" x14ac:dyDescent="0.3">
      <c r="B311" s="34"/>
      <c r="C311" s="185"/>
      <c r="D311" s="272"/>
      <c r="E311" s="272"/>
      <c r="G311" s="34"/>
      <c r="H311" s="185"/>
      <c r="I311" s="272"/>
      <c r="J311" s="272"/>
      <c r="L311" s="34"/>
      <c r="M311" s="185"/>
      <c r="N311" s="272"/>
      <c r="O311" s="272"/>
      <c r="Q311" s="34"/>
      <c r="R311" s="124" t="s">
        <v>2160</v>
      </c>
      <c r="S311" s="9" t="s">
        <v>2161</v>
      </c>
      <c r="T311" s="144">
        <v>0</v>
      </c>
      <c r="U311" s="144">
        <v>28211</v>
      </c>
    </row>
    <row r="312" spans="2:21" x14ac:dyDescent="0.3">
      <c r="B312" s="34"/>
      <c r="C312" s="185"/>
      <c r="D312" s="272"/>
      <c r="E312" s="272"/>
      <c r="G312" s="34"/>
      <c r="H312" s="185"/>
      <c r="I312" s="272"/>
      <c r="J312" s="272"/>
      <c r="L312" s="34"/>
      <c r="M312" s="185"/>
      <c r="N312" s="272"/>
      <c r="O312" s="272"/>
      <c r="Q312" s="34"/>
      <c r="R312" s="124" t="s">
        <v>2340</v>
      </c>
      <c r="S312" s="9" t="s">
        <v>2159</v>
      </c>
      <c r="T312" s="144">
        <v>0</v>
      </c>
      <c r="U312" s="144">
        <v>160136</v>
      </c>
    </row>
    <row r="313" spans="2:21" x14ac:dyDescent="0.3">
      <c r="B313" s="34"/>
      <c r="C313" s="185"/>
      <c r="D313" s="272"/>
      <c r="E313" s="272"/>
      <c r="G313" s="34"/>
      <c r="H313" s="185"/>
      <c r="I313" s="272"/>
      <c r="J313" s="272"/>
      <c r="L313" s="34"/>
      <c r="M313" s="185"/>
      <c r="N313" s="272"/>
      <c r="O313" s="272"/>
      <c r="Q313" s="34"/>
      <c r="R313" s="124" t="s">
        <v>2199</v>
      </c>
      <c r="S313" s="9" t="s">
        <v>2200</v>
      </c>
      <c r="T313" s="144">
        <v>0</v>
      </c>
      <c r="U313" s="144">
        <v>22500</v>
      </c>
    </row>
    <row r="314" spans="2:21" x14ac:dyDescent="0.3">
      <c r="B314" s="34"/>
      <c r="C314" s="185"/>
      <c r="D314" s="272"/>
      <c r="E314" s="272"/>
      <c r="G314" s="34"/>
      <c r="H314" s="185"/>
      <c r="I314" s="272"/>
      <c r="J314" s="272"/>
      <c r="L314" s="34"/>
      <c r="M314" s="185"/>
      <c r="N314" s="272"/>
      <c r="O314" s="272"/>
      <c r="Q314" s="34"/>
      <c r="R314" s="124" t="s">
        <v>3313</v>
      </c>
      <c r="S314" s="9" t="s">
        <v>2211</v>
      </c>
      <c r="T314" s="144">
        <v>0</v>
      </c>
      <c r="U314" s="144">
        <v>17998</v>
      </c>
    </row>
    <row r="315" spans="2:21" x14ac:dyDescent="0.3">
      <c r="B315" s="34"/>
      <c r="C315" s="185"/>
      <c r="D315" s="272"/>
      <c r="E315" s="272"/>
      <c r="G315" s="34"/>
      <c r="H315" s="185"/>
      <c r="I315" s="272"/>
      <c r="J315" s="272"/>
      <c r="L315" s="34"/>
      <c r="M315" s="185"/>
      <c r="N315" s="272"/>
      <c r="O315" s="272"/>
      <c r="Q315" s="34"/>
      <c r="R315" s="124" t="s">
        <v>2209</v>
      </c>
      <c r="S315" s="9" t="s">
        <v>2210</v>
      </c>
      <c r="T315" s="144">
        <v>0</v>
      </c>
      <c r="U315" s="144">
        <v>51199</v>
      </c>
    </row>
    <row r="316" spans="2:21" x14ac:dyDescent="0.3">
      <c r="B316" s="34"/>
      <c r="C316" s="185"/>
      <c r="D316" s="272"/>
      <c r="E316" s="272"/>
      <c r="G316" s="34"/>
      <c r="H316" s="185"/>
      <c r="I316" s="272"/>
      <c r="J316" s="272"/>
      <c r="L316" s="34"/>
      <c r="M316" s="185"/>
      <c r="N316" s="272"/>
      <c r="O316" s="272"/>
      <c r="Q316" s="34"/>
      <c r="R316" s="124" t="s">
        <v>2165</v>
      </c>
      <c r="S316" s="9" t="s">
        <v>2166</v>
      </c>
      <c r="T316" s="144">
        <v>0</v>
      </c>
      <c r="U316" s="144">
        <v>2501</v>
      </c>
    </row>
    <row r="317" spans="2:21" x14ac:dyDescent="0.3">
      <c r="B317" s="34"/>
      <c r="C317" s="185"/>
      <c r="D317" s="272"/>
      <c r="E317" s="272"/>
      <c r="G317" s="34"/>
      <c r="H317" s="185"/>
      <c r="I317" s="272"/>
      <c r="J317" s="272"/>
      <c r="L317" s="34"/>
      <c r="M317" s="185"/>
      <c r="N317" s="272"/>
      <c r="O317" s="272"/>
      <c r="Q317" s="34"/>
      <c r="R317" s="124" t="s">
        <v>2168</v>
      </c>
      <c r="S317" s="9" t="s">
        <v>2169</v>
      </c>
      <c r="T317" s="144">
        <v>0</v>
      </c>
      <c r="U317" s="144">
        <v>16200</v>
      </c>
    </row>
    <row r="318" spans="2:21" x14ac:dyDescent="0.3">
      <c r="B318" s="34"/>
      <c r="C318" s="185"/>
      <c r="D318" s="272"/>
      <c r="E318" s="272"/>
      <c r="G318" s="34"/>
      <c r="H318" s="185"/>
      <c r="I318" s="272"/>
      <c r="J318" s="272"/>
      <c r="L318" s="34"/>
      <c r="M318" s="185"/>
      <c r="N318" s="272"/>
      <c r="O318" s="272"/>
      <c r="Q318" s="34"/>
      <c r="R318" s="124" t="s">
        <v>2203</v>
      </c>
      <c r="S318" s="9" t="s">
        <v>2204</v>
      </c>
      <c r="T318" s="144">
        <v>0</v>
      </c>
      <c r="U318" s="144">
        <v>30098</v>
      </c>
    </row>
    <row r="319" spans="2:21" x14ac:dyDescent="0.3">
      <c r="B319" s="34"/>
      <c r="C319" s="185"/>
      <c r="D319" s="272"/>
      <c r="E319" s="272"/>
      <c r="G319" s="34"/>
      <c r="H319" s="185"/>
      <c r="I319" s="272"/>
      <c r="J319" s="272"/>
      <c r="L319" s="34"/>
      <c r="M319" s="185"/>
      <c r="N319" s="272"/>
      <c r="O319" s="272"/>
      <c r="Q319" s="34"/>
      <c r="R319" s="124" t="s">
        <v>2162</v>
      </c>
      <c r="S319" s="9" t="s">
        <v>2163</v>
      </c>
      <c r="T319" s="144">
        <v>0</v>
      </c>
      <c r="U319" s="144">
        <v>50021</v>
      </c>
    </row>
    <row r="320" spans="2:21" x14ac:dyDescent="0.3">
      <c r="B320" s="34"/>
      <c r="C320" s="185"/>
      <c r="D320" s="272"/>
      <c r="E320" s="272"/>
      <c r="G320" s="34"/>
      <c r="H320" s="185"/>
      <c r="I320" s="272"/>
      <c r="J320" s="272"/>
      <c r="L320" s="34"/>
      <c r="M320" s="185"/>
      <c r="N320" s="272"/>
      <c r="O320" s="272"/>
      <c r="Q320" s="34"/>
      <c r="R320" s="124" t="s">
        <v>2205</v>
      </c>
      <c r="S320" s="9" t="s">
        <v>2206</v>
      </c>
      <c r="T320" s="144">
        <v>0</v>
      </c>
      <c r="U320" s="144">
        <v>42474</v>
      </c>
    </row>
    <row r="321" spans="2:21" x14ac:dyDescent="0.3">
      <c r="B321" s="34"/>
      <c r="C321" s="185"/>
      <c r="D321" s="272"/>
      <c r="E321" s="272"/>
      <c r="G321" s="34"/>
      <c r="H321" s="185"/>
      <c r="I321" s="272"/>
      <c r="J321" s="272"/>
      <c r="L321" s="34"/>
      <c r="M321" s="185"/>
      <c r="N321" s="272"/>
      <c r="O321" s="272"/>
      <c r="Q321" s="34"/>
      <c r="R321" s="124" t="s">
        <v>3291</v>
      </c>
      <c r="S321" s="9" t="s">
        <v>2171</v>
      </c>
      <c r="T321" s="144">
        <v>0</v>
      </c>
      <c r="U321" s="144">
        <v>79643</v>
      </c>
    </row>
    <row r="322" spans="2:21" x14ac:dyDescent="0.3">
      <c r="B322" s="34"/>
      <c r="C322" s="185"/>
      <c r="D322" s="272"/>
      <c r="E322" s="272"/>
      <c r="G322" s="34"/>
      <c r="H322" s="185"/>
      <c r="I322" s="272"/>
      <c r="J322" s="272"/>
      <c r="L322" s="34"/>
      <c r="M322" s="185"/>
      <c r="N322" s="272"/>
      <c r="O322" s="272"/>
      <c r="Q322" s="34"/>
      <c r="R322" s="124" t="s">
        <v>2183</v>
      </c>
      <c r="S322" s="9" t="s">
        <v>2182</v>
      </c>
      <c r="T322" s="144">
        <v>0</v>
      </c>
      <c r="U322" s="144">
        <v>163185</v>
      </c>
    </row>
    <row r="323" spans="2:21" x14ac:dyDescent="0.3">
      <c r="B323" s="34"/>
      <c r="C323" s="185"/>
      <c r="D323" s="272"/>
      <c r="E323" s="272"/>
      <c r="G323" s="34"/>
      <c r="H323" s="185"/>
      <c r="I323" s="272"/>
      <c r="J323" s="272"/>
      <c r="L323" s="34"/>
      <c r="M323" s="185"/>
      <c r="N323" s="272"/>
      <c r="O323" s="272"/>
      <c r="Q323" s="34"/>
      <c r="R323" s="124" t="s">
        <v>2201</v>
      </c>
      <c r="S323" s="9" t="s">
        <v>2202</v>
      </c>
      <c r="T323" s="144">
        <v>0</v>
      </c>
      <c r="U323" s="144">
        <v>29098</v>
      </c>
    </row>
    <row r="324" spans="2:21" x14ac:dyDescent="0.3">
      <c r="B324" s="34"/>
      <c r="C324" s="185"/>
      <c r="D324" s="272"/>
      <c r="E324" s="272"/>
      <c r="G324" s="34"/>
      <c r="H324" s="185"/>
      <c r="I324" s="272"/>
      <c r="J324" s="272"/>
      <c r="L324" s="34"/>
      <c r="M324" s="185"/>
      <c r="N324" s="272"/>
      <c r="O324" s="272"/>
      <c r="Q324" s="34"/>
      <c r="R324" s="124" t="s">
        <v>1895</v>
      </c>
      <c r="S324" s="9" t="s">
        <v>2174</v>
      </c>
      <c r="T324" s="144">
        <v>0</v>
      </c>
      <c r="U324" s="144">
        <v>33611</v>
      </c>
    </row>
    <row r="325" spans="2:21" x14ac:dyDescent="0.3">
      <c r="B325" s="34"/>
      <c r="C325" s="185"/>
      <c r="D325" s="272"/>
      <c r="E325" s="272"/>
      <c r="G325" s="34"/>
      <c r="H325" s="185"/>
      <c r="I325" s="272"/>
      <c r="J325" s="272"/>
      <c r="L325" s="34"/>
      <c r="M325" s="185"/>
      <c r="N325" s="272"/>
      <c r="O325" s="272"/>
      <c r="Q325" s="34"/>
      <c r="R325" s="124" t="s">
        <v>2138</v>
      </c>
      <c r="S325" s="9" t="s">
        <v>7</v>
      </c>
      <c r="T325" s="144">
        <v>0</v>
      </c>
      <c r="U325" s="144">
        <v>15599</v>
      </c>
    </row>
    <row r="326" spans="2:21" x14ac:dyDescent="0.3">
      <c r="B326" s="34"/>
      <c r="C326" s="185"/>
      <c r="D326" s="272"/>
      <c r="E326" s="272"/>
      <c r="G326" s="34"/>
      <c r="H326" s="185"/>
      <c r="I326" s="272"/>
      <c r="J326" s="272"/>
      <c r="L326" s="34"/>
      <c r="M326" s="185"/>
      <c r="N326" s="272"/>
      <c r="O326" s="272"/>
      <c r="Q326" s="34"/>
      <c r="R326" s="124" t="s">
        <v>1896</v>
      </c>
      <c r="S326" s="9" t="s">
        <v>2193</v>
      </c>
      <c r="T326" s="144">
        <v>0</v>
      </c>
      <c r="U326" s="144">
        <v>6225</v>
      </c>
    </row>
    <row r="327" spans="2:21" x14ac:dyDescent="0.3">
      <c r="B327" s="34"/>
      <c r="C327" s="185"/>
      <c r="D327" s="272"/>
      <c r="E327" s="272"/>
      <c r="G327" s="34"/>
      <c r="H327" s="185"/>
      <c r="I327" s="272"/>
      <c r="J327" s="272"/>
      <c r="L327" s="34"/>
      <c r="M327" s="185"/>
      <c r="N327" s="272"/>
      <c r="O327" s="272"/>
      <c r="Q327" s="34"/>
      <c r="R327" s="124" t="s">
        <v>2185</v>
      </c>
      <c r="S327" s="9" t="s">
        <v>2184</v>
      </c>
      <c r="T327" s="144">
        <v>0</v>
      </c>
      <c r="U327" s="144">
        <v>79374</v>
      </c>
    </row>
    <row r="328" spans="2:21" x14ac:dyDescent="0.3">
      <c r="B328" s="34"/>
      <c r="C328" s="185"/>
      <c r="D328" s="272"/>
      <c r="E328" s="272"/>
      <c r="G328" s="34"/>
      <c r="H328" s="185"/>
      <c r="I328" s="272"/>
      <c r="J328" s="272"/>
      <c r="L328" s="34"/>
      <c r="M328" s="185"/>
      <c r="N328" s="272"/>
      <c r="O328" s="272"/>
      <c r="Q328" s="34"/>
      <c r="R328" s="124" t="s">
        <v>2212</v>
      </c>
      <c r="S328" s="9" t="s">
        <v>2213</v>
      </c>
      <c r="T328" s="144">
        <v>0</v>
      </c>
      <c r="U328" s="144">
        <v>16700</v>
      </c>
    </row>
    <row r="329" spans="2:21" x14ac:dyDescent="0.3">
      <c r="B329" s="34"/>
      <c r="C329" s="185"/>
      <c r="D329" s="272"/>
      <c r="E329" s="272"/>
      <c r="G329" s="34"/>
      <c r="H329" s="185"/>
      <c r="I329" s="272"/>
      <c r="J329" s="272"/>
      <c r="L329" s="34"/>
      <c r="M329" s="185"/>
      <c r="N329" s="272"/>
      <c r="O329" s="272"/>
      <c r="Q329" s="34"/>
      <c r="R329" s="124" t="s">
        <v>2343</v>
      </c>
      <c r="S329" s="9" t="s">
        <v>2194</v>
      </c>
      <c r="T329" s="144">
        <v>0</v>
      </c>
      <c r="U329" s="144">
        <v>657483</v>
      </c>
    </row>
    <row r="330" spans="2:21" x14ac:dyDescent="0.3">
      <c r="B330" s="34"/>
      <c r="C330" s="185"/>
      <c r="D330" s="272"/>
      <c r="E330" s="272"/>
      <c r="G330" s="34"/>
      <c r="H330" s="185"/>
      <c r="I330" s="272"/>
      <c r="J330" s="272"/>
      <c r="L330" s="34"/>
      <c r="M330" s="185"/>
      <c r="N330" s="272"/>
      <c r="O330" s="272"/>
      <c r="Q330" s="34"/>
      <c r="R330" s="124" t="s">
        <v>2216</v>
      </c>
      <c r="S330" s="9" t="s">
        <v>2217</v>
      </c>
      <c r="T330" s="144">
        <v>0</v>
      </c>
      <c r="U330" s="144">
        <v>17600</v>
      </c>
    </row>
    <row r="331" spans="2:21" x14ac:dyDescent="0.3">
      <c r="B331" s="34"/>
      <c r="C331" s="185"/>
      <c r="D331" s="272"/>
      <c r="E331" s="272"/>
      <c r="G331" s="34"/>
      <c r="H331" s="185"/>
      <c r="I331" s="272"/>
      <c r="J331" s="272"/>
      <c r="L331" s="34"/>
      <c r="M331" s="185"/>
      <c r="N331" s="272"/>
      <c r="O331" s="272"/>
      <c r="Q331" s="34"/>
      <c r="R331" s="124" t="s">
        <v>2342</v>
      </c>
      <c r="S331" s="9" t="s">
        <v>2188</v>
      </c>
      <c r="T331" s="144">
        <v>0</v>
      </c>
      <c r="U331" s="144">
        <v>10626</v>
      </c>
    </row>
    <row r="332" spans="2:21" x14ac:dyDescent="0.3">
      <c r="B332" s="34"/>
      <c r="C332" s="185"/>
      <c r="D332" s="272"/>
      <c r="E332" s="272"/>
      <c r="G332" s="34"/>
      <c r="H332" s="185"/>
      <c r="I332" s="272"/>
      <c r="J332" s="272"/>
      <c r="L332" s="34"/>
      <c r="M332" s="185"/>
      <c r="N332" s="272"/>
      <c r="O332" s="272"/>
      <c r="Q332" s="34"/>
      <c r="R332" s="124" t="s">
        <v>2177</v>
      </c>
      <c r="S332" s="9" t="s">
        <v>2341</v>
      </c>
      <c r="T332" s="144">
        <v>0</v>
      </c>
      <c r="U332" s="144">
        <v>93336</v>
      </c>
    </row>
    <row r="333" spans="2:21" x14ac:dyDescent="0.3">
      <c r="B333" s="34"/>
      <c r="C333" s="185"/>
      <c r="D333" s="272"/>
      <c r="E333" s="272"/>
      <c r="G333" s="34"/>
      <c r="H333" s="185"/>
      <c r="I333" s="272"/>
      <c r="J333" s="272"/>
      <c r="L333" s="34"/>
      <c r="M333" s="185"/>
      <c r="N333" s="272"/>
      <c r="O333" s="272"/>
      <c r="Q333" s="34"/>
      <c r="R333" s="124" t="s">
        <v>2187</v>
      </c>
      <c r="S333" s="9" t="s">
        <v>2186</v>
      </c>
      <c r="T333" s="144">
        <v>20001</v>
      </c>
      <c r="U333" s="144">
        <v>0</v>
      </c>
    </row>
    <row r="334" spans="2:21" x14ac:dyDescent="0.3">
      <c r="B334" s="34"/>
      <c r="C334" s="185"/>
      <c r="D334" s="272"/>
      <c r="E334" s="272"/>
      <c r="G334" s="34"/>
      <c r="H334" s="185"/>
      <c r="I334" s="272"/>
      <c r="J334" s="272"/>
      <c r="L334" s="34"/>
      <c r="M334" s="185"/>
      <c r="N334" s="272"/>
      <c r="O334" s="272"/>
      <c r="Q334" s="34"/>
      <c r="R334" s="124" t="s">
        <v>2187</v>
      </c>
      <c r="S334" s="9" t="s">
        <v>2186</v>
      </c>
      <c r="T334" s="144">
        <v>0</v>
      </c>
      <c r="U334" s="144">
        <v>20000</v>
      </c>
    </row>
    <row r="335" spans="2:21" x14ac:dyDescent="0.3">
      <c r="B335" s="34"/>
      <c r="C335" s="185"/>
      <c r="D335" s="272"/>
      <c r="E335" s="272"/>
      <c r="G335" s="34"/>
      <c r="H335" s="185"/>
      <c r="I335" s="272"/>
      <c r="J335" s="272"/>
      <c r="L335" s="34"/>
      <c r="M335" s="185"/>
      <c r="N335" s="272"/>
      <c r="O335" s="272"/>
      <c r="Q335" s="34"/>
      <c r="R335" s="124" t="s">
        <v>2342</v>
      </c>
      <c r="S335" s="9" t="s">
        <v>2188</v>
      </c>
      <c r="T335" s="144">
        <v>0</v>
      </c>
      <c r="U335" s="144">
        <v>5375</v>
      </c>
    </row>
    <row r="336" spans="2:21" x14ac:dyDescent="0.3">
      <c r="B336" s="34"/>
      <c r="C336" s="185"/>
      <c r="D336" s="272"/>
      <c r="E336" s="272"/>
      <c r="G336" s="34"/>
      <c r="H336" s="185"/>
      <c r="I336" s="272"/>
      <c r="J336" s="272"/>
      <c r="L336" s="34"/>
      <c r="M336" s="185"/>
      <c r="N336" s="272"/>
      <c r="O336" s="272"/>
      <c r="Q336" s="175">
        <v>12070011</v>
      </c>
      <c r="R336" s="176"/>
      <c r="S336" s="177" t="s">
        <v>946</v>
      </c>
      <c r="T336" s="178">
        <v>0</v>
      </c>
      <c r="U336" s="178">
        <v>0</v>
      </c>
    </row>
    <row r="337" spans="2:21" x14ac:dyDescent="0.3">
      <c r="B337" s="34"/>
      <c r="C337" s="185"/>
      <c r="D337" s="272"/>
      <c r="E337" s="272"/>
      <c r="G337" s="34"/>
      <c r="H337" s="185"/>
      <c r="I337" s="272"/>
      <c r="J337" s="272"/>
      <c r="L337" s="34"/>
      <c r="M337" s="185"/>
      <c r="N337" s="272"/>
      <c r="O337" s="272"/>
      <c r="Q337" s="175">
        <v>12070012</v>
      </c>
      <c r="R337" s="176"/>
      <c r="S337" s="177" t="s">
        <v>926</v>
      </c>
      <c r="T337" s="183">
        <v>0</v>
      </c>
      <c r="U337" s="183">
        <f>SUM(U338)-SUM(T338)</f>
        <v>219000</v>
      </c>
    </row>
    <row r="338" spans="2:21" x14ac:dyDescent="0.3">
      <c r="B338" s="34"/>
      <c r="C338" s="185"/>
      <c r="D338" s="272"/>
      <c r="E338" s="272"/>
      <c r="G338" s="34"/>
      <c r="H338" s="185"/>
      <c r="I338" s="272"/>
      <c r="J338" s="272"/>
      <c r="L338" s="34"/>
      <c r="M338" s="185"/>
      <c r="N338" s="272"/>
      <c r="O338" s="272"/>
      <c r="Q338" s="34"/>
      <c r="R338" s="124" t="s">
        <v>3318</v>
      </c>
      <c r="S338" s="9" t="s">
        <v>258</v>
      </c>
      <c r="T338" s="144">
        <v>0</v>
      </c>
      <c r="U338" s="144">
        <v>219000</v>
      </c>
    </row>
    <row r="339" spans="2:21" x14ac:dyDescent="0.3">
      <c r="B339" s="34"/>
      <c r="C339" s="185"/>
      <c r="D339" s="272"/>
      <c r="E339" s="272"/>
      <c r="G339" s="34"/>
      <c r="H339" s="185"/>
      <c r="I339" s="272"/>
      <c r="J339" s="272"/>
      <c r="L339" s="34"/>
      <c r="M339" s="185"/>
      <c r="N339" s="272"/>
      <c r="O339" s="272"/>
      <c r="Q339" s="175">
        <v>12070013</v>
      </c>
      <c r="R339" s="176"/>
      <c r="S339" s="177" t="s">
        <v>886</v>
      </c>
      <c r="T339" s="178">
        <v>0</v>
      </c>
      <c r="U339" s="178">
        <v>0</v>
      </c>
    </row>
    <row r="340" spans="2:21" x14ac:dyDescent="0.3">
      <c r="B340" s="34"/>
      <c r="C340" s="185"/>
      <c r="D340" s="272"/>
      <c r="E340" s="272"/>
      <c r="G340" s="34"/>
      <c r="H340" s="185"/>
      <c r="I340" s="272"/>
      <c r="J340" s="272"/>
      <c r="L340" s="34"/>
      <c r="M340" s="185"/>
      <c r="N340" s="272"/>
      <c r="O340" s="272"/>
      <c r="Q340" s="175">
        <v>12070014</v>
      </c>
      <c r="R340" s="176"/>
      <c r="S340" s="177" t="s">
        <v>941</v>
      </c>
      <c r="T340" s="183">
        <v>0</v>
      </c>
      <c r="U340" s="183">
        <f>SUM(U341)-SUM(T341)</f>
        <v>15000000</v>
      </c>
    </row>
    <row r="341" spans="2:21" x14ac:dyDescent="0.3">
      <c r="B341" s="34"/>
      <c r="C341" s="185"/>
      <c r="D341" s="272"/>
      <c r="E341" s="272"/>
      <c r="G341" s="34"/>
      <c r="H341" s="185"/>
      <c r="I341" s="272"/>
      <c r="J341" s="272"/>
      <c r="L341" s="34"/>
      <c r="M341" s="185"/>
      <c r="N341" s="272"/>
      <c r="O341" s="272"/>
      <c r="Q341" s="34"/>
      <c r="R341" s="124">
        <v>160358</v>
      </c>
      <c r="S341" s="9" t="s">
        <v>3265</v>
      </c>
      <c r="T341" s="144">
        <v>0</v>
      </c>
      <c r="U341" s="144">
        <v>15000000</v>
      </c>
    </row>
    <row r="342" spans="2:21" x14ac:dyDescent="0.3">
      <c r="B342" s="34"/>
      <c r="C342" s="185"/>
      <c r="D342" s="272"/>
      <c r="E342" s="272"/>
      <c r="G342" s="34"/>
      <c r="H342" s="185"/>
      <c r="I342" s="272"/>
      <c r="J342" s="272"/>
      <c r="L342" s="34"/>
      <c r="M342" s="185"/>
      <c r="N342" s="272"/>
      <c r="O342" s="272"/>
      <c r="Q342" s="34"/>
      <c r="R342" s="124"/>
      <c r="S342" s="9"/>
      <c r="T342" s="144"/>
      <c r="U342" s="144"/>
    </row>
    <row r="343" spans="2:21" x14ac:dyDescent="0.3">
      <c r="B343" s="34"/>
      <c r="C343" s="185"/>
      <c r="D343" s="273"/>
      <c r="E343" s="273"/>
      <c r="G343" s="34"/>
      <c r="H343" s="185"/>
      <c r="I343" s="273"/>
      <c r="J343" s="273"/>
      <c r="K343">
        <v>1208</v>
      </c>
      <c r="L343" s="279">
        <v>1208</v>
      </c>
      <c r="M343" s="279" t="s">
        <v>2007</v>
      </c>
      <c r="N343" s="280">
        <v>0</v>
      </c>
      <c r="O343" s="280">
        <f>U343</f>
        <v>0</v>
      </c>
      <c r="Q343" s="175">
        <v>12080001</v>
      </c>
      <c r="R343" s="176"/>
      <c r="S343" s="177" t="s">
        <v>2007</v>
      </c>
      <c r="T343" s="178">
        <v>0</v>
      </c>
      <c r="U343" s="178">
        <v>0</v>
      </c>
    </row>
    <row r="344" spans="2:21" x14ac:dyDescent="0.3">
      <c r="B344" s="34"/>
      <c r="C344" s="185"/>
      <c r="D344" s="273"/>
      <c r="E344" s="273"/>
      <c r="G344" s="34"/>
      <c r="H344" s="185"/>
      <c r="I344" s="273"/>
      <c r="J344" s="273"/>
      <c r="L344" s="36"/>
      <c r="M344" s="36"/>
      <c r="N344" s="273"/>
      <c r="O344" s="273"/>
      <c r="Q344" s="175"/>
      <c r="R344" s="187"/>
      <c r="S344" s="188"/>
      <c r="T344" s="178"/>
      <c r="U344" s="178"/>
    </row>
    <row r="345" spans="2:21" x14ac:dyDescent="0.3">
      <c r="B345" s="34"/>
      <c r="C345" s="185"/>
      <c r="D345" s="272"/>
      <c r="E345" s="272"/>
      <c r="G345" s="34"/>
      <c r="H345" s="185"/>
      <c r="I345" s="272"/>
      <c r="J345" s="272"/>
      <c r="K345">
        <v>1209</v>
      </c>
      <c r="L345" s="175">
        <v>1209</v>
      </c>
      <c r="M345" s="188" t="s">
        <v>2030</v>
      </c>
      <c r="N345" s="278">
        <v>0</v>
      </c>
      <c r="O345" s="278">
        <f>U345+U347</f>
        <v>28214609</v>
      </c>
      <c r="Q345" s="175">
        <v>12090001</v>
      </c>
      <c r="R345" s="187"/>
      <c r="S345" s="188" t="s">
        <v>949</v>
      </c>
      <c r="T345" s="183">
        <v>0</v>
      </c>
      <c r="U345" s="183">
        <f>SUM(U346)-SUM(T346)</f>
        <v>17184238</v>
      </c>
    </row>
    <row r="346" spans="2:21" x14ac:dyDescent="0.3">
      <c r="B346" s="34"/>
      <c r="C346" s="185"/>
      <c r="D346" s="272"/>
      <c r="E346" s="272"/>
      <c r="G346" s="34"/>
      <c r="H346" s="185"/>
      <c r="I346" s="272"/>
      <c r="J346" s="272"/>
      <c r="L346" s="34"/>
      <c r="M346" s="185"/>
      <c r="N346" s="272"/>
      <c r="O346" s="272"/>
      <c r="Q346" s="34"/>
      <c r="R346" s="126" t="s">
        <v>2138</v>
      </c>
      <c r="S346" s="185" t="s">
        <v>7</v>
      </c>
      <c r="T346" s="186">
        <v>0</v>
      </c>
      <c r="U346" s="144">
        <v>17184238</v>
      </c>
    </row>
    <row r="347" spans="2:21" x14ac:dyDescent="0.3">
      <c r="B347" s="34"/>
      <c r="C347" s="185"/>
      <c r="D347" s="272"/>
      <c r="E347" s="272"/>
      <c r="G347" s="34"/>
      <c r="H347" s="185"/>
      <c r="I347" s="272"/>
      <c r="J347" s="272"/>
      <c r="L347" s="34"/>
      <c r="M347" s="185"/>
      <c r="N347" s="272"/>
      <c r="O347" s="272"/>
      <c r="Q347" s="175">
        <v>12090002</v>
      </c>
      <c r="R347" s="187"/>
      <c r="S347" s="188" t="s">
        <v>950</v>
      </c>
      <c r="T347" s="183">
        <v>0</v>
      </c>
      <c r="U347" s="183">
        <f>SUM(U348)-SUM(T348)</f>
        <v>11030371</v>
      </c>
    </row>
    <row r="348" spans="2:21" x14ac:dyDescent="0.3">
      <c r="B348" s="34"/>
      <c r="C348" s="185"/>
      <c r="D348" s="272"/>
      <c r="E348" s="272"/>
      <c r="G348" s="34"/>
      <c r="H348" s="185"/>
      <c r="I348" s="272"/>
      <c r="J348" s="272"/>
      <c r="L348" s="34"/>
      <c r="M348" s="185"/>
      <c r="N348" s="272"/>
      <c r="O348" s="272"/>
      <c r="Q348" s="34"/>
      <c r="R348" s="124">
        <v>120165</v>
      </c>
      <c r="S348" s="9" t="s">
        <v>2237</v>
      </c>
      <c r="T348" s="144">
        <v>0</v>
      </c>
      <c r="U348" s="144">
        <v>11030371</v>
      </c>
    </row>
    <row r="349" spans="2:21" x14ac:dyDescent="0.3">
      <c r="B349" s="34"/>
      <c r="C349" s="185"/>
      <c r="D349" s="272"/>
      <c r="E349" s="272"/>
      <c r="G349" s="34"/>
      <c r="H349" s="185"/>
      <c r="I349" s="272"/>
      <c r="J349" s="272"/>
      <c r="L349" s="34"/>
      <c r="M349" s="185"/>
      <c r="N349" s="272"/>
      <c r="O349" s="272"/>
      <c r="Q349" s="34"/>
      <c r="R349" s="124"/>
      <c r="S349" s="9"/>
      <c r="T349" s="144"/>
      <c r="U349" s="144"/>
    </row>
    <row r="350" spans="2:21" x14ac:dyDescent="0.3">
      <c r="B350" s="34"/>
      <c r="C350" s="185"/>
      <c r="D350" s="272"/>
      <c r="E350" s="272"/>
      <c r="G350" s="34"/>
      <c r="H350" s="185"/>
      <c r="I350" s="272"/>
      <c r="J350" s="272"/>
      <c r="K350">
        <v>1210</v>
      </c>
      <c r="L350" s="175">
        <v>1210</v>
      </c>
      <c r="M350" s="188" t="s">
        <v>2032</v>
      </c>
      <c r="N350" s="278">
        <v>0</v>
      </c>
      <c r="O350" s="278">
        <f>U350</f>
        <v>179938299</v>
      </c>
      <c r="Q350" s="175">
        <v>12100001</v>
      </c>
      <c r="R350" s="176"/>
      <c r="S350" s="177" t="s">
        <v>942</v>
      </c>
      <c r="T350" s="183">
        <v>0</v>
      </c>
      <c r="U350" s="183">
        <f>SUM(U351)-SUM(T351)</f>
        <v>179938299</v>
      </c>
    </row>
    <row r="351" spans="2:21" x14ac:dyDescent="0.3">
      <c r="B351" s="34"/>
      <c r="C351" s="185"/>
      <c r="D351" s="272"/>
      <c r="E351" s="272"/>
      <c r="G351" s="34"/>
      <c r="H351" s="185"/>
      <c r="I351" s="272"/>
      <c r="J351" s="272"/>
      <c r="L351" s="34"/>
      <c r="M351" s="185"/>
      <c r="N351" s="272"/>
      <c r="O351" s="272"/>
      <c r="Q351" s="34"/>
      <c r="R351" s="124" t="s">
        <v>2138</v>
      </c>
      <c r="S351" s="9" t="s">
        <v>7</v>
      </c>
      <c r="T351" s="144">
        <v>0</v>
      </c>
      <c r="U351" s="144">
        <v>179938299</v>
      </c>
    </row>
    <row r="352" spans="2:21" x14ac:dyDescent="0.3">
      <c r="B352" s="34"/>
      <c r="C352" s="185"/>
      <c r="D352" s="272"/>
      <c r="E352" s="272"/>
      <c r="G352" s="34"/>
      <c r="H352" s="185"/>
      <c r="I352" s="272"/>
      <c r="J352" s="272"/>
      <c r="L352" s="34"/>
      <c r="M352" s="185"/>
      <c r="N352" s="272"/>
      <c r="O352" s="272"/>
      <c r="Q352" s="34"/>
      <c r="R352" s="124"/>
      <c r="S352" s="9"/>
      <c r="T352" s="144"/>
      <c r="U352" s="144"/>
    </row>
    <row r="353" spans="1:21" x14ac:dyDescent="0.3">
      <c r="B353" s="34"/>
      <c r="C353" s="185"/>
      <c r="D353" s="272"/>
      <c r="E353" s="272"/>
      <c r="G353" s="34"/>
      <c r="H353" s="185"/>
      <c r="I353" s="272"/>
      <c r="J353" s="272"/>
      <c r="K353">
        <v>1211</v>
      </c>
      <c r="L353" s="175">
        <v>1211</v>
      </c>
      <c r="M353" s="188" t="s">
        <v>888</v>
      </c>
      <c r="N353" s="278">
        <v>0</v>
      </c>
      <c r="O353" s="278">
        <f>U353+U354</f>
        <v>0</v>
      </c>
      <c r="Q353" s="175">
        <v>12110001</v>
      </c>
      <c r="R353" s="176"/>
      <c r="S353" s="177" t="s">
        <v>947</v>
      </c>
      <c r="T353" s="178">
        <v>0</v>
      </c>
      <c r="U353" s="178">
        <v>0</v>
      </c>
    </row>
    <row r="354" spans="1:21" x14ac:dyDescent="0.3">
      <c r="B354" s="35"/>
      <c r="C354" s="274"/>
      <c r="D354" s="275"/>
      <c r="E354" s="275"/>
      <c r="F354" s="290"/>
      <c r="G354" s="34"/>
      <c r="H354" s="185"/>
      <c r="I354" s="272"/>
      <c r="J354" s="272"/>
      <c r="L354" s="34"/>
      <c r="M354" s="185"/>
      <c r="N354" s="272"/>
      <c r="O354" s="272"/>
      <c r="Q354" s="175">
        <v>12110002</v>
      </c>
      <c r="R354" s="176"/>
      <c r="S354" s="177" t="s">
        <v>948</v>
      </c>
      <c r="T354" s="178">
        <v>0</v>
      </c>
      <c r="U354" s="178">
        <v>0</v>
      </c>
    </row>
    <row r="355" spans="1:21" x14ac:dyDescent="0.3">
      <c r="B355" s="34"/>
      <c r="C355" s="185"/>
      <c r="D355" s="272"/>
      <c r="E355" s="272"/>
      <c r="G355" s="34"/>
      <c r="H355" s="185"/>
      <c r="I355" s="272"/>
      <c r="J355" s="272"/>
      <c r="L355" s="34"/>
      <c r="M355" s="185"/>
      <c r="N355" s="272"/>
      <c r="O355" s="272"/>
      <c r="Q355" s="175"/>
      <c r="R355" s="176"/>
      <c r="S355" s="177"/>
      <c r="T355" s="178"/>
      <c r="U355" s="178"/>
    </row>
    <row r="356" spans="1:21" x14ac:dyDescent="0.3">
      <c r="B356" s="35"/>
      <c r="C356" s="274"/>
      <c r="D356" s="275"/>
      <c r="E356" s="275"/>
      <c r="G356" s="35"/>
      <c r="H356" s="274"/>
      <c r="I356" s="275"/>
      <c r="J356" s="275"/>
      <c r="L356" s="35"/>
      <c r="M356" s="274"/>
      <c r="N356" s="275"/>
      <c r="O356" s="275"/>
      <c r="Q356" s="35"/>
      <c r="R356" s="127"/>
      <c r="S356" s="10"/>
      <c r="T356" s="146"/>
      <c r="U356" s="146"/>
    </row>
    <row r="358" spans="1:21" x14ac:dyDescent="0.3">
      <c r="A358">
        <v>3</v>
      </c>
      <c r="B358" s="189">
        <v>3</v>
      </c>
      <c r="C358" s="191" t="s">
        <v>2033</v>
      </c>
      <c r="D358" s="293">
        <f>I358+I614</f>
        <v>3454915190.3300004</v>
      </c>
      <c r="E358" s="293">
        <v>0</v>
      </c>
      <c r="F358">
        <v>30</v>
      </c>
      <c r="G358" s="189">
        <v>30</v>
      </c>
      <c r="H358" s="191" t="s">
        <v>874</v>
      </c>
      <c r="I358" s="293">
        <f>(N358+N531+N550+N561+N576+N580)</f>
        <v>1020361627.5</v>
      </c>
      <c r="J358" s="293">
        <v>0</v>
      </c>
      <c r="K358">
        <v>3001</v>
      </c>
      <c r="L358" s="189">
        <v>3001</v>
      </c>
      <c r="M358" s="191" t="s">
        <v>2034</v>
      </c>
      <c r="N358" s="293">
        <f>(T358+T391+T432+T475+T514)-(U520+U522+U524+U526+U528)</f>
        <v>246514826.5</v>
      </c>
      <c r="O358" s="293">
        <v>0</v>
      </c>
      <c r="Q358" s="189">
        <v>30010001</v>
      </c>
      <c r="R358" s="190"/>
      <c r="S358" s="191" t="s">
        <v>2035</v>
      </c>
      <c r="T358" s="192">
        <f>SUM(T359:T390)-SUM(U359:U390)</f>
        <v>218438979</v>
      </c>
      <c r="U358" s="192">
        <v>0</v>
      </c>
    </row>
    <row r="359" spans="1:21" x14ac:dyDescent="0.3">
      <c r="B359" s="37"/>
      <c r="C359" s="13"/>
      <c r="D359" s="283"/>
      <c r="E359" s="283"/>
      <c r="G359" s="37"/>
      <c r="H359" s="13"/>
      <c r="I359" s="283"/>
      <c r="J359" s="283"/>
      <c r="L359" s="37"/>
      <c r="M359" s="13"/>
      <c r="N359" s="283"/>
      <c r="O359" s="283"/>
      <c r="Q359" s="37"/>
      <c r="R359" s="128" t="s">
        <v>1931</v>
      </c>
      <c r="S359" s="13" t="s">
        <v>1932</v>
      </c>
      <c r="T359" s="147">
        <v>2659925</v>
      </c>
      <c r="U359" s="147">
        <v>0</v>
      </c>
    </row>
    <row r="360" spans="1:21" x14ac:dyDescent="0.3">
      <c r="B360" s="37"/>
      <c r="C360" s="13"/>
      <c r="D360" s="283"/>
      <c r="E360" s="283"/>
      <c r="G360" s="37"/>
      <c r="H360" s="13"/>
      <c r="I360" s="283"/>
      <c r="J360" s="283"/>
      <c r="L360" s="37"/>
      <c r="M360" s="13"/>
      <c r="N360" s="283"/>
      <c r="O360" s="283"/>
      <c r="Q360" s="37"/>
      <c r="R360" s="128" t="s">
        <v>2138</v>
      </c>
      <c r="S360" s="13" t="s">
        <v>7</v>
      </c>
      <c r="T360" s="147">
        <v>17334065</v>
      </c>
      <c r="U360" s="147">
        <v>0</v>
      </c>
    </row>
    <row r="361" spans="1:21" x14ac:dyDescent="0.3">
      <c r="B361" s="37"/>
      <c r="C361" s="13"/>
      <c r="D361" s="283"/>
      <c r="E361" s="283"/>
      <c r="G361" s="37"/>
      <c r="H361" s="13"/>
      <c r="I361" s="283"/>
      <c r="J361" s="283"/>
      <c r="L361" s="37"/>
      <c r="M361" s="13"/>
      <c r="N361" s="283"/>
      <c r="O361" s="283"/>
      <c r="Q361" s="37"/>
      <c r="R361" s="128" t="s">
        <v>2156</v>
      </c>
      <c r="S361" s="13" t="s">
        <v>2157</v>
      </c>
      <c r="T361" s="147">
        <v>3451177</v>
      </c>
      <c r="U361" s="147">
        <v>0</v>
      </c>
    </row>
    <row r="362" spans="1:21" x14ac:dyDescent="0.3">
      <c r="B362" s="37"/>
      <c r="C362" s="13"/>
      <c r="D362" s="283"/>
      <c r="E362" s="283"/>
      <c r="G362" s="37"/>
      <c r="H362" s="13"/>
      <c r="I362" s="283"/>
      <c r="J362" s="283"/>
      <c r="L362" s="37"/>
      <c r="M362" s="13"/>
      <c r="N362" s="283"/>
      <c r="O362" s="283"/>
      <c r="Q362" s="37"/>
      <c r="R362" s="128" t="s">
        <v>2199</v>
      </c>
      <c r="S362" s="13" t="s">
        <v>2200</v>
      </c>
      <c r="T362" s="147">
        <v>5587875</v>
      </c>
      <c r="U362" s="147">
        <v>0</v>
      </c>
    </row>
    <row r="363" spans="1:21" x14ac:dyDescent="0.3">
      <c r="B363" s="37"/>
      <c r="C363" s="13"/>
      <c r="D363" s="283"/>
      <c r="E363" s="283"/>
      <c r="G363" s="37"/>
      <c r="H363" s="13"/>
      <c r="I363" s="283"/>
      <c r="J363" s="283"/>
      <c r="L363" s="37"/>
      <c r="M363" s="13"/>
      <c r="N363" s="283"/>
      <c r="O363" s="283"/>
      <c r="Q363" s="37"/>
      <c r="R363" s="128" t="s">
        <v>2201</v>
      </c>
      <c r="S363" s="13" t="s">
        <v>2202</v>
      </c>
      <c r="T363" s="147">
        <v>3753274</v>
      </c>
      <c r="U363" s="147">
        <v>0</v>
      </c>
    </row>
    <row r="364" spans="1:21" x14ac:dyDescent="0.3">
      <c r="B364" s="37"/>
      <c r="C364" s="13"/>
      <c r="D364" s="283"/>
      <c r="E364" s="283"/>
      <c r="G364" s="37"/>
      <c r="H364" s="13"/>
      <c r="I364" s="283"/>
      <c r="J364" s="283"/>
      <c r="L364" s="37"/>
      <c r="M364" s="13"/>
      <c r="N364" s="283"/>
      <c r="O364" s="283"/>
      <c r="Q364" s="37"/>
      <c r="R364" s="128" t="s">
        <v>2205</v>
      </c>
      <c r="S364" s="13" t="s">
        <v>2206</v>
      </c>
      <c r="T364" s="147">
        <v>4996871</v>
      </c>
      <c r="U364" s="147">
        <v>0</v>
      </c>
    </row>
    <row r="365" spans="1:21" x14ac:dyDescent="0.3">
      <c r="B365" s="37"/>
      <c r="C365" s="13"/>
      <c r="D365" s="283"/>
      <c r="E365" s="283"/>
      <c r="G365" s="37"/>
      <c r="H365" s="13"/>
      <c r="I365" s="283"/>
      <c r="J365" s="283"/>
      <c r="L365" s="37"/>
      <c r="M365" s="13"/>
      <c r="N365" s="283"/>
      <c r="O365" s="283"/>
      <c r="Q365" s="37"/>
      <c r="R365" s="128" t="s">
        <v>2207</v>
      </c>
      <c r="S365" s="13" t="s">
        <v>2208</v>
      </c>
      <c r="T365" s="147">
        <v>9169845</v>
      </c>
      <c r="U365" s="147">
        <v>0</v>
      </c>
    </row>
    <row r="366" spans="1:21" x14ac:dyDescent="0.3">
      <c r="B366" s="37"/>
      <c r="C366" s="13"/>
      <c r="D366" s="283"/>
      <c r="E366" s="283"/>
      <c r="G366" s="37"/>
      <c r="H366" s="13"/>
      <c r="I366" s="283"/>
      <c r="J366" s="283"/>
      <c r="L366" s="37"/>
      <c r="M366" s="13"/>
      <c r="N366" s="283"/>
      <c r="O366" s="283"/>
      <c r="Q366" s="37"/>
      <c r="R366" s="128" t="s">
        <v>2209</v>
      </c>
      <c r="S366" s="13" t="s">
        <v>2210</v>
      </c>
      <c r="T366" s="147">
        <v>11738879</v>
      </c>
      <c r="U366" s="147">
        <v>0</v>
      </c>
    </row>
    <row r="367" spans="1:21" x14ac:dyDescent="0.3">
      <c r="B367" s="37"/>
      <c r="C367" s="13"/>
      <c r="D367" s="283"/>
      <c r="E367" s="283"/>
      <c r="G367" s="37"/>
      <c r="H367" s="13"/>
      <c r="I367" s="283"/>
      <c r="J367" s="283"/>
      <c r="L367" s="37"/>
      <c r="M367" s="13"/>
      <c r="N367" s="283"/>
      <c r="O367" s="283"/>
      <c r="Q367" s="37"/>
      <c r="R367" s="128" t="s">
        <v>2340</v>
      </c>
      <c r="S367" s="13" t="s">
        <v>2159</v>
      </c>
      <c r="T367" s="147">
        <v>17169790</v>
      </c>
      <c r="U367" s="147">
        <v>0</v>
      </c>
    </row>
    <row r="368" spans="1:21" x14ac:dyDescent="0.3">
      <c r="B368" s="37"/>
      <c r="C368" s="13"/>
      <c r="D368" s="283"/>
      <c r="E368" s="283"/>
      <c r="G368" s="37"/>
      <c r="H368" s="13"/>
      <c r="I368" s="283"/>
      <c r="J368" s="283"/>
      <c r="L368" s="37"/>
      <c r="M368" s="13"/>
      <c r="N368" s="283"/>
      <c r="O368" s="283"/>
      <c r="Q368" s="37"/>
      <c r="R368" s="128" t="s">
        <v>2160</v>
      </c>
      <c r="S368" s="13" t="s">
        <v>2161</v>
      </c>
      <c r="T368" s="147">
        <v>11778738</v>
      </c>
      <c r="U368" s="147">
        <v>0</v>
      </c>
    </row>
    <row r="369" spans="2:21" x14ac:dyDescent="0.3">
      <c r="B369" s="37"/>
      <c r="C369" s="13"/>
      <c r="D369" s="283"/>
      <c r="E369" s="283"/>
      <c r="G369" s="37"/>
      <c r="H369" s="13"/>
      <c r="I369" s="283"/>
      <c r="J369" s="283"/>
      <c r="L369" s="37"/>
      <c r="M369" s="13"/>
      <c r="N369" s="283"/>
      <c r="O369" s="283"/>
      <c r="Q369" s="37"/>
      <c r="R369" s="128" t="s">
        <v>2162</v>
      </c>
      <c r="S369" s="13" t="s">
        <v>2163</v>
      </c>
      <c r="T369" s="147">
        <v>6131603</v>
      </c>
      <c r="U369" s="147">
        <v>0</v>
      </c>
    </row>
    <row r="370" spans="2:21" x14ac:dyDescent="0.3">
      <c r="B370" s="37"/>
      <c r="C370" s="13"/>
      <c r="D370" s="283"/>
      <c r="E370" s="283"/>
      <c r="G370" s="37"/>
      <c r="H370" s="13"/>
      <c r="I370" s="283"/>
      <c r="J370" s="283"/>
      <c r="L370" s="37"/>
      <c r="M370" s="13"/>
      <c r="N370" s="283"/>
      <c r="O370" s="283"/>
      <c r="Q370" s="37"/>
      <c r="R370" s="128" t="s">
        <v>2165</v>
      </c>
      <c r="S370" s="13" t="s">
        <v>2166</v>
      </c>
      <c r="T370" s="147">
        <v>8362825</v>
      </c>
      <c r="U370" s="147">
        <v>0</v>
      </c>
    </row>
    <row r="371" spans="2:21" x14ac:dyDescent="0.3">
      <c r="B371" s="37"/>
      <c r="C371" s="13"/>
      <c r="D371" s="283"/>
      <c r="E371" s="283"/>
      <c r="G371" s="37"/>
      <c r="H371" s="13"/>
      <c r="I371" s="283"/>
      <c r="J371" s="283"/>
      <c r="L371" s="37"/>
      <c r="M371" s="13"/>
      <c r="N371" s="283"/>
      <c r="O371" s="283"/>
      <c r="Q371" s="37"/>
      <c r="R371" s="128" t="s">
        <v>2168</v>
      </c>
      <c r="S371" s="13" t="s">
        <v>2169</v>
      </c>
      <c r="T371" s="147">
        <v>7298123</v>
      </c>
      <c r="U371" s="147">
        <v>0</v>
      </c>
    </row>
    <row r="372" spans="2:21" x14ac:dyDescent="0.3">
      <c r="B372" s="37"/>
      <c r="C372" s="13"/>
      <c r="D372" s="283"/>
      <c r="E372" s="283"/>
      <c r="G372" s="37"/>
      <c r="H372" s="13"/>
      <c r="I372" s="283"/>
      <c r="J372" s="283"/>
      <c r="L372" s="37"/>
      <c r="M372" s="13"/>
      <c r="N372" s="283"/>
      <c r="O372" s="283"/>
      <c r="Q372" s="37"/>
      <c r="R372" s="128" t="s">
        <v>3313</v>
      </c>
      <c r="S372" s="13" t="s">
        <v>2211</v>
      </c>
      <c r="T372" s="147">
        <v>6709408</v>
      </c>
      <c r="U372" s="147">
        <v>0</v>
      </c>
    </row>
    <row r="373" spans="2:21" x14ac:dyDescent="0.3">
      <c r="B373" s="37"/>
      <c r="C373" s="13"/>
      <c r="D373" s="283"/>
      <c r="E373" s="283"/>
      <c r="G373" s="37"/>
      <c r="H373" s="13"/>
      <c r="I373" s="283"/>
      <c r="J373" s="283"/>
      <c r="L373" s="37"/>
      <c r="M373" s="13"/>
      <c r="N373" s="283"/>
      <c r="O373" s="283"/>
      <c r="Q373" s="37"/>
      <c r="R373" s="128" t="s">
        <v>2212</v>
      </c>
      <c r="S373" s="13" t="s">
        <v>2213</v>
      </c>
      <c r="T373" s="147">
        <v>3841054</v>
      </c>
      <c r="U373" s="147">
        <v>0</v>
      </c>
    </row>
    <row r="374" spans="2:21" x14ac:dyDescent="0.3">
      <c r="B374" s="37"/>
      <c r="C374" s="13"/>
      <c r="D374" s="283"/>
      <c r="E374" s="283"/>
      <c r="G374" s="37"/>
      <c r="H374" s="13"/>
      <c r="I374" s="283"/>
      <c r="J374" s="283"/>
      <c r="L374" s="37"/>
      <c r="M374" s="13"/>
      <c r="N374" s="283"/>
      <c r="O374" s="283"/>
      <c r="Q374" s="37"/>
      <c r="R374" s="128" t="s">
        <v>2214</v>
      </c>
      <c r="S374" s="13" t="s">
        <v>2215</v>
      </c>
      <c r="T374" s="147">
        <v>8203766</v>
      </c>
      <c r="U374" s="147">
        <v>0</v>
      </c>
    </row>
    <row r="375" spans="2:21" x14ac:dyDescent="0.3">
      <c r="B375" s="37"/>
      <c r="C375" s="13"/>
      <c r="D375" s="283"/>
      <c r="E375" s="283"/>
      <c r="G375" s="37"/>
      <c r="H375" s="13"/>
      <c r="I375" s="283"/>
      <c r="J375" s="283"/>
      <c r="L375" s="37"/>
      <c r="M375" s="13"/>
      <c r="N375" s="283"/>
      <c r="O375" s="283"/>
      <c r="Q375" s="37"/>
      <c r="R375" s="128" t="s">
        <v>1985</v>
      </c>
      <c r="S375" s="13" t="s">
        <v>2197</v>
      </c>
      <c r="T375" s="147">
        <v>1288087</v>
      </c>
      <c r="U375" s="147">
        <v>0</v>
      </c>
    </row>
    <row r="376" spans="2:21" x14ac:dyDescent="0.3">
      <c r="B376" s="37"/>
      <c r="C376" s="13"/>
      <c r="D376" s="283"/>
      <c r="E376" s="283"/>
      <c r="G376" s="37"/>
      <c r="H376" s="13"/>
      <c r="I376" s="283"/>
      <c r="J376" s="283"/>
      <c r="L376" s="37"/>
      <c r="M376" s="13"/>
      <c r="N376" s="283"/>
      <c r="O376" s="283"/>
      <c r="Q376" s="37"/>
      <c r="R376" s="128" t="s">
        <v>1895</v>
      </c>
      <c r="S376" s="13" t="s">
        <v>2174</v>
      </c>
      <c r="T376" s="147">
        <v>7807371</v>
      </c>
      <c r="U376" s="147">
        <v>0</v>
      </c>
    </row>
    <row r="377" spans="2:21" x14ac:dyDescent="0.3">
      <c r="B377" s="37"/>
      <c r="C377" s="13"/>
      <c r="D377" s="283"/>
      <c r="E377" s="283"/>
      <c r="G377" s="37"/>
      <c r="H377" s="13"/>
      <c r="I377" s="283"/>
      <c r="J377" s="283"/>
      <c r="L377" s="37"/>
      <c r="M377" s="13"/>
      <c r="N377" s="283"/>
      <c r="O377" s="283"/>
      <c r="Q377" s="37"/>
      <c r="R377" s="128" t="s">
        <v>2177</v>
      </c>
      <c r="S377" s="13" t="s">
        <v>2341</v>
      </c>
      <c r="T377" s="147">
        <v>5040308</v>
      </c>
      <c r="U377" s="147">
        <v>0</v>
      </c>
    </row>
    <row r="378" spans="2:21" x14ac:dyDescent="0.3">
      <c r="B378" s="37"/>
      <c r="C378" s="13"/>
      <c r="D378" s="283"/>
      <c r="E378" s="283"/>
      <c r="G378" s="37"/>
      <c r="H378" s="13"/>
      <c r="I378" s="283"/>
      <c r="J378" s="283"/>
      <c r="L378" s="37"/>
      <c r="M378" s="13"/>
      <c r="N378" s="283"/>
      <c r="O378" s="283"/>
      <c r="Q378" s="37"/>
      <c r="R378" s="128" t="s">
        <v>2183</v>
      </c>
      <c r="S378" s="13" t="s">
        <v>2182</v>
      </c>
      <c r="T378" s="147">
        <v>17423965</v>
      </c>
      <c r="U378" s="147">
        <v>0</v>
      </c>
    </row>
    <row r="379" spans="2:21" x14ac:dyDescent="0.3">
      <c r="B379" s="37"/>
      <c r="C379" s="13"/>
      <c r="D379" s="283"/>
      <c r="E379" s="283"/>
      <c r="G379" s="37"/>
      <c r="H379" s="13"/>
      <c r="I379" s="283"/>
      <c r="J379" s="283"/>
      <c r="L379" s="37"/>
      <c r="M379" s="13"/>
      <c r="N379" s="283"/>
      <c r="O379" s="283"/>
      <c r="Q379" s="37"/>
      <c r="R379" s="128" t="s">
        <v>2185</v>
      </c>
      <c r="S379" s="13" t="s">
        <v>2184</v>
      </c>
      <c r="T379" s="147">
        <v>10547760</v>
      </c>
      <c r="U379" s="147">
        <v>0</v>
      </c>
    </row>
    <row r="380" spans="2:21" x14ac:dyDescent="0.3">
      <c r="B380" s="37"/>
      <c r="C380" s="13"/>
      <c r="D380" s="283"/>
      <c r="E380" s="283"/>
      <c r="G380" s="37"/>
      <c r="H380" s="13"/>
      <c r="I380" s="283"/>
      <c r="J380" s="283"/>
      <c r="L380" s="37"/>
      <c r="M380" s="13"/>
      <c r="N380" s="283"/>
      <c r="O380" s="283"/>
      <c r="Q380" s="37"/>
      <c r="R380" s="128" t="s">
        <v>2187</v>
      </c>
      <c r="S380" s="13" t="s">
        <v>2186</v>
      </c>
      <c r="T380" s="147">
        <v>10084336</v>
      </c>
      <c r="U380" s="147">
        <v>0</v>
      </c>
    </row>
    <row r="381" spans="2:21" x14ac:dyDescent="0.3">
      <c r="B381" s="37"/>
      <c r="C381" s="13"/>
      <c r="D381" s="283"/>
      <c r="E381" s="283"/>
      <c r="G381" s="37"/>
      <c r="H381" s="13"/>
      <c r="I381" s="283"/>
      <c r="J381" s="283"/>
      <c r="L381" s="37"/>
      <c r="M381" s="13"/>
      <c r="N381" s="283"/>
      <c r="O381" s="283"/>
      <c r="Q381" s="37"/>
      <c r="R381" s="128" t="s">
        <v>2342</v>
      </c>
      <c r="S381" s="13" t="s">
        <v>2188</v>
      </c>
      <c r="T381" s="147">
        <v>2801290</v>
      </c>
      <c r="U381" s="147">
        <v>0</v>
      </c>
    </row>
    <row r="382" spans="2:21" x14ac:dyDescent="0.3">
      <c r="B382" s="37"/>
      <c r="C382" s="13"/>
      <c r="D382" s="283"/>
      <c r="E382" s="283"/>
      <c r="G382" s="37"/>
      <c r="H382" s="13"/>
      <c r="I382" s="283"/>
      <c r="J382" s="283"/>
      <c r="L382" s="37"/>
      <c r="M382" s="13"/>
      <c r="N382" s="283"/>
      <c r="O382" s="283"/>
      <c r="Q382" s="37"/>
      <c r="R382" s="128" t="s">
        <v>2190</v>
      </c>
      <c r="S382" s="13" t="s">
        <v>2189</v>
      </c>
      <c r="T382" s="147">
        <v>6150803</v>
      </c>
      <c r="U382" s="147">
        <v>0</v>
      </c>
    </row>
    <row r="383" spans="2:21" x14ac:dyDescent="0.3">
      <c r="B383" s="37"/>
      <c r="C383" s="13"/>
      <c r="D383" s="283"/>
      <c r="E383" s="283"/>
      <c r="G383" s="37"/>
      <c r="H383" s="13"/>
      <c r="I383" s="283"/>
      <c r="J383" s="283"/>
      <c r="L383" s="37"/>
      <c r="M383" s="13"/>
      <c r="N383" s="283"/>
      <c r="O383" s="283"/>
      <c r="Q383" s="37"/>
      <c r="R383" s="128" t="s">
        <v>2192</v>
      </c>
      <c r="S383" s="13" t="s">
        <v>2191</v>
      </c>
      <c r="T383" s="147">
        <v>4905155</v>
      </c>
      <c r="U383" s="147">
        <v>0</v>
      </c>
    </row>
    <row r="384" spans="2:21" x14ac:dyDescent="0.3">
      <c r="B384" s="37"/>
      <c r="C384" s="13"/>
      <c r="D384" s="283"/>
      <c r="E384" s="283"/>
      <c r="G384" s="37"/>
      <c r="H384" s="13"/>
      <c r="I384" s="283"/>
      <c r="J384" s="283"/>
      <c r="L384" s="37"/>
      <c r="M384" s="13"/>
      <c r="N384" s="283"/>
      <c r="O384" s="283"/>
      <c r="Q384" s="37"/>
      <c r="R384" s="128" t="s">
        <v>1896</v>
      </c>
      <c r="S384" s="13" t="s">
        <v>2193</v>
      </c>
      <c r="T384" s="147">
        <v>6806896</v>
      </c>
      <c r="U384" s="147">
        <v>0</v>
      </c>
    </row>
    <row r="385" spans="2:21" x14ac:dyDescent="0.3">
      <c r="B385" s="37"/>
      <c r="C385" s="13"/>
      <c r="D385" s="283"/>
      <c r="E385" s="283"/>
      <c r="G385" s="37"/>
      <c r="H385" s="13"/>
      <c r="I385" s="283"/>
      <c r="J385" s="283"/>
      <c r="L385" s="37"/>
      <c r="M385" s="13"/>
      <c r="N385" s="283"/>
      <c r="O385" s="283"/>
      <c r="Q385" s="37"/>
      <c r="R385" s="128" t="s">
        <v>3291</v>
      </c>
      <c r="S385" s="13" t="s">
        <v>2171</v>
      </c>
      <c r="T385" s="147">
        <v>1106500</v>
      </c>
      <c r="U385" s="147">
        <v>0</v>
      </c>
    </row>
    <row r="386" spans="2:21" x14ac:dyDescent="0.3">
      <c r="B386" s="37"/>
      <c r="C386" s="13"/>
      <c r="D386" s="283"/>
      <c r="E386" s="283"/>
      <c r="G386" s="37"/>
      <c r="H386" s="13"/>
      <c r="I386" s="283"/>
      <c r="J386" s="283"/>
      <c r="L386" s="37"/>
      <c r="M386" s="13"/>
      <c r="N386" s="283"/>
      <c r="O386" s="283"/>
      <c r="Q386" s="37"/>
      <c r="R386" s="128" t="s">
        <v>1898</v>
      </c>
      <c r="S386" s="13" t="s">
        <v>2218</v>
      </c>
      <c r="T386" s="147">
        <v>4991733</v>
      </c>
      <c r="U386" s="147">
        <v>0</v>
      </c>
    </row>
    <row r="387" spans="2:21" x14ac:dyDescent="0.3">
      <c r="B387" s="37"/>
      <c r="C387" s="13"/>
      <c r="D387" s="283"/>
      <c r="E387" s="283"/>
      <c r="G387" s="37"/>
      <c r="H387" s="13"/>
      <c r="I387" s="283"/>
      <c r="J387" s="283"/>
      <c r="L387" s="37"/>
      <c r="M387" s="13"/>
      <c r="N387" s="283"/>
      <c r="O387" s="283"/>
      <c r="Q387" s="37"/>
      <c r="R387" s="128" t="s">
        <v>2219</v>
      </c>
      <c r="S387" s="13" t="s">
        <v>2220</v>
      </c>
      <c r="T387" s="147">
        <v>4394086</v>
      </c>
      <c r="U387" s="147">
        <v>0</v>
      </c>
    </row>
    <row r="388" spans="2:21" x14ac:dyDescent="0.3">
      <c r="B388" s="37"/>
      <c r="C388" s="13"/>
      <c r="D388" s="283"/>
      <c r="E388" s="283"/>
      <c r="G388" s="37"/>
      <c r="H388" s="13"/>
      <c r="I388" s="283"/>
      <c r="J388" s="283"/>
      <c r="L388" s="37"/>
      <c r="M388" s="13"/>
      <c r="N388" s="283"/>
      <c r="O388" s="283"/>
      <c r="Q388" s="37"/>
      <c r="R388" s="128" t="s">
        <v>2221</v>
      </c>
      <c r="S388" s="13" t="s">
        <v>2222</v>
      </c>
      <c r="T388" s="147">
        <v>2248994</v>
      </c>
      <c r="U388" s="147">
        <v>0</v>
      </c>
    </row>
    <row r="389" spans="2:21" x14ac:dyDescent="0.3">
      <c r="B389" s="37"/>
      <c r="C389" s="13"/>
      <c r="D389" s="283"/>
      <c r="E389" s="283"/>
      <c r="G389" s="37"/>
      <c r="H389" s="13"/>
      <c r="I389" s="283"/>
      <c r="J389" s="283"/>
      <c r="L389" s="37"/>
      <c r="M389" s="13"/>
      <c r="N389" s="283"/>
      <c r="O389" s="283"/>
      <c r="Q389" s="37"/>
      <c r="R389" s="128" t="s">
        <v>2223</v>
      </c>
      <c r="S389" s="13" t="s">
        <v>2224</v>
      </c>
      <c r="T389" s="147">
        <v>2888217</v>
      </c>
      <c r="U389" s="147">
        <v>0</v>
      </c>
    </row>
    <row r="390" spans="2:21" x14ac:dyDescent="0.3">
      <c r="B390" s="37"/>
      <c r="C390" s="13"/>
      <c r="D390" s="283"/>
      <c r="E390" s="283"/>
      <c r="G390" s="37"/>
      <c r="H390" s="13"/>
      <c r="I390" s="283"/>
      <c r="J390" s="283"/>
      <c r="L390" s="37"/>
      <c r="M390" s="13"/>
      <c r="N390" s="283"/>
      <c r="O390" s="283"/>
      <c r="Q390" s="37"/>
      <c r="R390" s="128" t="s">
        <v>2226</v>
      </c>
      <c r="S390" s="13" t="s">
        <v>2227</v>
      </c>
      <c r="T390" s="147">
        <v>1766260</v>
      </c>
      <c r="U390" s="147">
        <v>0</v>
      </c>
    </row>
    <row r="391" spans="2:21" x14ac:dyDescent="0.3">
      <c r="B391" s="37"/>
      <c r="C391" s="13"/>
      <c r="D391" s="283"/>
      <c r="E391" s="283"/>
      <c r="G391" s="37"/>
      <c r="H391" s="13"/>
      <c r="I391" s="283"/>
      <c r="J391" s="283"/>
      <c r="L391" s="37"/>
      <c r="M391" s="13"/>
      <c r="N391" s="283"/>
      <c r="O391" s="283"/>
      <c r="Q391" s="195">
        <v>30010002</v>
      </c>
      <c r="R391" s="196"/>
      <c r="S391" s="197" t="s">
        <v>951</v>
      </c>
      <c r="T391" s="193">
        <f>SUM(T392:T431)-SUM(U392:U431)</f>
        <v>361550038.53999996</v>
      </c>
      <c r="U391" s="194">
        <v>0</v>
      </c>
    </row>
    <row r="392" spans="2:21" x14ac:dyDescent="0.3">
      <c r="B392" s="37"/>
      <c r="C392" s="13"/>
      <c r="D392" s="283"/>
      <c r="E392" s="283"/>
      <c r="G392" s="37"/>
      <c r="H392" s="13"/>
      <c r="I392" s="283"/>
      <c r="J392" s="283"/>
      <c r="L392" s="37"/>
      <c r="M392" s="13"/>
      <c r="N392" s="283"/>
      <c r="O392" s="283"/>
      <c r="Q392" s="37"/>
      <c r="R392" s="128" t="s">
        <v>1931</v>
      </c>
      <c r="S392" s="13" t="s">
        <v>1932</v>
      </c>
      <c r="T392" s="147">
        <v>781331</v>
      </c>
      <c r="U392" s="147">
        <v>0</v>
      </c>
    </row>
    <row r="393" spans="2:21" x14ac:dyDescent="0.3">
      <c r="B393" s="37"/>
      <c r="C393" s="13"/>
      <c r="D393" s="283"/>
      <c r="E393" s="283"/>
      <c r="G393" s="37"/>
      <c r="H393" s="13"/>
      <c r="I393" s="283"/>
      <c r="J393" s="283"/>
      <c r="L393" s="37"/>
      <c r="M393" s="13"/>
      <c r="N393" s="283"/>
      <c r="O393" s="283"/>
      <c r="Q393" s="37"/>
      <c r="R393" s="128" t="s">
        <v>1933</v>
      </c>
      <c r="S393" s="13" t="s">
        <v>2195</v>
      </c>
      <c r="T393" s="147">
        <v>71500</v>
      </c>
      <c r="U393" s="147">
        <v>0</v>
      </c>
    </row>
    <row r="394" spans="2:21" x14ac:dyDescent="0.3">
      <c r="B394" s="37"/>
      <c r="C394" s="13"/>
      <c r="D394" s="283"/>
      <c r="E394" s="283"/>
      <c r="G394" s="37"/>
      <c r="H394" s="13"/>
      <c r="I394" s="283"/>
      <c r="J394" s="283"/>
      <c r="L394" s="37"/>
      <c r="M394" s="13"/>
      <c r="N394" s="283"/>
      <c r="O394" s="283"/>
      <c r="Q394" s="37"/>
      <c r="R394" s="128" t="s">
        <v>1934</v>
      </c>
      <c r="S394" s="13" t="s">
        <v>2196</v>
      </c>
      <c r="T394" s="147">
        <v>13000</v>
      </c>
      <c r="U394" s="147">
        <v>0</v>
      </c>
    </row>
    <row r="395" spans="2:21" x14ac:dyDescent="0.3">
      <c r="B395" s="37"/>
      <c r="C395" s="13"/>
      <c r="D395" s="283"/>
      <c r="E395" s="283"/>
      <c r="G395" s="37"/>
      <c r="H395" s="13"/>
      <c r="I395" s="283"/>
      <c r="J395" s="283"/>
      <c r="L395" s="37"/>
      <c r="M395" s="13"/>
      <c r="N395" s="283"/>
      <c r="O395" s="283"/>
      <c r="Q395" s="37"/>
      <c r="R395" s="128" t="s">
        <v>2138</v>
      </c>
      <c r="S395" s="13" t="s">
        <v>7</v>
      </c>
      <c r="T395" s="147">
        <v>6557569</v>
      </c>
      <c r="U395" s="147">
        <v>0</v>
      </c>
    </row>
    <row r="396" spans="2:21" x14ac:dyDescent="0.3">
      <c r="B396" s="37"/>
      <c r="C396" s="13"/>
      <c r="D396" s="283"/>
      <c r="E396" s="283"/>
      <c r="G396" s="37"/>
      <c r="H396" s="13"/>
      <c r="I396" s="283"/>
      <c r="J396" s="283"/>
      <c r="L396" s="37"/>
      <c r="M396" s="13"/>
      <c r="N396" s="283"/>
      <c r="O396" s="283"/>
      <c r="Q396" s="37"/>
      <c r="R396" s="128" t="s">
        <v>2152</v>
      </c>
      <c r="S396" s="13" t="s">
        <v>2153</v>
      </c>
      <c r="T396" s="147">
        <v>6394154</v>
      </c>
      <c r="U396" s="147">
        <v>0</v>
      </c>
    </row>
    <row r="397" spans="2:21" x14ac:dyDescent="0.3">
      <c r="B397" s="37"/>
      <c r="C397" s="13"/>
      <c r="D397" s="283"/>
      <c r="E397" s="283"/>
      <c r="G397" s="37"/>
      <c r="H397" s="13"/>
      <c r="I397" s="283"/>
      <c r="J397" s="283"/>
      <c r="L397" s="37"/>
      <c r="M397" s="13"/>
      <c r="N397" s="283"/>
      <c r="O397" s="283"/>
      <c r="Q397" s="37"/>
      <c r="R397" s="128" t="s">
        <v>2154</v>
      </c>
      <c r="S397" s="13" t="s">
        <v>2155</v>
      </c>
      <c r="T397" s="147">
        <v>84200</v>
      </c>
      <c r="U397" s="147">
        <v>0</v>
      </c>
    </row>
    <row r="398" spans="2:21" x14ac:dyDescent="0.3">
      <c r="B398" s="37"/>
      <c r="C398" s="13"/>
      <c r="D398" s="283"/>
      <c r="E398" s="283"/>
      <c r="G398" s="37"/>
      <c r="H398" s="13"/>
      <c r="I398" s="283"/>
      <c r="J398" s="283"/>
      <c r="L398" s="37"/>
      <c r="M398" s="13"/>
      <c r="N398" s="283"/>
      <c r="O398" s="283"/>
      <c r="Q398" s="37"/>
      <c r="R398" s="128" t="s">
        <v>2156</v>
      </c>
      <c r="S398" s="13" t="s">
        <v>2157</v>
      </c>
      <c r="T398" s="147">
        <v>38386387.789999999</v>
      </c>
      <c r="U398" s="147">
        <v>0</v>
      </c>
    </row>
    <row r="399" spans="2:21" x14ac:dyDescent="0.3">
      <c r="B399" s="37"/>
      <c r="C399" s="13"/>
      <c r="D399" s="283"/>
      <c r="E399" s="283"/>
      <c r="G399" s="37"/>
      <c r="H399" s="13"/>
      <c r="I399" s="283"/>
      <c r="J399" s="283"/>
      <c r="L399" s="37"/>
      <c r="M399" s="13"/>
      <c r="N399" s="283"/>
      <c r="O399" s="283"/>
      <c r="Q399" s="37"/>
      <c r="R399" s="128" t="s">
        <v>2199</v>
      </c>
      <c r="S399" s="13" t="s">
        <v>2200</v>
      </c>
      <c r="T399" s="147">
        <v>19292014</v>
      </c>
      <c r="U399" s="147">
        <v>0</v>
      </c>
    </row>
    <row r="400" spans="2:21" x14ac:dyDescent="0.3">
      <c r="B400" s="37"/>
      <c r="C400" s="13"/>
      <c r="D400" s="283"/>
      <c r="E400" s="283"/>
      <c r="G400" s="37"/>
      <c r="H400" s="13"/>
      <c r="I400" s="283"/>
      <c r="J400" s="283"/>
      <c r="L400" s="37"/>
      <c r="M400" s="13"/>
      <c r="N400" s="283"/>
      <c r="O400" s="283"/>
      <c r="Q400" s="37"/>
      <c r="R400" s="128" t="s">
        <v>2201</v>
      </c>
      <c r="S400" s="13" t="s">
        <v>2202</v>
      </c>
      <c r="T400" s="147">
        <v>9236745</v>
      </c>
      <c r="U400" s="147">
        <v>0</v>
      </c>
    </row>
    <row r="401" spans="2:21" x14ac:dyDescent="0.3">
      <c r="B401" s="37"/>
      <c r="C401" s="13"/>
      <c r="D401" s="283"/>
      <c r="E401" s="283"/>
      <c r="G401" s="37"/>
      <c r="H401" s="13"/>
      <c r="I401" s="283"/>
      <c r="J401" s="283"/>
      <c r="L401" s="37"/>
      <c r="M401" s="13"/>
      <c r="N401" s="283"/>
      <c r="O401" s="283"/>
      <c r="Q401" s="37"/>
      <c r="R401" s="128" t="s">
        <v>2205</v>
      </c>
      <c r="S401" s="13" t="s">
        <v>2206</v>
      </c>
      <c r="T401" s="147">
        <v>11001285</v>
      </c>
      <c r="U401" s="147">
        <v>0</v>
      </c>
    </row>
    <row r="402" spans="2:21" x14ac:dyDescent="0.3">
      <c r="B402" s="37"/>
      <c r="C402" s="13"/>
      <c r="D402" s="283"/>
      <c r="E402" s="283"/>
      <c r="G402" s="37"/>
      <c r="H402" s="13"/>
      <c r="I402" s="283"/>
      <c r="J402" s="283"/>
      <c r="L402" s="37"/>
      <c r="M402" s="13"/>
      <c r="N402" s="283"/>
      <c r="O402" s="283"/>
      <c r="Q402" s="37"/>
      <c r="R402" s="128" t="s">
        <v>2207</v>
      </c>
      <c r="S402" s="13" t="s">
        <v>2208</v>
      </c>
      <c r="T402" s="147">
        <v>17797658</v>
      </c>
      <c r="U402" s="147">
        <v>0</v>
      </c>
    </row>
    <row r="403" spans="2:21" x14ac:dyDescent="0.3">
      <c r="B403" s="37"/>
      <c r="C403" s="13"/>
      <c r="D403" s="283"/>
      <c r="E403" s="283"/>
      <c r="G403" s="37"/>
      <c r="H403" s="13"/>
      <c r="I403" s="283"/>
      <c r="J403" s="283"/>
      <c r="L403" s="37"/>
      <c r="M403" s="13"/>
      <c r="N403" s="283"/>
      <c r="O403" s="283"/>
      <c r="Q403" s="37"/>
      <c r="R403" s="128" t="s">
        <v>2209</v>
      </c>
      <c r="S403" s="13" t="s">
        <v>2210</v>
      </c>
      <c r="T403" s="147">
        <v>36334370</v>
      </c>
      <c r="U403" s="147">
        <v>0</v>
      </c>
    </row>
    <row r="404" spans="2:21" x14ac:dyDescent="0.3">
      <c r="B404" s="37"/>
      <c r="C404" s="13"/>
      <c r="D404" s="283"/>
      <c r="E404" s="283"/>
      <c r="G404" s="37"/>
      <c r="H404" s="13"/>
      <c r="I404" s="283"/>
      <c r="J404" s="283"/>
      <c r="L404" s="37"/>
      <c r="M404" s="13"/>
      <c r="N404" s="283"/>
      <c r="O404" s="283"/>
      <c r="Q404" s="37"/>
      <c r="R404" s="128" t="s">
        <v>2340</v>
      </c>
      <c r="S404" s="13" t="s">
        <v>2159</v>
      </c>
      <c r="T404" s="147">
        <v>13298237</v>
      </c>
      <c r="U404" s="147">
        <v>0</v>
      </c>
    </row>
    <row r="405" spans="2:21" x14ac:dyDescent="0.3">
      <c r="B405" s="37"/>
      <c r="C405" s="13"/>
      <c r="D405" s="283"/>
      <c r="E405" s="283"/>
      <c r="G405" s="37"/>
      <c r="H405" s="13"/>
      <c r="I405" s="283"/>
      <c r="J405" s="283"/>
      <c r="L405" s="37"/>
      <c r="M405" s="13"/>
      <c r="N405" s="283"/>
      <c r="O405" s="283"/>
      <c r="Q405" s="37"/>
      <c r="R405" s="128" t="s">
        <v>2160</v>
      </c>
      <c r="S405" s="13" t="s">
        <v>2161</v>
      </c>
      <c r="T405" s="147">
        <v>12145885.75</v>
      </c>
      <c r="U405" s="147">
        <v>0</v>
      </c>
    </row>
    <row r="406" spans="2:21" x14ac:dyDescent="0.3">
      <c r="B406" s="37"/>
      <c r="C406" s="13"/>
      <c r="D406" s="283"/>
      <c r="E406" s="283"/>
      <c r="G406" s="37"/>
      <c r="H406" s="13"/>
      <c r="I406" s="283"/>
      <c r="J406" s="283"/>
      <c r="L406" s="37"/>
      <c r="M406" s="13"/>
      <c r="N406" s="283"/>
      <c r="O406" s="283"/>
      <c r="Q406" s="37"/>
      <c r="R406" s="128" t="s">
        <v>2162</v>
      </c>
      <c r="S406" s="13" t="s">
        <v>2163</v>
      </c>
      <c r="T406" s="147">
        <v>7169073</v>
      </c>
      <c r="U406" s="147">
        <v>0</v>
      </c>
    </row>
    <row r="407" spans="2:21" x14ac:dyDescent="0.3">
      <c r="B407" s="37"/>
      <c r="C407" s="13"/>
      <c r="D407" s="283"/>
      <c r="E407" s="283"/>
      <c r="G407" s="37"/>
      <c r="H407" s="13"/>
      <c r="I407" s="283"/>
      <c r="J407" s="283"/>
      <c r="L407" s="37"/>
      <c r="M407" s="13"/>
      <c r="N407" s="283"/>
      <c r="O407" s="283"/>
      <c r="Q407" s="37"/>
      <c r="R407" s="128" t="s">
        <v>2165</v>
      </c>
      <c r="S407" s="13" t="s">
        <v>2166</v>
      </c>
      <c r="T407" s="147">
        <v>7452062</v>
      </c>
      <c r="U407" s="147">
        <v>0</v>
      </c>
    </row>
    <row r="408" spans="2:21" x14ac:dyDescent="0.3">
      <c r="B408" s="37"/>
      <c r="C408" s="13"/>
      <c r="D408" s="283"/>
      <c r="E408" s="283"/>
      <c r="G408" s="37"/>
      <c r="H408" s="13"/>
      <c r="I408" s="283"/>
      <c r="J408" s="283"/>
      <c r="L408" s="37"/>
      <c r="M408" s="13"/>
      <c r="N408" s="283"/>
      <c r="O408" s="283"/>
      <c r="Q408" s="37"/>
      <c r="R408" s="128" t="s">
        <v>2168</v>
      </c>
      <c r="S408" s="13" t="s">
        <v>2169</v>
      </c>
      <c r="T408" s="147">
        <v>102094</v>
      </c>
      <c r="U408" s="147">
        <v>0</v>
      </c>
    </row>
    <row r="409" spans="2:21" x14ac:dyDescent="0.3">
      <c r="B409" s="37"/>
      <c r="C409" s="13"/>
      <c r="D409" s="283"/>
      <c r="E409" s="283"/>
      <c r="G409" s="37"/>
      <c r="H409" s="13"/>
      <c r="I409" s="283"/>
      <c r="J409" s="283"/>
      <c r="L409" s="37"/>
      <c r="M409" s="13"/>
      <c r="N409" s="283"/>
      <c r="O409" s="283"/>
      <c r="Q409" s="37"/>
      <c r="R409" s="128" t="s">
        <v>3313</v>
      </c>
      <c r="S409" s="13" t="s">
        <v>2211</v>
      </c>
      <c r="T409" s="147">
        <v>21921644</v>
      </c>
      <c r="U409" s="147">
        <v>0</v>
      </c>
    </row>
    <row r="410" spans="2:21" x14ac:dyDescent="0.3">
      <c r="B410" s="37"/>
      <c r="C410" s="13"/>
      <c r="D410" s="283"/>
      <c r="E410" s="283"/>
      <c r="G410" s="37"/>
      <c r="H410" s="13"/>
      <c r="I410" s="283"/>
      <c r="J410" s="283"/>
      <c r="L410" s="37"/>
      <c r="M410" s="13"/>
      <c r="N410" s="283"/>
      <c r="O410" s="283"/>
      <c r="Q410" s="37"/>
      <c r="R410" s="128" t="s">
        <v>2212</v>
      </c>
      <c r="S410" s="13" t="s">
        <v>2213</v>
      </c>
      <c r="T410" s="147">
        <v>18763616</v>
      </c>
      <c r="U410" s="147">
        <v>0</v>
      </c>
    </row>
    <row r="411" spans="2:21" x14ac:dyDescent="0.3">
      <c r="B411" s="37"/>
      <c r="C411" s="13"/>
      <c r="D411" s="283"/>
      <c r="E411" s="283"/>
      <c r="G411" s="37"/>
      <c r="H411" s="13"/>
      <c r="I411" s="283"/>
      <c r="J411" s="283"/>
      <c r="L411" s="37"/>
      <c r="M411" s="13"/>
      <c r="N411" s="283"/>
      <c r="O411" s="283"/>
      <c r="Q411" s="37"/>
      <c r="R411" s="128" t="s">
        <v>2214</v>
      </c>
      <c r="S411" s="13" t="s">
        <v>2215</v>
      </c>
      <c r="T411" s="147">
        <v>12681093</v>
      </c>
      <c r="U411" s="147">
        <v>0</v>
      </c>
    </row>
    <row r="412" spans="2:21" x14ac:dyDescent="0.3">
      <c r="B412" s="37"/>
      <c r="C412" s="13"/>
      <c r="D412" s="283"/>
      <c r="E412" s="283"/>
      <c r="G412" s="37"/>
      <c r="H412" s="13"/>
      <c r="I412" s="283"/>
      <c r="J412" s="283"/>
      <c r="L412" s="37"/>
      <c r="M412" s="13"/>
      <c r="N412" s="283"/>
      <c r="O412" s="283"/>
      <c r="Q412" s="37"/>
      <c r="R412" s="128" t="s">
        <v>1985</v>
      </c>
      <c r="S412" s="13" t="s">
        <v>2197</v>
      </c>
      <c r="T412" s="147">
        <v>13500</v>
      </c>
      <c r="U412" s="147">
        <v>0</v>
      </c>
    </row>
    <row r="413" spans="2:21" x14ac:dyDescent="0.3">
      <c r="B413" s="37"/>
      <c r="C413" s="13"/>
      <c r="D413" s="283"/>
      <c r="E413" s="283"/>
      <c r="G413" s="37"/>
      <c r="H413" s="13"/>
      <c r="I413" s="283"/>
      <c r="J413" s="283"/>
      <c r="L413" s="37"/>
      <c r="M413" s="13"/>
      <c r="N413" s="283"/>
      <c r="O413" s="283"/>
      <c r="Q413" s="37"/>
      <c r="R413" s="128" t="s">
        <v>1895</v>
      </c>
      <c r="S413" s="13" t="s">
        <v>2174</v>
      </c>
      <c r="T413" s="147">
        <v>7539150</v>
      </c>
      <c r="U413" s="147">
        <v>0</v>
      </c>
    </row>
    <row r="414" spans="2:21" x14ac:dyDescent="0.3">
      <c r="B414" s="37"/>
      <c r="C414" s="13"/>
      <c r="D414" s="283"/>
      <c r="E414" s="283"/>
      <c r="G414" s="37"/>
      <c r="H414" s="13"/>
      <c r="I414" s="283"/>
      <c r="J414" s="283"/>
      <c r="L414" s="37"/>
      <c r="M414" s="13"/>
      <c r="N414" s="283"/>
      <c r="O414" s="283"/>
      <c r="Q414" s="37"/>
      <c r="R414" s="128" t="s">
        <v>2177</v>
      </c>
      <c r="S414" s="13" t="s">
        <v>2341</v>
      </c>
      <c r="T414" s="147">
        <v>9455834</v>
      </c>
      <c r="U414" s="147">
        <v>0</v>
      </c>
    </row>
    <row r="415" spans="2:21" x14ac:dyDescent="0.3">
      <c r="B415" s="37"/>
      <c r="C415" s="13"/>
      <c r="D415" s="283"/>
      <c r="E415" s="283"/>
      <c r="G415" s="37"/>
      <c r="H415" s="13"/>
      <c r="I415" s="283"/>
      <c r="J415" s="283"/>
      <c r="L415" s="37"/>
      <c r="M415" s="13"/>
      <c r="N415" s="283"/>
      <c r="O415" s="283"/>
      <c r="Q415" s="37"/>
      <c r="R415" s="128" t="s">
        <v>2183</v>
      </c>
      <c r="S415" s="13" t="s">
        <v>2182</v>
      </c>
      <c r="T415" s="147">
        <v>13615866</v>
      </c>
      <c r="U415" s="147">
        <v>0</v>
      </c>
    </row>
    <row r="416" spans="2:21" x14ac:dyDescent="0.3">
      <c r="B416" s="37"/>
      <c r="C416" s="13"/>
      <c r="D416" s="283"/>
      <c r="E416" s="283"/>
      <c r="G416" s="37"/>
      <c r="H416" s="13"/>
      <c r="I416" s="283"/>
      <c r="J416" s="283"/>
      <c r="L416" s="37"/>
      <c r="M416" s="13"/>
      <c r="N416" s="283"/>
      <c r="O416" s="283"/>
      <c r="Q416" s="37"/>
      <c r="R416" s="128" t="s">
        <v>2185</v>
      </c>
      <c r="S416" s="13" t="s">
        <v>2184</v>
      </c>
      <c r="T416" s="147">
        <v>2822763</v>
      </c>
      <c r="U416" s="147">
        <v>0</v>
      </c>
    </row>
    <row r="417" spans="2:21" x14ac:dyDescent="0.3">
      <c r="B417" s="37"/>
      <c r="C417" s="13"/>
      <c r="D417" s="283"/>
      <c r="E417" s="283"/>
      <c r="G417" s="37"/>
      <c r="H417" s="13"/>
      <c r="I417" s="283"/>
      <c r="J417" s="283"/>
      <c r="L417" s="37"/>
      <c r="M417" s="13"/>
      <c r="N417" s="283"/>
      <c r="O417" s="283"/>
      <c r="Q417" s="37"/>
      <c r="R417" s="128" t="s">
        <v>2185</v>
      </c>
      <c r="S417" s="13" t="s">
        <v>2184</v>
      </c>
      <c r="T417" s="147">
        <v>7203316</v>
      </c>
      <c r="U417" s="147">
        <v>0</v>
      </c>
    </row>
    <row r="418" spans="2:21" x14ac:dyDescent="0.3">
      <c r="B418" s="37"/>
      <c r="C418" s="13"/>
      <c r="D418" s="283"/>
      <c r="E418" s="283"/>
      <c r="G418" s="37"/>
      <c r="H418" s="13"/>
      <c r="I418" s="283"/>
      <c r="J418" s="283"/>
      <c r="L418" s="37"/>
      <c r="M418" s="13"/>
      <c r="N418" s="283"/>
      <c r="O418" s="283"/>
      <c r="Q418" s="37"/>
      <c r="R418" s="128" t="s">
        <v>2187</v>
      </c>
      <c r="S418" s="13" t="s">
        <v>2186</v>
      </c>
      <c r="T418" s="147">
        <v>14197933</v>
      </c>
      <c r="U418" s="147">
        <v>0</v>
      </c>
    </row>
    <row r="419" spans="2:21" x14ac:dyDescent="0.3">
      <c r="B419" s="37"/>
      <c r="C419" s="13"/>
      <c r="D419" s="283"/>
      <c r="E419" s="283"/>
      <c r="G419" s="37"/>
      <c r="H419" s="13"/>
      <c r="I419" s="283"/>
      <c r="J419" s="283"/>
      <c r="L419" s="37"/>
      <c r="M419" s="13"/>
      <c r="N419" s="283"/>
      <c r="O419" s="283"/>
      <c r="Q419" s="37"/>
      <c r="R419" s="128" t="s">
        <v>2342</v>
      </c>
      <c r="S419" s="13" t="s">
        <v>2188</v>
      </c>
      <c r="T419" s="147">
        <v>9125154</v>
      </c>
      <c r="U419" s="147">
        <v>0</v>
      </c>
    </row>
    <row r="420" spans="2:21" x14ac:dyDescent="0.3">
      <c r="B420" s="37"/>
      <c r="C420" s="13"/>
      <c r="D420" s="283"/>
      <c r="E420" s="283"/>
      <c r="G420" s="37"/>
      <c r="H420" s="13"/>
      <c r="I420" s="283"/>
      <c r="J420" s="283"/>
      <c r="L420" s="37"/>
      <c r="M420" s="13"/>
      <c r="N420" s="283"/>
      <c r="O420" s="283"/>
      <c r="Q420" s="37"/>
      <c r="R420" s="128" t="s">
        <v>2190</v>
      </c>
      <c r="S420" s="13" t="s">
        <v>2189</v>
      </c>
      <c r="T420" s="147">
        <v>19623893</v>
      </c>
      <c r="U420" s="147">
        <v>0</v>
      </c>
    </row>
    <row r="421" spans="2:21" x14ac:dyDescent="0.3">
      <c r="B421" s="37"/>
      <c r="C421" s="13"/>
      <c r="D421" s="283"/>
      <c r="E421" s="283"/>
      <c r="G421" s="37"/>
      <c r="H421" s="13"/>
      <c r="I421" s="283"/>
      <c r="J421" s="283"/>
      <c r="L421" s="37"/>
      <c r="M421" s="13"/>
      <c r="N421" s="283"/>
      <c r="O421" s="283"/>
      <c r="Q421" s="37"/>
      <c r="R421" s="128" t="s">
        <v>2192</v>
      </c>
      <c r="S421" s="13" t="s">
        <v>2191</v>
      </c>
      <c r="T421" s="147">
        <v>4400264</v>
      </c>
      <c r="U421" s="147">
        <v>0</v>
      </c>
    </row>
    <row r="422" spans="2:21" x14ac:dyDescent="0.3">
      <c r="B422" s="37"/>
      <c r="C422" s="13"/>
      <c r="D422" s="283"/>
      <c r="E422" s="283"/>
      <c r="G422" s="37"/>
      <c r="H422" s="13"/>
      <c r="I422" s="283"/>
      <c r="J422" s="283"/>
      <c r="L422" s="37"/>
      <c r="M422" s="13"/>
      <c r="N422" s="283"/>
      <c r="O422" s="283"/>
      <c r="Q422" s="37"/>
      <c r="R422" s="128" t="s">
        <v>1896</v>
      </c>
      <c r="S422" s="13" t="s">
        <v>2193</v>
      </c>
      <c r="T422" s="147">
        <v>6868296</v>
      </c>
      <c r="U422" s="147">
        <v>0</v>
      </c>
    </row>
    <row r="423" spans="2:21" x14ac:dyDescent="0.3">
      <c r="B423" s="37"/>
      <c r="C423" s="13"/>
      <c r="D423" s="283"/>
      <c r="E423" s="283"/>
      <c r="G423" s="37"/>
      <c r="H423" s="13"/>
      <c r="I423" s="283"/>
      <c r="J423" s="283"/>
      <c r="L423" s="37"/>
      <c r="M423" s="13"/>
      <c r="N423" s="283"/>
      <c r="O423" s="283"/>
      <c r="Q423" s="37"/>
      <c r="R423" s="128" t="s">
        <v>3291</v>
      </c>
      <c r="S423" s="13" t="s">
        <v>2171</v>
      </c>
      <c r="T423" s="147">
        <v>5687118</v>
      </c>
      <c r="U423" s="147">
        <v>0</v>
      </c>
    </row>
    <row r="424" spans="2:21" x14ac:dyDescent="0.3">
      <c r="B424" s="37"/>
      <c r="C424" s="13"/>
      <c r="D424" s="283"/>
      <c r="E424" s="283"/>
      <c r="G424" s="37"/>
      <c r="H424" s="13"/>
      <c r="I424" s="283"/>
      <c r="J424" s="283"/>
      <c r="L424" s="37"/>
      <c r="M424" s="13"/>
      <c r="N424" s="283"/>
      <c r="O424" s="283"/>
      <c r="Q424" s="37"/>
      <c r="R424" s="128" t="s">
        <v>1898</v>
      </c>
      <c r="S424" s="13" t="s">
        <v>2218</v>
      </c>
      <c r="T424" s="147">
        <v>151451</v>
      </c>
      <c r="U424" s="147">
        <v>0</v>
      </c>
    </row>
    <row r="425" spans="2:21" x14ac:dyDescent="0.3">
      <c r="B425" s="37"/>
      <c r="C425" s="13"/>
      <c r="D425" s="283"/>
      <c r="E425" s="283"/>
      <c r="G425" s="37"/>
      <c r="H425" s="13"/>
      <c r="I425" s="283"/>
      <c r="J425" s="283"/>
      <c r="L425" s="37"/>
      <c r="M425" s="13"/>
      <c r="N425" s="283"/>
      <c r="O425" s="283"/>
      <c r="Q425" s="37"/>
      <c r="R425" s="128" t="s">
        <v>2219</v>
      </c>
      <c r="S425" s="13" t="s">
        <v>2220</v>
      </c>
      <c r="T425" s="147">
        <v>6602000</v>
      </c>
      <c r="U425" s="147">
        <v>0</v>
      </c>
    </row>
    <row r="426" spans="2:21" x14ac:dyDescent="0.3">
      <c r="B426" s="37"/>
      <c r="C426" s="13"/>
      <c r="D426" s="283"/>
      <c r="E426" s="283"/>
      <c r="G426" s="37"/>
      <c r="H426" s="13"/>
      <c r="I426" s="283"/>
      <c r="J426" s="283"/>
      <c r="L426" s="37"/>
      <c r="M426" s="13"/>
      <c r="N426" s="283"/>
      <c r="O426" s="283"/>
      <c r="Q426" s="37"/>
      <c r="R426" s="128" t="s">
        <v>2221</v>
      </c>
      <c r="S426" s="13" t="s">
        <v>2222</v>
      </c>
      <c r="T426" s="147">
        <v>6109474</v>
      </c>
      <c r="U426" s="147">
        <v>0</v>
      </c>
    </row>
    <row r="427" spans="2:21" x14ac:dyDescent="0.3">
      <c r="B427" s="37"/>
      <c r="C427" s="13"/>
      <c r="D427" s="283"/>
      <c r="E427" s="283"/>
      <c r="G427" s="37"/>
      <c r="H427" s="13"/>
      <c r="I427" s="283"/>
      <c r="J427" s="283"/>
      <c r="L427" s="37"/>
      <c r="M427" s="13"/>
      <c r="N427" s="283"/>
      <c r="O427" s="283"/>
      <c r="Q427" s="37"/>
      <c r="R427" s="128" t="s">
        <v>2223</v>
      </c>
      <c r="S427" s="13" t="s">
        <v>2224</v>
      </c>
      <c r="T427" s="147">
        <v>2140872</v>
      </c>
      <c r="U427" s="147">
        <v>0</v>
      </c>
    </row>
    <row r="428" spans="2:21" x14ac:dyDescent="0.3">
      <c r="B428" s="37"/>
      <c r="C428" s="13"/>
      <c r="D428" s="283"/>
      <c r="E428" s="283"/>
      <c r="G428" s="37"/>
      <c r="H428" s="13"/>
      <c r="I428" s="283"/>
      <c r="J428" s="283"/>
      <c r="L428" s="37"/>
      <c r="M428" s="13"/>
      <c r="N428" s="283"/>
      <c r="O428" s="283"/>
      <c r="Q428" s="37"/>
      <c r="R428" s="128" t="s">
        <v>2226</v>
      </c>
      <c r="S428" s="13" t="s">
        <v>2227</v>
      </c>
      <c r="T428" s="147">
        <v>5616736</v>
      </c>
      <c r="U428" s="147">
        <v>0</v>
      </c>
    </row>
    <row r="429" spans="2:21" x14ac:dyDescent="0.3">
      <c r="B429" s="37"/>
      <c r="C429" s="13"/>
      <c r="D429" s="283"/>
      <c r="E429" s="283"/>
      <c r="G429" s="37"/>
      <c r="H429" s="13"/>
      <c r="I429" s="283"/>
      <c r="J429" s="283"/>
      <c r="L429" s="37"/>
      <c r="M429" s="13"/>
      <c r="N429" s="283"/>
      <c r="O429" s="283"/>
      <c r="Q429" s="37"/>
      <c r="R429" s="128" t="s">
        <v>2228</v>
      </c>
      <c r="S429" s="13" t="s">
        <v>1990</v>
      </c>
      <c r="T429" s="147">
        <v>123500</v>
      </c>
      <c r="U429" s="147">
        <v>0</v>
      </c>
    </row>
    <row r="430" spans="2:21" x14ac:dyDescent="0.3">
      <c r="B430" s="37"/>
      <c r="C430" s="13"/>
      <c r="D430" s="283"/>
      <c r="E430" s="283"/>
      <c r="G430" s="37"/>
      <c r="H430" s="13"/>
      <c r="I430" s="283"/>
      <c r="J430" s="283"/>
      <c r="L430" s="37"/>
      <c r="M430" s="13"/>
      <c r="N430" s="283"/>
      <c r="O430" s="283"/>
      <c r="Q430" s="37"/>
      <c r="R430" s="128" t="s">
        <v>2230</v>
      </c>
      <c r="S430" s="13" t="s">
        <v>2231</v>
      </c>
      <c r="T430" s="147">
        <v>350000</v>
      </c>
      <c r="U430" s="147">
        <v>0</v>
      </c>
    </row>
    <row r="431" spans="2:21" x14ac:dyDescent="0.3">
      <c r="B431" s="37"/>
      <c r="C431" s="13"/>
      <c r="D431" s="283"/>
      <c r="E431" s="283"/>
      <c r="G431" s="37"/>
      <c r="H431" s="13"/>
      <c r="I431" s="283"/>
      <c r="J431" s="283"/>
      <c r="L431" s="37"/>
      <c r="M431" s="13"/>
      <c r="N431" s="283"/>
      <c r="O431" s="283"/>
      <c r="Q431" s="37"/>
      <c r="R431" s="128" t="s">
        <v>2232</v>
      </c>
      <c r="S431" s="13" t="s">
        <v>1988</v>
      </c>
      <c r="T431" s="147">
        <v>419000</v>
      </c>
      <c r="U431" s="147">
        <v>0</v>
      </c>
    </row>
    <row r="432" spans="2:21" x14ac:dyDescent="0.3">
      <c r="B432" s="37"/>
      <c r="C432" s="13"/>
      <c r="D432" s="283"/>
      <c r="E432" s="283"/>
      <c r="G432" s="37"/>
      <c r="H432" s="13"/>
      <c r="I432" s="283"/>
      <c r="J432" s="283"/>
      <c r="L432" s="37"/>
      <c r="M432" s="13"/>
      <c r="N432" s="283"/>
      <c r="O432" s="283"/>
      <c r="Q432" s="195">
        <v>30010003</v>
      </c>
      <c r="R432" s="196"/>
      <c r="S432" s="197" t="s">
        <v>952</v>
      </c>
      <c r="T432" s="193">
        <f>SUM(T433:T474)-SUM(U433:U474)</f>
        <v>46970807</v>
      </c>
      <c r="U432" s="194">
        <v>0</v>
      </c>
    </row>
    <row r="433" spans="2:21" x14ac:dyDescent="0.3">
      <c r="B433" s="37"/>
      <c r="C433" s="13"/>
      <c r="D433" s="283"/>
      <c r="E433" s="283"/>
      <c r="G433" s="37"/>
      <c r="H433" s="13"/>
      <c r="I433" s="283"/>
      <c r="J433" s="283"/>
      <c r="L433" s="37"/>
      <c r="M433" s="13"/>
      <c r="N433" s="283"/>
      <c r="O433" s="283"/>
      <c r="Q433" s="37"/>
      <c r="R433" s="128" t="s">
        <v>1931</v>
      </c>
      <c r="S433" s="13" t="s">
        <v>1932</v>
      </c>
      <c r="T433" s="147">
        <v>819700</v>
      </c>
      <c r="U433" s="147">
        <v>0</v>
      </c>
    </row>
    <row r="434" spans="2:21" x14ac:dyDescent="0.3">
      <c r="B434" s="37"/>
      <c r="C434" s="13"/>
      <c r="D434" s="283"/>
      <c r="E434" s="283"/>
      <c r="G434" s="37"/>
      <c r="H434" s="13"/>
      <c r="I434" s="283"/>
      <c r="J434" s="283"/>
      <c r="L434" s="37"/>
      <c r="M434" s="13"/>
      <c r="N434" s="283"/>
      <c r="O434" s="283"/>
      <c r="Q434" s="37"/>
      <c r="R434" s="128" t="s">
        <v>1933</v>
      </c>
      <c r="S434" s="13" t="s">
        <v>2195</v>
      </c>
      <c r="T434" s="147">
        <v>882125</v>
      </c>
      <c r="U434" s="147">
        <v>0</v>
      </c>
    </row>
    <row r="435" spans="2:21" x14ac:dyDescent="0.3">
      <c r="B435" s="37"/>
      <c r="C435" s="13"/>
      <c r="D435" s="283"/>
      <c r="E435" s="283"/>
      <c r="G435" s="37"/>
      <c r="H435" s="13"/>
      <c r="I435" s="283"/>
      <c r="J435" s="283"/>
      <c r="L435" s="37"/>
      <c r="M435" s="13"/>
      <c r="N435" s="283"/>
      <c r="O435" s="283"/>
      <c r="Q435" s="37"/>
      <c r="R435" s="128" t="s">
        <v>1934</v>
      </c>
      <c r="S435" s="13" t="s">
        <v>2196</v>
      </c>
      <c r="T435" s="147">
        <v>740700</v>
      </c>
      <c r="U435" s="147">
        <v>0</v>
      </c>
    </row>
    <row r="436" spans="2:21" x14ac:dyDescent="0.3">
      <c r="B436" s="37"/>
      <c r="C436" s="13"/>
      <c r="D436" s="283"/>
      <c r="E436" s="283"/>
      <c r="G436" s="37"/>
      <c r="H436" s="13"/>
      <c r="I436" s="283"/>
      <c r="J436" s="283"/>
      <c r="L436" s="37"/>
      <c r="M436" s="13"/>
      <c r="N436" s="283"/>
      <c r="O436" s="283"/>
      <c r="Q436" s="37"/>
      <c r="R436" s="128" t="s">
        <v>2138</v>
      </c>
      <c r="S436" s="13" t="s">
        <v>7</v>
      </c>
      <c r="T436" s="147">
        <v>7586721</v>
      </c>
      <c r="U436" s="147">
        <v>0</v>
      </c>
    </row>
    <row r="437" spans="2:21" x14ac:dyDescent="0.3">
      <c r="B437" s="37"/>
      <c r="C437" s="13"/>
      <c r="D437" s="283"/>
      <c r="E437" s="283"/>
      <c r="G437" s="37"/>
      <c r="H437" s="13"/>
      <c r="I437" s="283"/>
      <c r="J437" s="283"/>
      <c r="L437" s="37"/>
      <c r="M437" s="13"/>
      <c r="N437" s="283"/>
      <c r="O437" s="283"/>
      <c r="Q437" s="37"/>
      <c r="R437" s="128" t="s">
        <v>2152</v>
      </c>
      <c r="S437" s="13" t="s">
        <v>2153</v>
      </c>
      <c r="T437" s="147">
        <v>1688870</v>
      </c>
      <c r="U437" s="147">
        <v>0</v>
      </c>
    </row>
    <row r="438" spans="2:21" x14ac:dyDescent="0.3">
      <c r="B438" s="37"/>
      <c r="C438" s="13"/>
      <c r="D438" s="283"/>
      <c r="E438" s="283"/>
      <c r="G438" s="37"/>
      <c r="H438" s="13"/>
      <c r="I438" s="283"/>
      <c r="J438" s="283"/>
      <c r="L438" s="37"/>
      <c r="M438" s="13"/>
      <c r="N438" s="283"/>
      <c r="O438" s="283"/>
      <c r="Q438" s="37"/>
      <c r="R438" s="128" t="s">
        <v>2154</v>
      </c>
      <c r="S438" s="13" t="s">
        <v>2155</v>
      </c>
      <c r="T438" s="147">
        <v>273201</v>
      </c>
      <c r="U438" s="147">
        <v>0</v>
      </c>
    </row>
    <row r="439" spans="2:21" x14ac:dyDescent="0.3">
      <c r="B439" s="37"/>
      <c r="C439" s="13"/>
      <c r="D439" s="283"/>
      <c r="E439" s="283"/>
      <c r="G439" s="37"/>
      <c r="H439" s="13"/>
      <c r="I439" s="283"/>
      <c r="J439" s="283"/>
      <c r="L439" s="37"/>
      <c r="M439" s="13"/>
      <c r="N439" s="283"/>
      <c r="O439" s="283"/>
      <c r="Q439" s="37"/>
      <c r="R439" s="128" t="s">
        <v>2156</v>
      </c>
      <c r="S439" s="13" t="s">
        <v>2157</v>
      </c>
      <c r="T439" s="147">
        <v>4247259</v>
      </c>
      <c r="U439" s="147">
        <v>0</v>
      </c>
    </row>
    <row r="440" spans="2:21" x14ac:dyDescent="0.3">
      <c r="B440" s="37"/>
      <c r="C440" s="13"/>
      <c r="D440" s="283"/>
      <c r="E440" s="283"/>
      <c r="G440" s="37"/>
      <c r="H440" s="13"/>
      <c r="I440" s="283"/>
      <c r="J440" s="283"/>
      <c r="L440" s="37"/>
      <c r="M440" s="13"/>
      <c r="N440" s="283"/>
      <c r="O440" s="283"/>
      <c r="Q440" s="37"/>
      <c r="R440" s="128" t="s">
        <v>2199</v>
      </c>
      <c r="S440" s="13" t="s">
        <v>2200</v>
      </c>
      <c r="T440" s="147">
        <v>723172</v>
      </c>
      <c r="U440" s="147">
        <v>0</v>
      </c>
    </row>
    <row r="441" spans="2:21" x14ac:dyDescent="0.3">
      <c r="B441" s="37"/>
      <c r="C441" s="13"/>
      <c r="D441" s="283"/>
      <c r="E441" s="283"/>
      <c r="G441" s="37"/>
      <c r="H441" s="13"/>
      <c r="I441" s="283"/>
      <c r="J441" s="283"/>
      <c r="L441" s="37"/>
      <c r="M441" s="13"/>
      <c r="N441" s="283"/>
      <c r="O441" s="283"/>
      <c r="Q441" s="37"/>
      <c r="R441" s="128" t="s">
        <v>2201</v>
      </c>
      <c r="S441" s="13" t="s">
        <v>2202</v>
      </c>
      <c r="T441" s="147">
        <v>841970</v>
      </c>
      <c r="U441" s="147">
        <v>0</v>
      </c>
    </row>
    <row r="442" spans="2:21" x14ac:dyDescent="0.3">
      <c r="B442" s="37"/>
      <c r="C442" s="13"/>
      <c r="D442" s="283"/>
      <c r="E442" s="283"/>
      <c r="G442" s="37"/>
      <c r="H442" s="13"/>
      <c r="I442" s="283"/>
      <c r="J442" s="283"/>
      <c r="L442" s="37"/>
      <c r="M442" s="13"/>
      <c r="N442" s="283"/>
      <c r="O442" s="283"/>
      <c r="Q442" s="37"/>
      <c r="R442" s="128" t="s">
        <v>2205</v>
      </c>
      <c r="S442" s="13" t="s">
        <v>2206</v>
      </c>
      <c r="T442" s="147">
        <v>692213</v>
      </c>
      <c r="U442" s="147">
        <v>0</v>
      </c>
    </row>
    <row r="443" spans="2:21" x14ac:dyDescent="0.3">
      <c r="B443" s="37"/>
      <c r="C443" s="13"/>
      <c r="D443" s="283"/>
      <c r="E443" s="283"/>
      <c r="G443" s="37"/>
      <c r="H443" s="13"/>
      <c r="I443" s="283"/>
      <c r="J443" s="283"/>
      <c r="L443" s="37"/>
      <c r="M443" s="13"/>
      <c r="N443" s="283"/>
      <c r="O443" s="283"/>
      <c r="Q443" s="37"/>
      <c r="R443" s="128" t="s">
        <v>2207</v>
      </c>
      <c r="S443" s="13" t="s">
        <v>2208</v>
      </c>
      <c r="T443" s="147">
        <v>1965715</v>
      </c>
      <c r="U443" s="147">
        <v>0</v>
      </c>
    </row>
    <row r="444" spans="2:21" x14ac:dyDescent="0.3">
      <c r="B444" s="37"/>
      <c r="C444" s="13"/>
      <c r="D444" s="283"/>
      <c r="E444" s="283"/>
      <c r="G444" s="37"/>
      <c r="H444" s="13"/>
      <c r="I444" s="283"/>
      <c r="J444" s="283"/>
      <c r="L444" s="37"/>
      <c r="M444" s="13"/>
      <c r="N444" s="283"/>
      <c r="O444" s="283"/>
      <c r="Q444" s="37"/>
      <c r="R444" s="128" t="s">
        <v>2209</v>
      </c>
      <c r="S444" s="13" t="s">
        <v>2210</v>
      </c>
      <c r="T444" s="147">
        <v>4133253</v>
      </c>
      <c r="U444" s="147">
        <v>0</v>
      </c>
    </row>
    <row r="445" spans="2:21" x14ac:dyDescent="0.3">
      <c r="B445" s="37"/>
      <c r="C445" s="13"/>
      <c r="D445" s="283"/>
      <c r="E445" s="283"/>
      <c r="G445" s="37"/>
      <c r="H445" s="13"/>
      <c r="I445" s="283"/>
      <c r="J445" s="283"/>
      <c r="L445" s="37"/>
      <c r="M445" s="13"/>
      <c r="N445" s="283"/>
      <c r="O445" s="283"/>
      <c r="Q445" s="37"/>
      <c r="R445" s="128" t="s">
        <v>2340</v>
      </c>
      <c r="S445" s="13" t="s">
        <v>2159</v>
      </c>
      <c r="T445" s="147">
        <v>681640</v>
      </c>
      <c r="U445" s="147">
        <v>0</v>
      </c>
    </row>
    <row r="446" spans="2:21" x14ac:dyDescent="0.3">
      <c r="B446" s="37"/>
      <c r="C446" s="13"/>
      <c r="D446" s="283"/>
      <c r="E446" s="283"/>
      <c r="G446" s="37"/>
      <c r="H446" s="13"/>
      <c r="I446" s="283"/>
      <c r="J446" s="283"/>
      <c r="L446" s="37"/>
      <c r="M446" s="13"/>
      <c r="N446" s="283"/>
      <c r="O446" s="283"/>
      <c r="Q446" s="37"/>
      <c r="R446" s="128" t="s">
        <v>2160</v>
      </c>
      <c r="S446" s="13" t="s">
        <v>2161</v>
      </c>
      <c r="T446" s="147">
        <v>820285</v>
      </c>
      <c r="U446" s="147">
        <v>0</v>
      </c>
    </row>
    <row r="447" spans="2:21" x14ac:dyDescent="0.3">
      <c r="B447" s="37"/>
      <c r="C447" s="13"/>
      <c r="D447" s="283"/>
      <c r="E447" s="283"/>
      <c r="G447" s="37"/>
      <c r="H447" s="13"/>
      <c r="I447" s="283"/>
      <c r="J447" s="283"/>
      <c r="L447" s="37"/>
      <c r="M447" s="13"/>
      <c r="N447" s="283"/>
      <c r="O447" s="283"/>
      <c r="Q447" s="37"/>
      <c r="R447" s="128" t="s">
        <v>2162</v>
      </c>
      <c r="S447" s="13" t="s">
        <v>2163</v>
      </c>
      <c r="T447" s="147">
        <v>644907</v>
      </c>
      <c r="U447" s="147">
        <v>0</v>
      </c>
    </row>
    <row r="448" spans="2:21" x14ac:dyDescent="0.3">
      <c r="B448" s="37"/>
      <c r="C448" s="13"/>
      <c r="D448" s="283"/>
      <c r="E448" s="283"/>
      <c r="G448" s="37"/>
      <c r="H448" s="13"/>
      <c r="I448" s="283"/>
      <c r="J448" s="283"/>
      <c r="L448" s="37"/>
      <c r="M448" s="13"/>
      <c r="N448" s="283"/>
      <c r="O448" s="283"/>
      <c r="Q448" s="37"/>
      <c r="R448" s="128" t="s">
        <v>2165</v>
      </c>
      <c r="S448" s="13" t="s">
        <v>2166</v>
      </c>
      <c r="T448" s="147">
        <v>607734</v>
      </c>
      <c r="U448" s="147">
        <v>0</v>
      </c>
    </row>
    <row r="449" spans="2:21" x14ac:dyDescent="0.3">
      <c r="B449" s="37"/>
      <c r="C449" s="13"/>
      <c r="D449" s="283"/>
      <c r="E449" s="283"/>
      <c r="G449" s="37"/>
      <c r="H449" s="13"/>
      <c r="I449" s="283"/>
      <c r="J449" s="283"/>
      <c r="L449" s="37"/>
      <c r="M449" s="13"/>
      <c r="N449" s="283"/>
      <c r="O449" s="283"/>
      <c r="Q449" s="37"/>
      <c r="R449" s="128" t="s">
        <v>2168</v>
      </c>
      <c r="S449" s="13" t="s">
        <v>2169</v>
      </c>
      <c r="T449" s="147">
        <v>314263</v>
      </c>
      <c r="U449" s="147">
        <v>0</v>
      </c>
    </row>
    <row r="450" spans="2:21" x14ac:dyDescent="0.3">
      <c r="B450" s="37"/>
      <c r="C450" s="13"/>
      <c r="D450" s="283"/>
      <c r="E450" s="283"/>
      <c r="G450" s="37"/>
      <c r="H450" s="13"/>
      <c r="I450" s="283"/>
      <c r="J450" s="283"/>
      <c r="L450" s="37"/>
      <c r="M450" s="13"/>
      <c r="N450" s="283"/>
      <c r="O450" s="283"/>
      <c r="Q450" s="37"/>
      <c r="R450" s="128" t="s">
        <v>3313</v>
      </c>
      <c r="S450" s="13" t="s">
        <v>2211</v>
      </c>
      <c r="T450" s="147">
        <v>452755</v>
      </c>
      <c r="U450" s="147">
        <v>0</v>
      </c>
    </row>
    <row r="451" spans="2:21" x14ac:dyDescent="0.3">
      <c r="B451" s="37"/>
      <c r="C451" s="13"/>
      <c r="D451" s="283"/>
      <c r="E451" s="283"/>
      <c r="G451" s="37"/>
      <c r="H451" s="13"/>
      <c r="I451" s="283"/>
      <c r="J451" s="283"/>
      <c r="L451" s="37"/>
      <c r="M451" s="13"/>
      <c r="N451" s="283"/>
      <c r="O451" s="283"/>
      <c r="Q451" s="37"/>
      <c r="R451" s="128" t="s">
        <v>2212</v>
      </c>
      <c r="S451" s="13" t="s">
        <v>2213</v>
      </c>
      <c r="T451" s="147">
        <v>684201</v>
      </c>
      <c r="U451" s="147">
        <v>0</v>
      </c>
    </row>
    <row r="452" spans="2:21" x14ac:dyDescent="0.3">
      <c r="B452" s="37"/>
      <c r="C452" s="13"/>
      <c r="D452" s="283"/>
      <c r="E452" s="283"/>
      <c r="G452" s="37"/>
      <c r="H452" s="13"/>
      <c r="I452" s="283"/>
      <c r="J452" s="283"/>
      <c r="L452" s="37"/>
      <c r="M452" s="13"/>
      <c r="N452" s="283"/>
      <c r="O452" s="283"/>
      <c r="Q452" s="37"/>
      <c r="R452" s="128" t="s">
        <v>2214</v>
      </c>
      <c r="S452" s="13" t="s">
        <v>2215</v>
      </c>
      <c r="T452" s="147">
        <v>1527903</v>
      </c>
      <c r="U452" s="147">
        <v>0</v>
      </c>
    </row>
    <row r="453" spans="2:21" x14ac:dyDescent="0.3">
      <c r="B453" s="37"/>
      <c r="C453" s="13"/>
      <c r="D453" s="283"/>
      <c r="E453" s="283"/>
      <c r="G453" s="37"/>
      <c r="H453" s="13"/>
      <c r="I453" s="283"/>
      <c r="J453" s="283"/>
      <c r="L453" s="37"/>
      <c r="M453" s="13"/>
      <c r="N453" s="283"/>
      <c r="O453" s="283"/>
      <c r="Q453" s="37"/>
      <c r="R453" s="128" t="s">
        <v>1985</v>
      </c>
      <c r="S453" s="13" t="s">
        <v>2197</v>
      </c>
      <c r="T453" s="147">
        <v>830678</v>
      </c>
      <c r="U453" s="147">
        <v>0</v>
      </c>
    </row>
    <row r="454" spans="2:21" x14ac:dyDescent="0.3">
      <c r="B454" s="37"/>
      <c r="C454" s="13"/>
      <c r="D454" s="283"/>
      <c r="E454" s="283"/>
      <c r="G454" s="37"/>
      <c r="H454" s="13"/>
      <c r="I454" s="283"/>
      <c r="J454" s="283"/>
      <c r="L454" s="37"/>
      <c r="M454" s="13"/>
      <c r="N454" s="283"/>
      <c r="O454" s="283"/>
      <c r="Q454" s="37"/>
      <c r="R454" s="128" t="s">
        <v>1986</v>
      </c>
      <c r="S454" s="13" t="s">
        <v>2198</v>
      </c>
      <c r="T454" s="147">
        <v>751875</v>
      </c>
      <c r="U454" s="147">
        <v>0</v>
      </c>
    </row>
    <row r="455" spans="2:21" x14ac:dyDescent="0.3">
      <c r="B455" s="37"/>
      <c r="C455" s="13"/>
      <c r="D455" s="283"/>
      <c r="E455" s="283"/>
      <c r="G455" s="37"/>
      <c r="H455" s="13"/>
      <c r="I455" s="283"/>
      <c r="J455" s="283"/>
      <c r="L455" s="37"/>
      <c r="M455" s="13"/>
      <c r="N455" s="283"/>
      <c r="O455" s="283"/>
      <c r="Q455" s="37"/>
      <c r="R455" s="128" t="s">
        <v>1895</v>
      </c>
      <c r="S455" s="13" t="s">
        <v>2174</v>
      </c>
      <c r="T455" s="147">
        <v>1483836</v>
      </c>
      <c r="U455" s="147">
        <v>0</v>
      </c>
    </row>
    <row r="456" spans="2:21" x14ac:dyDescent="0.3">
      <c r="B456" s="37"/>
      <c r="C456" s="13"/>
      <c r="D456" s="283"/>
      <c r="E456" s="283"/>
      <c r="G456" s="37"/>
      <c r="H456" s="13"/>
      <c r="I456" s="283"/>
      <c r="J456" s="283"/>
      <c r="L456" s="37"/>
      <c r="M456" s="13"/>
      <c r="N456" s="283"/>
      <c r="O456" s="283"/>
      <c r="Q456" s="37"/>
      <c r="R456" s="128" t="s">
        <v>2177</v>
      </c>
      <c r="S456" s="13" t="s">
        <v>2341</v>
      </c>
      <c r="T456" s="147">
        <v>343360</v>
      </c>
      <c r="U456" s="147">
        <v>0</v>
      </c>
    </row>
    <row r="457" spans="2:21" x14ac:dyDescent="0.3">
      <c r="B457" s="37"/>
      <c r="C457" s="13"/>
      <c r="D457" s="283"/>
      <c r="E457" s="283"/>
      <c r="G457" s="37"/>
      <c r="H457" s="13"/>
      <c r="I457" s="283"/>
      <c r="J457" s="283"/>
      <c r="L457" s="37"/>
      <c r="M457" s="13"/>
      <c r="N457" s="283"/>
      <c r="O457" s="283"/>
      <c r="Q457" s="37"/>
      <c r="R457" s="128" t="s">
        <v>2183</v>
      </c>
      <c r="S457" s="13" t="s">
        <v>2182</v>
      </c>
      <c r="T457" s="147">
        <v>3231159</v>
      </c>
      <c r="U457" s="147">
        <v>0</v>
      </c>
    </row>
    <row r="458" spans="2:21" x14ac:dyDescent="0.3">
      <c r="B458" s="37"/>
      <c r="C458" s="13"/>
      <c r="D458" s="283"/>
      <c r="E458" s="283"/>
      <c r="G458" s="37"/>
      <c r="H458" s="13"/>
      <c r="I458" s="283"/>
      <c r="J458" s="283"/>
      <c r="L458" s="37"/>
      <c r="M458" s="13"/>
      <c r="N458" s="283"/>
      <c r="O458" s="283"/>
      <c r="Q458" s="37"/>
      <c r="R458" s="128" t="s">
        <v>2185</v>
      </c>
      <c r="S458" s="13" t="s">
        <v>2184</v>
      </c>
      <c r="T458" s="147">
        <v>943946</v>
      </c>
      <c r="U458" s="147">
        <v>0</v>
      </c>
    </row>
    <row r="459" spans="2:21" x14ac:dyDescent="0.3">
      <c r="B459" s="37"/>
      <c r="C459" s="13"/>
      <c r="D459" s="283"/>
      <c r="E459" s="283"/>
      <c r="G459" s="37"/>
      <c r="H459" s="13"/>
      <c r="I459" s="283"/>
      <c r="J459" s="283"/>
      <c r="L459" s="37"/>
      <c r="M459" s="13"/>
      <c r="N459" s="283"/>
      <c r="O459" s="283"/>
      <c r="Q459" s="37"/>
      <c r="R459" s="128" t="s">
        <v>2187</v>
      </c>
      <c r="S459" s="13" t="s">
        <v>2186</v>
      </c>
      <c r="T459" s="147">
        <v>3356825</v>
      </c>
      <c r="U459" s="147">
        <v>0</v>
      </c>
    </row>
    <row r="460" spans="2:21" x14ac:dyDescent="0.3">
      <c r="B460" s="37"/>
      <c r="C460" s="13"/>
      <c r="D460" s="283"/>
      <c r="E460" s="283"/>
      <c r="G460" s="37"/>
      <c r="H460" s="13"/>
      <c r="I460" s="283"/>
      <c r="J460" s="283"/>
      <c r="L460" s="37"/>
      <c r="M460" s="13"/>
      <c r="N460" s="283"/>
      <c r="O460" s="283"/>
      <c r="Q460" s="37"/>
      <c r="R460" s="128" t="s">
        <v>2342</v>
      </c>
      <c r="S460" s="13" t="s">
        <v>2188</v>
      </c>
      <c r="T460" s="147">
        <v>929255</v>
      </c>
      <c r="U460" s="147">
        <v>0</v>
      </c>
    </row>
    <row r="461" spans="2:21" x14ac:dyDescent="0.3">
      <c r="B461" s="37"/>
      <c r="C461" s="13"/>
      <c r="D461" s="283"/>
      <c r="E461" s="283"/>
      <c r="G461" s="37"/>
      <c r="H461" s="13"/>
      <c r="I461" s="283"/>
      <c r="J461" s="283"/>
      <c r="L461" s="37"/>
      <c r="M461" s="13"/>
      <c r="N461" s="283"/>
      <c r="O461" s="283"/>
      <c r="Q461" s="37"/>
      <c r="R461" s="128" t="s">
        <v>2190</v>
      </c>
      <c r="S461" s="13" t="s">
        <v>2189</v>
      </c>
      <c r="T461" s="147">
        <v>680058</v>
      </c>
      <c r="U461" s="147">
        <v>0</v>
      </c>
    </row>
    <row r="462" spans="2:21" x14ac:dyDescent="0.3">
      <c r="B462" s="37"/>
      <c r="C462" s="13"/>
      <c r="D462" s="283"/>
      <c r="E462" s="283"/>
      <c r="G462" s="37"/>
      <c r="H462" s="13"/>
      <c r="I462" s="283"/>
      <c r="J462" s="283"/>
      <c r="L462" s="37"/>
      <c r="M462" s="13"/>
      <c r="N462" s="283"/>
      <c r="O462" s="283"/>
      <c r="Q462" s="37"/>
      <c r="R462" s="128" t="s">
        <v>2192</v>
      </c>
      <c r="S462" s="13" t="s">
        <v>2191</v>
      </c>
      <c r="T462" s="147">
        <v>264408</v>
      </c>
      <c r="U462" s="147">
        <v>0</v>
      </c>
    </row>
    <row r="463" spans="2:21" x14ac:dyDescent="0.3">
      <c r="B463" s="37"/>
      <c r="C463" s="13"/>
      <c r="D463" s="283"/>
      <c r="E463" s="283"/>
      <c r="G463" s="37"/>
      <c r="H463" s="13"/>
      <c r="I463" s="283"/>
      <c r="J463" s="283"/>
      <c r="L463" s="37"/>
      <c r="M463" s="13"/>
      <c r="N463" s="283"/>
      <c r="O463" s="283"/>
      <c r="Q463" s="37"/>
      <c r="R463" s="128" t="s">
        <v>1896</v>
      </c>
      <c r="S463" s="13" t="s">
        <v>2193</v>
      </c>
      <c r="T463" s="147">
        <v>1374177</v>
      </c>
      <c r="U463" s="147">
        <v>0</v>
      </c>
    </row>
    <row r="464" spans="2:21" x14ac:dyDescent="0.3">
      <c r="B464" s="37"/>
      <c r="C464" s="13"/>
      <c r="D464" s="283"/>
      <c r="E464" s="283"/>
      <c r="G464" s="37"/>
      <c r="H464" s="13"/>
      <c r="I464" s="283"/>
      <c r="J464" s="283"/>
      <c r="L464" s="37"/>
      <c r="M464" s="13"/>
      <c r="N464" s="283"/>
      <c r="O464" s="283"/>
      <c r="Q464" s="37"/>
      <c r="R464" s="128" t="s">
        <v>3291</v>
      </c>
      <c r="S464" s="13" t="s">
        <v>2171</v>
      </c>
      <c r="T464" s="147">
        <v>641507</v>
      </c>
      <c r="U464" s="147">
        <v>0</v>
      </c>
    </row>
    <row r="465" spans="2:21" x14ac:dyDescent="0.3">
      <c r="B465" s="37"/>
      <c r="C465" s="13"/>
      <c r="D465" s="283"/>
      <c r="E465" s="283"/>
      <c r="G465" s="37"/>
      <c r="H465" s="13"/>
      <c r="I465" s="283"/>
      <c r="J465" s="283"/>
      <c r="L465" s="37"/>
      <c r="M465" s="13"/>
      <c r="N465" s="283"/>
      <c r="O465" s="283"/>
      <c r="Q465" s="37"/>
      <c r="R465" s="128" t="s">
        <v>1898</v>
      </c>
      <c r="S465" s="13" t="s">
        <v>2218</v>
      </c>
      <c r="T465" s="147">
        <v>266557</v>
      </c>
      <c r="U465" s="147">
        <v>0</v>
      </c>
    </row>
    <row r="466" spans="2:21" x14ac:dyDescent="0.3">
      <c r="B466" s="37"/>
      <c r="C466" s="13"/>
      <c r="D466" s="283"/>
      <c r="E466" s="283"/>
      <c r="G466" s="37"/>
      <c r="H466" s="13"/>
      <c r="I466" s="283"/>
      <c r="J466" s="283"/>
      <c r="L466" s="37"/>
      <c r="M466" s="13"/>
      <c r="N466" s="283"/>
      <c r="O466" s="283"/>
      <c r="Q466" s="37"/>
      <c r="R466" s="128" t="s">
        <v>2219</v>
      </c>
      <c r="S466" s="13" t="s">
        <v>2220</v>
      </c>
      <c r="T466" s="147">
        <v>290516</v>
      </c>
      <c r="U466" s="147">
        <v>0</v>
      </c>
    </row>
    <row r="467" spans="2:21" x14ac:dyDescent="0.3">
      <c r="B467" s="37"/>
      <c r="C467" s="13"/>
      <c r="D467" s="283"/>
      <c r="E467" s="283"/>
      <c r="G467" s="37"/>
      <c r="H467" s="13"/>
      <c r="I467" s="283"/>
      <c r="J467" s="283"/>
      <c r="L467" s="37"/>
      <c r="M467" s="13"/>
      <c r="N467" s="283"/>
      <c r="O467" s="283"/>
      <c r="Q467" s="37"/>
      <c r="R467" s="128" t="s">
        <v>2221</v>
      </c>
      <c r="S467" s="13" t="s">
        <v>2222</v>
      </c>
      <c r="T467" s="147">
        <v>192011</v>
      </c>
      <c r="U467" s="147">
        <v>0</v>
      </c>
    </row>
    <row r="468" spans="2:21" x14ac:dyDescent="0.3">
      <c r="B468" s="37"/>
      <c r="C468" s="13"/>
      <c r="D468" s="283"/>
      <c r="E468" s="283"/>
      <c r="G468" s="37"/>
      <c r="H468" s="13"/>
      <c r="I468" s="283"/>
      <c r="J468" s="283"/>
      <c r="L468" s="37"/>
      <c r="M468" s="13"/>
      <c r="N468" s="283"/>
      <c r="O468" s="283"/>
      <c r="Q468" s="37"/>
      <c r="R468" s="128" t="s">
        <v>2223</v>
      </c>
      <c r="S468" s="13" t="s">
        <v>2224</v>
      </c>
      <c r="T468" s="147">
        <v>468230</v>
      </c>
      <c r="U468" s="147">
        <v>0</v>
      </c>
    </row>
    <row r="469" spans="2:21" x14ac:dyDescent="0.3">
      <c r="B469" s="37"/>
      <c r="C469" s="13"/>
      <c r="D469" s="283"/>
      <c r="E469" s="283"/>
      <c r="G469" s="37"/>
      <c r="H469" s="13"/>
      <c r="I469" s="283"/>
      <c r="J469" s="283"/>
      <c r="L469" s="37"/>
      <c r="M469" s="13"/>
      <c r="N469" s="283"/>
      <c r="O469" s="283"/>
      <c r="Q469" s="37"/>
      <c r="R469" s="128" t="s">
        <v>2226</v>
      </c>
      <c r="S469" s="13" t="s">
        <v>2227</v>
      </c>
      <c r="T469" s="147">
        <v>432152</v>
      </c>
      <c r="U469" s="147">
        <v>0</v>
      </c>
    </row>
    <row r="470" spans="2:21" x14ac:dyDescent="0.3">
      <c r="B470" s="37"/>
      <c r="C470" s="13"/>
      <c r="D470" s="283"/>
      <c r="E470" s="283"/>
      <c r="G470" s="37"/>
      <c r="H470" s="13"/>
      <c r="I470" s="283"/>
      <c r="J470" s="283"/>
      <c r="L470" s="37"/>
      <c r="M470" s="13"/>
      <c r="N470" s="283"/>
      <c r="O470" s="283"/>
      <c r="Q470" s="37"/>
      <c r="R470" s="128" t="s">
        <v>2229</v>
      </c>
      <c r="S470" s="13" t="s">
        <v>1987</v>
      </c>
      <c r="T470" s="147">
        <v>23500</v>
      </c>
      <c r="U470" s="147">
        <v>0</v>
      </c>
    </row>
    <row r="471" spans="2:21" x14ac:dyDescent="0.3">
      <c r="B471" s="37"/>
      <c r="C471" s="13"/>
      <c r="D471" s="283"/>
      <c r="E471" s="283"/>
      <c r="G471" s="37"/>
      <c r="H471" s="13"/>
      <c r="I471" s="283"/>
      <c r="J471" s="283"/>
      <c r="L471" s="37"/>
      <c r="M471" s="13"/>
      <c r="N471" s="283"/>
      <c r="O471" s="283"/>
      <c r="Q471" s="37"/>
      <c r="R471" s="128" t="s">
        <v>2230</v>
      </c>
      <c r="S471" s="13" t="s">
        <v>2231</v>
      </c>
      <c r="T471" s="147">
        <v>24570</v>
      </c>
      <c r="U471" s="147">
        <v>0</v>
      </c>
    </row>
    <row r="472" spans="2:21" x14ac:dyDescent="0.3">
      <c r="B472" s="37"/>
      <c r="C472" s="13"/>
      <c r="D472" s="283"/>
      <c r="E472" s="283"/>
      <c r="G472" s="37"/>
      <c r="H472" s="13"/>
      <c r="I472" s="283"/>
      <c r="J472" s="283"/>
      <c r="L472" s="37"/>
      <c r="M472" s="13"/>
      <c r="N472" s="283"/>
      <c r="O472" s="283"/>
      <c r="Q472" s="37"/>
      <c r="R472" s="128" t="s">
        <v>2232</v>
      </c>
      <c r="S472" s="13" t="s">
        <v>1988</v>
      </c>
      <c r="T472" s="147">
        <v>56000</v>
      </c>
      <c r="U472" s="147">
        <v>0</v>
      </c>
    </row>
    <row r="473" spans="2:21" x14ac:dyDescent="0.3">
      <c r="B473" s="37"/>
      <c r="C473" s="13"/>
      <c r="D473" s="283"/>
      <c r="E473" s="283"/>
      <c r="G473" s="37"/>
      <c r="H473" s="13"/>
      <c r="I473" s="283"/>
      <c r="J473" s="283"/>
      <c r="L473" s="37"/>
      <c r="M473" s="13"/>
      <c r="N473" s="283"/>
      <c r="O473" s="283"/>
      <c r="Q473" s="37"/>
      <c r="R473" s="128" t="s">
        <v>2233</v>
      </c>
      <c r="S473" s="13" t="s">
        <v>1989</v>
      </c>
      <c r="T473" s="147">
        <v>28800</v>
      </c>
      <c r="U473" s="147">
        <v>0</v>
      </c>
    </row>
    <row r="474" spans="2:21" x14ac:dyDescent="0.3">
      <c r="B474" s="37"/>
      <c r="C474" s="13"/>
      <c r="D474" s="283"/>
      <c r="E474" s="283"/>
      <c r="G474" s="37"/>
      <c r="H474" s="13"/>
      <c r="I474" s="283"/>
      <c r="J474" s="283"/>
      <c r="L474" s="37"/>
      <c r="M474" s="13"/>
      <c r="N474" s="283"/>
      <c r="O474" s="283"/>
      <c r="Q474" s="37"/>
      <c r="R474" s="128" t="s">
        <v>2234</v>
      </c>
      <c r="S474" s="13" t="s">
        <v>2235</v>
      </c>
      <c r="T474" s="147">
        <v>28800</v>
      </c>
      <c r="U474" s="147">
        <v>0</v>
      </c>
    </row>
    <row r="475" spans="2:21" x14ac:dyDescent="0.3">
      <c r="B475" s="37"/>
      <c r="C475" s="13"/>
      <c r="D475" s="283"/>
      <c r="E475" s="283"/>
      <c r="G475" s="37"/>
      <c r="H475" s="13"/>
      <c r="I475" s="283"/>
      <c r="J475" s="283"/>
      <c r="L475" s="37"/>
      <c r="M475" s="13"/>
      <c r="N475" s="283"/>
      <c r="O475" s="283"/>
      <c r="Q475" s="195">
        <v>30010004</v>
      </c>
      <c r="R475" s="196"/>
      <c r="S475" s="197" t="s">
        <v>2040</v>
      </c>
      <c r="T475" s="193">
        <f>SUM(T476:T513)-SUM(U476:U513)</f>
        <v>23770412</v>
      </c>
      <c r="U475" s="194">
        <v>0</v>
      </c>
    </row>
    <row r="476" spans="2:21" x14ac:dyDescent="0.3">
      <c r="B476" s="37"/>
      <c r="C476" s="13"/>
      <c r="D476" s="283"/>
      <c r="E476" s="283"/>
      <c r="G476" s="37"/>
      <c r="H476" s="13"/>
      <c r="I476" s="283"/>
      <c r="J476" s="283"/>
      <c r="L476" s="37"/>
      <c r="M476" s="13"/>
      <c r="N476" s="283"/>
      <c r="O476" s="283"/>
      <c r="Q476" s="37"/>
      <c r="R476" s="128" t="s">
        <v>1931</v>
      </c>
      <c r="S476" s="13" t="s">
        <v>1932</v>
      </c>
      <c r="T476" s="147">
        <v>196000</v>
      </c>
      <c r="U476" s="147">
        <v>0</v>
      </c>
    </row>
    <row r="477" spans="2:21" x14ac:dyDescent="0.3">
      <c r="B477" s="37"/>
      <c r="C477" s="13"/>
      <c r="D477" s="283"/>
      <c r="E477" s="283"/>
      <c r="G477" s="37"/>
      <c r="H477" s="13"/>
      <c r="I477" s="283"/>
      <c r="J477" s="283"/>
      <c r="L477" s="37"/>
      <c r="M477" s="13"/>
      <c r="N477" s="283"/>
      <c r="O477" s="283"/>
      <c r="Q477" s="37"/>
      <c r="R477" s="128" t="s">
        <v>1933</v>
      </c>
      <c r="S477" s="13" t="s">
        <v>2195</v>
      </c>
      <c r="T477" s="147">
        <v>196000</v>
      </c>
      <c r="U477" s="147">
        <v>0</v>
      </c>
    </row>
    <row r="478" spans="2:21" x14ac:dyDescent="0.3">
      <c r="B478" s="37"/>
      <c r="C478" s="13"/>
      <c r="D478" s="283"/>
      <c r="E478" s="283"/>
      <c r="G478" s="37"/>
      <c r="H478" s="13"/>
      <c r="I478" s="283"/>
      <c r="J478" s="283"/>
      <c r="L478" s="37"/>
      <c r="M478" s="13"/>
      <c r="N478" s="283"/>
      <c r="O478" s="283"/>
      <c r="Q478" s="37"/>
      <c r="R478" s="128" t="s">
        <v>1934</v>
      </c>
      <c r="S478" s="13" t="s">
        <v>2196</v>
      </c>
      <c r="T478" s="147">
        <v>196000</v>
      </c>
      <c r="U478" s="147">
        <v>0</v>
      </c>
    </row>
    <row r="479" spans="2:21" x14ac:dyDescent="0.3">
      <c r="B479" s="37"/>
      <c r="C479" s="13"/>
      <c r="D479" s="283"/>
      <c r="E479" s="283"/>
      <c r="G479" s="37"/>
      <c r="H479" s="13"/>
      <c r="I479" s="283"/>
      <c r="J479" s="283"/>
      <c r="L479" s="37"/>
      <c r="M479" s="13"/>
      <c r="N479" s="283"/>
      <c r="O479" s="283"/>
      <c r="Q479" s="37"/>
      <c r="R479" s="128" t="s">
        <v>2138</v>
      </c>
      <c r="S479" s="13" t="s">
        <v>7</v>
      </c>
      <c r="T479" s="147">
        <v>13081213</v>
      </c>
      <c r="U479" s="147">
        <v>0</v>
      </c>
    </row>
    <row r="480" spans="2:21" x14ac:dyDescent="0.3">
      <c r="B480" s="37"/>
      <c r="C480" s="13"/>
      <c r="D480" s="283"/>
      <c r="E480" s="283"/>
      <c r="G480" s="37"/>
      <c r="H480" s="13"/>
      <c r="I480" s="283"/>
      <c r="J480" s="283"/>
      <c r="L480" s="37"/>
      <c r="M480" s="13"/>
      <c r="N480" s="283"/>
      <c r="O480" s="283"/>
      <c r="Q480" s="37"/>
      <c r="R480" s="128" t="s">
        <v>3292</v>
      </c>
      <c r="S480" s="13" t="s">
        <v>2148</v>
      </c>
      <c r="T480" s="147">
        <v>901300</v>
      </c>
      <c r="U480" s="147">
        <v>0</v>
      </c>
    </row>
    <row r="481" spans="2:21" x14ac:dyDescent="0.3">
      <c r="B481" s="37"/>
      <c r="C481" s="13"/>
      <c r="D481" s="283"/>
      <c r="E481" s="283"/>
      <c r="G481" s="37"/>
      <c r="H481" s="13"/>
      <c r="I481" s="283"/>
      <c r="J481" s="283"/>
      <c r="L481" s="37"/>
      <c r="M481" s="13"/>
      <c r="N481" s="283"/>
      <c r="O481" s="283"/>
      <c r="Q481" s="37"/>
      <c r="R481" s="128" t="s">
        <v>2152</v>
      </c>
      <c r="S481" s="13" t="s">
        <v>2153</v>
      </c>
      <c r="T481" s="147">
        <v>2344073</v>
      </c>
      <c r="U481" s="147">
        <v>0</v>
      </c>
    </row>
    <row r="482" spans="2:21" x14ac:dyDescent="0.3">
      <c r="B482" s="37"/>
      <c r="C482" s="13"/>
      <c r="D482" s="283"/>
      <c r="E482" s="283"/>
      <c r="G482" s="37"/>
      <c r="H482" s="13"/>
      <c r="I482" s="283"/>
      <c r="J482" s="283"/>
      <c r="L482" s="37"/>
      <c r="M482" s="13"/>
      <c r="N482" s="283"/>
      <c r="O482" s="283"/>
      <c r="Q482" s="37"/>
      <c r="R482" s="128" t="s">
        <v>2154</v>
      </c>
      <c r="S482" s="13" t="s">
        <v>2155</v>
      </c>
      <c r="T482" s="147">
        <v>177644</v>
      </c>
      <c r="U482" s="147">
        <v>0</v>
      </c>
    </row>
    <row r="483" spans="2:21" x14ac:dyDescent="0.3">
      <c r="B483" s="37"/>
      <c r="C483" s="13"/>
      <c r="D483" s="283"/>
      <c r="E483" s="283"/>
      <c r="G483" s="37"/>
      <c r="H483" s="13"/>
      <c r="I483" s="283"/>
      <c r="J483" s="283"/>
      <c r="L483" s="37"/>
      <c r="M483" s="13"/>
      <c r="N483" s="283"/>
      <c r="O483" s="283"/>
      <c r="Q483" s="37"/>
      <c r="R483" s="128" t="s">
        <v>2156</v>
      </c>
      <c r="S483" s="13" t="s">
        <v>2157</v>
      </c>
      <c r="T483" s="147">
        <v>1429546</v>
      </c>
      <c r="U483" s="147">
        <v>0</v>
      </c>
    </row>
    <row r="484" spans="2:21" x14ac:dyDescent="0.3">
      <c r="B484" s="37"/>
      <c r="C484" s="13"/>
      <c r="D484" s="283"/>
      <c r="E484" s="283"/>
      <c r="G484" s="37"/>
      <c r="H484" s="13"/>
      <c r="I484" s="283"/>
      <c r="J484" s="283"/>
      <c r="L484" s="37"/>
      <c r="M484" s="13"/>
      <c r="N484" s="283"/>
      <c r="O484" s="283"/>
      <c r="Q484" s="37"/>
      <c r="R484" s="128" t="s">
        <v>2199</v>
      </c>
      <c r="S484" s="13" t="s">
        <v>2200</v>
      </c>
      <c r="T484" s="147">
        <v>214479</v>
      </c>
      <c r="U484" s="147">
        <v>0</v>
      </c>
    </row>
    <row r="485" spans="2:21" x14ac:dyDescent="0.3">
      <c r="B485" s="37"/>
      <c r="C485" s="13"/>
      <c r="D485" s="283"/>
      <c r="E485" s="283"/>
      <c r="G485" s="37"/>
      <c r="H485" s="13"/>
      <c r="I485" s="283"/>
      <c r="J485" s="283"/>
      <c r="L485" s="37"/>
      <c r="M485" s="13"/>
      <c r="N485" s="283"/>
      <c r="O485" s="283"/>
      <c r="Q485" s="37"/>
      <c r="R485" s="128" t="s">
        <v>2201</v>
      </c>
      <c r="S485" s="13" t="s">
        <v>2202</v>
      </c>
      <c r="T485" s="147">
        <v>175450</v>
      </c>
      <c r="U485" s="147">
        <v>0</v>
      </c>
    </row>
    <row r="486" spans="2:21" x14ac:dyDescent="0.3">
      <c r="B486" s="37"/>
      <c r="C486" s="13"/>
      <c r="D486" s="283"/>
      <c r="E486" s="283"/>
      <c r="G486" s="37"/>
      <c r="H486" s="13"/>
      <c r="I486" s="283"/>
      <c r="J486" s="283"/>
      <c r="L486" s="37"/>
      <c r="M486" s="13"/>
      <c r="N486" s="283"/>
      <c r="O486" s="283"/>
      <c r="Q486" s="37"/>
      <c r="R486" s="128" t="s">
        <v>2205</v>
      </c>
      <c r="S486" s="13" t="s">
        <v>2206</v>
      </c>
      <c r="T486" s="147">
        <v>177050</v>
      </c>
      <c r="U486" s="147">
        <v>0</v>
      </c>
    </row>
    <row r="487" spans="2:21" x14ac:dyDescent="0.3">
      <c r="B487" s="37"/>
      <c r="C487" s="13"/>
      <c r="D487" s="283"/>
      <c r="E487" s="283"/>
      <c r="G487" s="37"/>
      <c r="H487" s="13"/>
      <c r="I487" s="283"/>
      <c r="J487" s="283"/>
      <c r="L487" s="37"/>
      <c r="M487" s="13"/>
      <c r="N487" s="283"/>
      <c r="O487" s="283"/>
      <c r="Q487" s="37"/>
      <c r="R487" s="128" t="s">
        <v>2207</v>
      </c>
      <c r="S487" s="13" t="s">
        <v>2208</v>
      </c>
      <c r="T487" s="147">
        <v>196000</v>
      </c>
      <c r="U487" s="147">
        <v>0</v>
      </c>
    </row>
    <row r="488" spans="2:21" x14ac:dyDescent="0.3">
      <c r="B488" s="37"/>
      <c r="C488" s="13"/>
      <c r="D488" s="283"/>
      <c r="E488" s="283"/>
      <c r="G488" s="37"/>
      <c r="H488" s="13"/>
      <c r="I488" s="283"/>
      <c r="J488" s="283"/>
      <c r="L488" s="37"/>
      <c r="M488" s="13"/>
      <c r="N488" s="283"/>
      <c r="O488" s="283"/>
      <c r="Q488" s="37"/>
      <c r="R488" s="128" t="s">
        <v>2209</v>
      </c>
      <c r="S488" s="13" t="s">
        <v>2210</v>
      </c>
      <c r="T488" s="147">
        <v>170450</v>
      </c>
      <c r="U488" s="147">
        <v>0</v>
      </c>
    </row>
    <row r="489" spans="2:21" x14ac:dyDescent="0.3">
      <c r="B489" s="37"/>
      <c r="C489" s="13"/>
      <c r="D489" s="283"/>
      <c r="E489" s="283"/>
      <c r="G489" s="37"/>
      <c r="H489" s="13"/>
      <c r="I489" s="283"/>
      <c r="J489" s="283"/>
      <c r="L489" s="37"/>
      <c r="M489" s="13"/>
      <c r="N489" s="283"/>
      <c r="O489" s="283"/>
      <c r="Q489" s="37"/>
      <c r="R489" s="128" t="s">
        <v>2340</v>
      </c>
      <c r="S489" s="13" t="s">
        <v>2159</v>
      </c>
      <c r="T489" s="147">
        <v>247761</v>
      </c>
      <c r="U489" s="147">
        <v>0</v>
      </c>
    </row>
    <row r="490" spans="2:21" x14ac:dyDescent="0.3">
      <c r="B490" s="37"/>
      <c r="C490" s="13"/>
      <c r="D490" s="283"/>
      <c r="E490" s="283"/>
      <c r="G490" s="37"/>
      <c r="H490" s="13"/>
      <c r="I490" s="283"/>
      <c r="J490" s="283"/>
      <c r="L490" s="37"/>
      <c r="M490" s="13"/>
      <c r="N490" s="283"/>
      <c r="O490" s="283"/>
      <c r="Q490" s="37"/>
      <c r="R490" s="128" t="s">
        <v>2160</v>
      </c>
      <c r="S490" s="13" t="s">
        <v>2161</v>
      </c>
      <c r="T490" s="147">
        <v>287371</v>
      </c>
      <c r="U490" s="147">
        <v>0</v>
      </c>
    </row>
    <row r="491" spans="2:21" x14ac:dyDescent="0.3">
      <c r="B491" s="37"/>
      <c r="C491" s="13"/>
      <c r="D491" s="283"/>
      <c r="E491" s="283"/>
      <c r="G491" s="37"/>
      <c r="H491" s="13"/>
      <c r="I491" s="283"/>
      <c r="J491" s="283"/>
      <c r="L491" s="37"/>
      <c r="M491" s="13"/>
      <c r="N491" s="283"/>
      <c r="O491" s="283"/>
      <c r="Q491" s="37"/>
      <c r="R491" s="128" t="s">
        <v>2162</v>
      </c>
      <c r="S491" s="13" t="s">
        <v>2163</v>
      </c>
      <c r="T491" s="147">
        <v>179600</v>
      </c>
      <c r="U491" s="147">
        <v>0</v>
      </c>
    </row>
    <row r="492" spans="2:21" x14ac:dyDescent="0.3">
      <c r="B492" s="37"/>
      <c r="C492" s="13"/>
      <c r="D492" s="283"/>
      <c r="E492" s="283"/>
      <c r="G492" s="37"/>
      <c r="H492" s="13"/>
      <c r="I492" s="283"/>
      <c r="J492" s="283"/>
      <c r="L492" s="37"/>
      <c r="M492" s="13"/>
      <c r="N492" s="283"/>
      <c r="O492" s="283"/>
      <c r="Q492" s="37"/>
      <c r="R492" s="128" t="s">
        <v>2165</v>
      </c>
      <c r="S492" s="13" t="s">
        <v>2166</v>
      </c>
      <c r="T492" s="147">
        <v>98000</v>
      </c>
      <c r="U492" s="147">
        <v>0</v>
      </c>
    </row>
    <row r="493" spans="2:21" x14ac:dyDescent="0.3">
      <c r="B493" s="37"/>
      <c r="C493" s="13"/>
      <c r="D493" s="283"/>
      <c r="E493" s="283"/>
      <c r="G493" s="37"/>
      <c r="H493" s="13"/>
      <c r="I493" s="283"/>
      <c r="J493" s="283"/>
      <c r="L493" s="37"/>
      <c r="M493" s="13"/>
      <c r="N493" s="283"/>
      <c r="O493" s="283"/>
      <c r="Q493" s="37"/>
      <c r="R493" s="128" t="s">
        <v>2168</v>
      </c>
      <c r="S493" s="13" t="s">
        <v>2169</v>
      </c>
      <c r="T493" s="147">
        <v>185985</v>
      </c>
      <c r="U493" s="147">
        <v>0</v>
      </c>
    </row>
    <row r="494" spans="2:21" x14ac:dyDescent="0.3">
      <c r="B494" s="37"/>
      <c r="C494" s="13"/>
      <c r="D494" s="283"/>
      <c r="E494" s="283"/>
      <c r="G494" s="37"/>
      <c r="H494" s="13"/>
      <c r="I494" s="283"/>
      <c r="J494" s="283"/>
      <c r="L494" s="37"/>
      <c r="M494" s="13"/>
      <c r="N494" s="283"/>
      <c r="O494" s="283"/>
      <c r="Q494" s="37"/>
      <c r="R494" s="128" t="s">
        <v>3313</v>
      </c>
      <c r="S494" s="13" t="s">
        <v>2211</v>
      </c>
      <c r="T494" s="147">
        <v>97950</v>
      </c>
      <c r="U494" s="147">
        <v>0</v>
      </c>
    </row>
    <row r="495" spans="2:21" x14ac:dyDescent="0.3">
      <c r="B495" s="37"/>
      <c r="C495" s="13"/>
      <c r="D495" s="283"/>
      <c r="E495" s="283"/>
      <c r="G495" s="37"/>
      <c r="H495" s="13"/>
      <c r="I495" s="283"/>
      <c r="J495" s="283"/>
      <c r="L495" s="37"/>
      <c r="M495" s="13"/>
      <c r="N495" s="283"/>
      <c r="O495" s="283"/>
      <c r="Q495" s="37"/>
      <c r="R495" s="128" t="s">
        <v>2212</v>
      </c>
      <c r="S495" s="13" t="s">
        <v>2213</v>
      </c>
      <c r="T495" s="147">
        <v>55726</v>
      </c>
      <c r="U495" s="147">
        <v>0</v>
      </c>
    </row>
    <row r="496" spans="2:21" x14ac:dyDescent="0.3">
      <c r="B496" s="37"/>
      <c r="C496" s="13"/>
      <c r="D496" s="283"/>
      <c r="E496" s="283"/>
      <c r="G496" s="37"/>
      <c r="H496" s="13"/>
      <c r="I496" s="283"/>
      <c r="J496" s="283"/>
      <c r="L496" s="37"/>
      <c r="M496" s="13"/>
      <c r="N496" s="283"/>
      <c r="O496" s="283"/>
      <c r="Q496" s="37"/>
      <c r="R496" s="128" t="s">
        <v>2214</v>
      </c>
      <c r="S496" s="13" t="s">
        <v>2215</v>
      </c>
      <c r="T496" s="147">
        <v>196000</v>
      </c>
      <c r="U496" s="147">
        <v>0</v>
      </c>
    </row>
    <row r="497" spans="2:21" x14ac:dyDescent="0.3">
      <c r="B497" s="37"/>
      <c r="C497" s="13"/>
      <c r="D497" s="283"/>
      <c r="E497" s="283"/>
      <c r="G497" s="37"/>
      <c r="H497" s="13"/>
      <c r="I497" s="283"/>
      <c r="J497" s="283"/>
      <c r="L497" s="37"/>
      <c r="M497" s="13"/>
      <c r="N497" s="283"/>
      <c r="O497" s="283"/>
      <c r="Q497" s="37"/>
      <c r="R497" s="128" t="s">
        <v>1985</v>
      </c>
      <c r="S497" s="13" t="s">
        <v>2197</v>
      </c>
      <c r="T497" s="147">
        <v>321450</v>
      </c>
      <c r="U497" s="147">
        <v>0</v>
      </c>
    </row>
    <row r="498" spans="2:21" x14ac:dyDescent="0.3">
      <c r="B498" s="37"/>
      <c r="C498" s="13"/>
      <c r="D498" s="283"/>
      <c r="E498" s="283"/>
      <c r="G498" s="37"/>
      <c r="H498" s="13"/>
      <c r="I498" s="283"/>
      <c r="J498" s="283"/>
      <c r="L498" s="37"/>
      <c r="M498" s="13"/>
      <c r="N498" s="283"/>
      <c r="O498" s="283"/>
      <c r="Q498" s="37"/>
      <c r="R498" s="128" t="s">
        <v>1986</v>
      </c>
      <c r="S498" s="13" t="s">
        <v>2198</v>
      </c>
      <c r="T498" s="147">
        <v>165600</v>
      </c>
      <c r="U498" s="147">
        <v>0</v>
      </c>
    </row>
    <row r="499" spans="2:21" x14ac:dyDescent="0.3">
      <c r="B499" s="37"/>
      <c r="C499" s="13"/>
      <c r="D499" s="283"/>
      <c r="E499" s="283"/>
      <c r="G499" s="37"/>
      <c r="H499" s="13"/>
      <c r="I499" s="283"/>
      <c r="J499" s="283"/>
      <c r="L499" s="37"/>
      <c r="M499" s="13"/>
      <c r="N499" s="283"/>
      <c r="O499" s="283"/>
      <c r="Q499" s="37"/>
      <c r="R499" s="128" t="s">
        <v>1895</v>
      </c>
      <c r="S499" s="13" t="s">
        <v>2174</v>
      </c>
      <c r="T499" s="147">
        <v>194100</v>
      </c>
      <c r="U499" s="147">
        <v>0</v>
      </c>
    </row>
    <row r="500" spans="2:21" x14ac:dyDescent="0.3">
      <c r="B500" s="37"/>
      <c r="C500" s="13"/>
      <c r="D500" s="283"/>
      <c r="E500" s="283"/>
      <c r="G500" s="37"/>
      <c r="H500" s="13"/>
      <c r="I500" s="283"/>
      <c r="J500" s="283"/>
      <c r="L500" s="37"/>
      <c r="M500" s="13"/>
      <c r="N500" s="283"/>
      <c r="O500" s="283"/>
      <c r="Q500" s="37"/>
      <c r="R500" s="128" t="s">
        <v>2183</v>
      </c>
      <c r="S500" s="13" t="s">
        <v>2182</v>
      </c>
      <c r="T500" s="147">
        <v>199785</v>
      </c>
      <c r="U500" s="147">
        <v>0</v>
      </c>
    </row>
    <row r="501" spans="2:21" x14ac:dyDescent="0.3">
      <c r="B501" s="37"/>
      <c r="C501" s="13"/>
      <c r="D501" s="283"/>
      <c r="E501" s="283"/>
      <c r="G501" s="37"/>
      <c r="H501" s="13"/>
      <c r="I501" s="283"/>
      <c r="J501" s="283"/>
      <c r="L501" s="37"/>
      <c r="M501" s="13"/>
      <c r="N501" s="283"/>
      <c r="O501" s="283"/>
      <c r="Q501" s="37"/>
      <c r="R501" s="128" t="s">
        <v>2185</v>
      </c>
      <c r="S501" s="13" t="s">
        <v>2184</v>
      </c>
      <c r="T501" s="147">
        <v>174162</v>
      </c>
      <c r="U501" s="147">
        <v>0</v>
      </c>
    </row>
    <row r="502" spans="2:21" x14ac:dyDescent="0.3">
      <c r="B502" s="37"/>
      <c r="C502" s="13"/>
      <c r="D502" s="283"/>
      <c r="E502" s="283"/>
      <c r="G502" s="37"/>
      <c r="H502" s="13"/>
      <c r="I502" s="283"/>
      <c r="J502" s="283"/>
      <c r="L502" s="37"/>
      <c r="M502" s="13"/>
      <c r="N502" s="283"/>
      <c r="O502" s="283"/>
      <c r="Q502" s="37"/>
      <c r="R502" s="128" t="s">
        <v>2187</v>
      </c>
      <c r="S502" s="13" t="s">
        <v>2186</v>
      </c>
      <c r="T502" s="147">
        <v>196000</v>
      </c>
      <c r="U502" s="147">
        <v>0</v>
      </c>
    </row>
    <row r="503" spans="2:21" x14ac:dyDescent="0.3">
      <c r="B503" s="37"/>
      <c r="C503" s="13"/>
      <c r="D503" s="283"/>
      <c r="E503" s="283"/>
      <c r="G503" s="37"/>
      <c r="H503" s="13"/>
      <c r="I503" s="283"/>
      <c r="J503" s="283"/>
      <c r="L503" s="37"/>
      <c r="M503" s="13"/>
      <c r="N503" s="283"/>
      <c r="O503" s="283"/>
      <c r="Q503" s="37"/>
      <c r="R503" s="128" t="s">
        <v>2342</v>
      </c>
      <c r="S503" s="13" t="s">
        <v>2188</v>
      </c>
      <c r="T503" s="147">
        <v>85450</v>
      </c>
      <c r="U503" s="147">
        <v>0</v>
      </c>
    </row>
    <row r="504" spans="2:21" x14ac:dyDescent="0.3">
      <c r="B504" s="37"/>
      <c r="C504" s="13"/>
      <c r="D504" s="283"/>
      <c r="E504" s="283"/>
      <c r="G504" s="37"/>
      <c r="H504" s="13"/>
      <c r="I504" s="283"/>
      <c r="J504" s="283"/>
      <c r="L504" s="37"/>
      <c r="M504" s="13"/>
      <c r="N504" s="283"/>
      <c r="O504" s="283"/>
      <c r="Q504" s="37"/>
      <c r="R504" s="128" t="s">
        <v>2190</v>
      </c>
      <c r="S504" s="13" t="s">
        <v>2189</v>
      </c>
      <c r="T504" s="147">
        <v>343236</v>
      </c>
      <c r="U504" s="147">
        <v>0</v>
      </c>
    </row>
    <row r="505" spans="2:21" x14ac:dyDescent="0.3">
      <c r="B505" s="37"/>
      <c r="C505" s="13"/>
      <c r="D505" s="283"/>
      <c r="E505" s="283"/>
      <c r="G505" s="37"/>
      <c r="H505" s="13"/>
      <c r="I505" s="283"/>
      <c r="J505" s="283"/>
      <c r="L505" s="37"/>
      <c r="M505" s="13"/>
      <c r="N505" s="283"/>
      <c r="O505" s="283"/>
      <c r="Q505" s="37"/>
      <c r="R505" s="128" t="s">
        <v>1896</v>
      </c>
      <c r="S505" s="13" t="s">
        <v>2193</v>
      </c>
      <c r="T505" s="147">
        <v>131326</v>
      </c>
      <c r="U505" s="147">
        <v>0</v>
      </c>
    </row>
    <row r="506" spans="2:21" x14ac:dyDescent="0.3">
      <c r="B506" s="37"/>
      <c r="C506" s="13"/>
      <c r="D506" s="283"/>
      <c r="E506" s="283"/>
      <c r="G506" s="37"/>
      <c r="H506" s="13"/>
      <c r="I506" s="283"/>
      <c r="J506" s="283"/>
      <c r="L506" s="37"/>
      <c r="M506" s="13"/>
      <c r="N506" s="283"/>
      <c r="O506" s="283"/>
      <c r="Q506" s="37"/>
      <c r="R506" s="128" t="s">
        <v>3291</v>
      </c>
      <c r="S506" s="13" t="s">
        <v>2171</v>
      </c>
      <c r="T506" s="147">
        <v>97100</v>
      </c>
      <c r="U506" s="147">
        <v>0</v>
      </c>
    </row>
    <row r="507" spans="2:21" x14ac:dyDescent="0.3">
      <c r="B507" s="37"/>
      <c r="C507" s="13"/>
      <c r="D507" s="283"/>
      <c r="E507" s="283"/>
      <c r="G507" s="37"/>
      <c r="H507" s="13"/>
      <c r="I507" s="283"/>
      <c r="J507" s="283"/>
      <c r="L507" s="37"/>
      <c r="M507" s="13"/>
      <c r="N507" s="283"/>
      <c r="O507" s="283"/>
      <c r="Q507" s="37"/>
      <c r="R507" s="128" t="s">
        <v>1898</v>
      </c>
      <c r="S507" s="13" t="s">
        <v>2218</v>
      </c>
      <c r="T507" s="147">
        <v>129110</v>
      </c>
      <c r="U507" s="147">
        <v>0</v>
      </c>
    </row>
    <row r="508" spans="2:21" x14ac:dyDescent="0.3">
      <c r="B508" s="37"/>
      <c r="C508" s="13"/>
      <c r="D508" s="283"/>
      <c r="E508" s="283"/>
      <c r="G508" s="37"/>
      <c r="H508" s="13"/>
      <c r="I508" s="283"/>
      <c r="J508" s="283"/>
      <c r="L508" s="37"/>
      <c r="M508" s="13"/>
      <c r="N508" s="283"/>
      <c r="O508" s="283"/>
      <c r="Q508" s="37"/>
      <c r="R508" s="128" t="s">
        <v>2219</v>
      </c>
      <c r="S508" s="13" t="s">
        <v>2220</v>
      </c>
      <c r="T508" s="147">
        <v>176710</v>
      </c>
      <c r="U508" s="147">
        <v>0</v>
      </c>
    </row>
    <row r="509" spans="2:21" x14ac:dyDescent="0.3">
      <c r="B509" s="37"/>
      <c r="C509" s="13"/>
      <c r="D509" s="283"/>
      <c r="E509" s="283"/>
      <c r="G509" s="37"/>
      <c r="H509" s="13"/>
      <c r="I509" s="283"/>
      <c r="J509" s="283"/>
      <c r="L509" s="37"/>
      <c r="M509" s="13"/>
      <c r="N509" s="283"/>
      <c r="O509" s="283"/>
      <c r="Q509" s="37"/>
      <c r="R509" s="128" t="s">
        <v>2221</v>
      </c>
      <c r="S509" s="13" t="s">
        <v>2222</v>
      </c>
      <c r="T509" s="147">
        <v>159110</v>
      </c>
      <c r="U509" s="147">
        <v>0</v>
      </c>
    </row>
    <row r="510" spans="2:21" x14ac:dyDescent="0.3">
      <c r="B510" s="37"/>
      <c r="C510" s="13"/>
      <c r="D510" s="283"/>
      <c r="E510" s="283"/>
      <c r="G510" s="37"/>
      <c r="H510" s="13"/>
      <c r="I510" s="283"/>
      <c r="J510" s="283"/>
      <c r="L510" s="37"/>
      <c r="M510" s="13"/>
      <c r="N510" s="283"/>
      <c r="O510" s="283"/>
      <c r="Q510" s="37"/>
      <c r="R510" s="128" t="s">
        <v>2223</v>
      </c>
      <c r="S510" s="13" t="s">
        <v>2224</v>
      </c>
      <c r="T510" s="147">
        <v>206345</v>
      </c>
      <c r="U510" s="147">
        <v>0</v>
      </c>
    </row>
    <row r="511" spans="2:21" x14ac:dyDescent="0.3">
      <c r="B511" s="37"/>
      <c r="C511" s="13"/>
      <c r="D511" s="283"/>
      <c r="E511" s="283"/>
      <c r="G511" s="37"/>
      <c r="H511" s="13"/>
      <c r="I511" s="283"/>
      <c r="J511" s="283"/>
      <c r="L511" s="37"/>
      <c r="M511" s="13"/>
      <c r="N511" s="283"/>
      <c r="O511" s="283"/>
      <c r="Q511" s="37"/>
      <c r="R511" s="128" t="s">
        <v>2226</v>
      </c>
      <c r="S511" s="13" t="s">
        <v>2227</v>
      </c>
      <c r="T511" s="147">
        <v>129110</v>
      </c>
      <c r="U511" s="147">
        <v>0</v>
      </c>
    </row>
    <row r="512" spans="2:21" x14ac:dyDescent="0.3">
      <c r="B512" s="37"/>
      <c r="C512" s="13"/>
      <c r="D512" s="283"/>
      <c r="E512" s="283"/>
      <c r="G512" s="37"/>
      <c r="H512" s="13"/>
      <c r="I512" s="283"/>
      <c r="J512" s="283"/>
      <c r="L512" s="37"/>
      <c r="M512" s="13"/>
      <c r="N512" s="283"/>
      <c r="O512" s="283"/>
      <c r="Q512" s="37"/>
      <c r="R512" s="128" t="s">
        <v>2228</v>
      </c>
      <c r="S512" s="13" t="s">
        <v>1990</v>
      </c>
      <c r="T512" s="147">
        <v>129110</v>
      </c>
      <c r="U512" s="147">
        <v>0</v>
      </c>
    </row>
    <row r="513" spans="1:21" x14ac:dyDescent="0.3">
      <c r="B513" s="37"/>
      <c r="C513" s="13"/>
      <c r="D513" s="283"/>
      <c r="E513" s="283"/>
      <c r="G513" s="37"/>
      <c r="H513" s="13"/>
      <c r="I513" s="283"/>
      <c r="J513" s="283"/>
      <c r="L513" s="37"/>
      <c r="M513" s="13"/>
      <c r="N513" s="283"/>
      <c r="O513" s="283"/>
      <c r="Q513" s="37"/>
      <c r="R513" s="128" t="s">
        <v>2230</v>
      </c>
      <c r="S513" s="13" t="s">
        <v>2231</v>
      </c>
      <c r="T513" s="147">
        <v>129110</v>
      </c>
      <c r="U513" s="147">
        <v>0</v>
      </c>
    </row>
    <row r="514" spans="1:21" s="12" customFormat="1" x14ac:dyDescent="0.3">
      <c r="A514"/>
      <c r="B514" s="38"/>
      <c r="C514" s="14"/>
      <c r="D514" s="286"/>
      <c r="E514" s="286"/>
      <c r="G514" s="38"/>
      <c r="H514" s="14"/>
      <c r="I514" s="286"/>
      <c r="J514" s="286"/>
      <c r="L514" s="38"/>
      <c r="M514" s="14"/>
      <c r="N514" s="286"/>
      <c r="O514" s="286"/>
      <c r="Q514" s="198">
        <v>30010005</v>
      </c>
      <c r="R514" s="199"/>
      <c r="S514" s="200" t="s">
        <v>953</v>
      </c>
      <c r="T514" s="193">
        <f>SUM(T515:T519)-SUM(U515:U519)</f>
        <v>70029283.939999998</v>
      </c>
      <c r="U514" s="194">
        <v>0</v>
      </c>
    </row>
    <row r="515" spans="1:21" s="12" customFormat="1" x14ac:dyDescent="0.3">
      <c r="A515"/>
      <c r="B515" s="38"/>
      <c r="C515" s="14"/>
      <c r="D515" s="286"/>
      <c r="E515" s="286"/>
      <c r="G515" s="38"/>
      <c r="H515" s="14"/>
      <c r="I515" s="286"/>
      <c r="J515" s="286"/>
      <c r="L515" s="38"/>
      <c r="M515" s="14"/>
      <c r="N515" s="286"/>
      <c r="O515" s="286"/>
      <c r="Q515" s="38"/>
      <c r="R515" s="129" t="s">
        <v>2138</v>
      </c>
      <c r="S515" s="14" t="s">
        <v>7</v>
      </c>
      <c r="T515" s="148">
        <v>41448810.939999998</v>
      </c>
      <c r="U515" s="148">
        <v>0</v>
      </c>
    </row>
    <row r="516" spans="1:21" s="12" customFormat="1" x14ac:dyDescent="0.3">
      <c r="A516"/>
      <c r="B516" s="38"/>
      <c r="C516" s="14"/>
      <c r="D516" s="286"/>
      <c r="E516" s="286"/>
      <c r="G516" s="38"/>
      <c r="H516" s="14"/>
      <c r="I516" s="286"/>
      <c r="J516" s="286"/>
      <c r="L516" s="38"/>
      <c r="M516" s="14"/>
      <c r="N516" s="286"/>
      <c r="O516" s="286"/>
      <c r="Q516" s="38"/>
      <c r="R516" s="129" t="s">
        <v>1179</v>
      </c>
      <c r="S516" s="14" t="s">
        <v>2143</v>
      </c>
      <c r="T516" s="148">
        <v>7691041</v>
      </c>
      <c r="U516" s="148">
        <v>0</v>
      </c>
    </row>
    <row r="517" spans="1:21" s="12" customFormat="1" x14ac:dyDescent="0.3">
      <c r="A517"/>
      <c r="B517" s="38"/>
      <c r="C517" s="14"/>
      <c r="D517" s="286"/>
      <c r="E517" s="286"/>
      <c r="G517" s="38"/>
      <c r="H517" s="14"/>
      <c r="I517" s="286"/>
      <c r="J517" s="286"/>
      <c r="L517" s="38"/>
      <c r="M517" s="14"/>
      <c r="N517" s="286"/>
      <c r="O517" s="286"/>
      <c r="Q517" s="38"/>
      <c r="R517" s="129" t="s">
        <v>3292</v>
      </c>
      <c r="S517" s="14" t="s">
        <v>2148</v>
      </c>
      <c r="T517" s="148">
        <v>4875150</v>
      </c>
      <c r="U517" s="148">
        <v>0</v>
      </c>
    </row>
    <row r="518" spans="1:21" s="12" customFormat="1" x14ac:dyDescent="0.3">
      <c r="A518"/>
      <c r="B518" s="38"/>
      <c r="C518" s="14"/>
      <c r="D518" s="286"/>
      <c r="E518" s="286"/>
      <c r="G518" s="38"/>
      <c r="H518" s="14"/>
      <c r="I518" s="286"/>
      <c r="J518" s="286"/>
      <c r="L518" s="38"/>
      <c r="M518" s="14"/>
      <c r="N518" s="286"/>
      <c r="O518" s="286"/>
      <c r="Q518" s="38"/>
      <c r="R518" s="129" t="s">
        <v>2152</v>
      </c>
      <c r="S518" s="14" t="s">
        <v>2153</v>
      </c>
      <c r="T518" s="148">
        <v>8465939</v>
      </c>
      <c r="U518" s="148">
        <v>0</v>
      </c>
    </row>
    <row r="519" spans="1:21" s="12" customFormat="1" x14ac:dyDescent="0.3">
      <c r="A519"/>
      <c r="B519" s="38"/>
      <c r="C519" s="14"/>
      <c r="D519" s="286"/>
      <c r="E519" s="286"/>
      <c r="G519" s="38"/>
      <c r="H519" s="14"/>
      <c r="I519" s="286"/>
      <c r="J519" s="286"/>
      <c r="L519" s="38"/>
      <c r="M519" s="14"/>
      <c r="N519" s="286"/>
      <c r="O519" s="286"/>
      <c r="Q519" s="38"/>
      <c r="R519" s="129" t="s">
        <v>2156</v>
      </c>
      <c r="S519" s="14" t="s">
        <v>2157</v>
      </c>
      <c r="T519" s="148">
        <v>7548343</v>
      </c>
      <c r="U519" s="148">
        <v>0</v>
      </c>
    </row>
    <row r="520" spans="1:21" x14ac:dyDescent="0.3">
      <c r="B520" s="37"/>
      <c r="C520" s="13"/>
      <c r="D520" s="283"/>
      <c r="E520" s="283"/>
      <c r="G520" s="37"/>
      <c r="H520" s="13"/>
      <c r="I520" s="283"/>
      <c r="J520" s="283"/>
      <c r="L520" s="37"/>
      <c r="M520" s="13"/>
      <c r="N520" s="283"/>
      <c r="O520" s="283"/>
      <c r="Q520" s="195">
        <v>30010051</v>
      </c>
      <c r="R520" s="196"/>
      <c r="S520" s="197" t="s">
        <v>3319</v>
      </c>
      <c r="T520" s="194">
        <v>0</v>
      </c>
      <c r="U520" s="194">
        <f>SUM(U521)-SUM(T521)</f>
        <v>149764188</v>
      </c>
    </row>
    <row r="521" spans="1:21" x14ac:dyDescent="0.3">
      <c r="B521" s="37"/>
      <c r="C521" s="13"/>
      <c r="D521" s="283"/>
      <c r="E521" s="283"/>
      <c r="G521" s="37"/>
      <c r="H521" s="13"/>
      <c r="I521" s="283"/>
      <c r="J521" s="283"/>
      <c r="L521" s="37"/>
      <c r="M521" s="13"/>
      <c r="N521" s="283"/>
      <c r="O521" s="283"/>
      <c r="Q521" s="37"/>
      <c r="R521" s="128" t="s">
        <v>2138</v>
      </c>
      <c r="S521" s="13" t="s">
        <v>7</v>
      </c>
      <c r="T521" s="147">
        <v>0</v>
      </c>
      <c r="U521" s="147">
        <v>149764188</v>
      </c>
    </row>
    <row r="522" spans="1:21" x14ac:dyDescent="0.3">
      <c r="B522" s="37"/>
      <c r="C522" s="13"/>
      <c r="D522" s="283"/>
      <c r="E522" s="283"/>
      <c r="G522" s="37"/>
      <c r="H522" s="13"/>
      <c r="I522" s="283"/>
      <c r="J522" s="283"/>
      <c r="L522" s="37"/>
      <c r="M522" s="13"/>
      <c r="N522" s="283"/>
      <c r="O522" s="283"/>
      <c r="Q522" s="195">
        <v>30010052</v>
      </c>
      <c r="R522" s="196"/>
      <c r="S522" s="200" t="s">
        <v>3246</v>
      </c>
      <c r="T522" s="194">
        <v>0</v>
      </c>
      <c r="U522" s="194">
        <f>SUM(U523)-SUM(T523)</f>
        <v>249068627</v>
      </c>
    </row>
    <row r="523" spans="1:21" x14ac:dyDescent="0.3">
      <c r="B523" s="37"/>
      <c r="C523" s="13"/>
      <c r="D523" s="283"/>
      <c r="E523" s="283"/>
      <c r="G523" s="37"/>
      <c r="H523" s="13"/>
      <c r="I523" s="283"/>
      <c r="J523" s="283"/>
      <c r="L523" s="37"/>
      <c r="M523" s="13"/>
      <c r="N523" s="283"/>
      <c r="O523" s="283"/>
      <c r="Q523" s="37"/>
      <c r="R523" s="128" t="s">
        <v>2138</v>
      </c>
      <c r="S523" s="14" t="s">
        <v>7</v>
      </c>
      <c r="T523" s="147">
        <v>0</v>
      </c>
      <c r="U523" s="147">
        <v>249068627</v>
      </c>
    </row>
    <row r="524" spans="1:21" x14ac:dyDescent="0.3">
      <c r="B524" s="37"/>
      <c r="C524" s="13"/>
      <c r="D524" s="283"/>
      <c r="E524" s="283"/>
      <c r="G524" s="37"/>
      <c r="H524" s="13"/>
      <c r="I524" s="283"/>
      <c r="J524" s="283"/>
      <c r="L524" s="37"/>
      <c r="M524" s="13"/>
      <c r="N524" s="283"/>
      <c r="O524" s="283"/>
      <c r="Q524" s="195">
        <v>30010053</v>
      </c>
      <c r="R524" s="196"/>
      <c r="S524" s="200" t="s">
        <v>3247</v>
      </c>
      <c r="T524" s="194">
        <v>0</v>
      </c>
      <c r="U524" s="194">
        <f>SUM(U525)-SUM(T525)</f>
        <v>26518563.98</v>
      </c>
    </row>
    <row r="525" spans="1:21" x14ac:dyDescent="0.3">
      <c r="B525" s="37"/>
      <c r="C525" s="13"/>
      <c r="D525" s="283"/>
      <c r="E525" s="283"/>
      <c r="G525" s="37"/>
      <c r="H525" s="13"/>
      <c r="I525" s="283"/>
      <c r="J525" s="283"/>
      <c r="L525" s="37"/>
      <c r="M525" s="13"/>
      <c r="N525" s="283"/>
      <c r="O525" s="283"/>
      <c r="Q525" s="37"/>
      <c r="R525" s="128" t="s">
        <v>2138</v>
      </c>
      <c r="S525" s="14" t="s">
        <v>7</v>
      </c>
      <c r="T525" s="147">
        <v>0</v>
      </c>
      <c r="U525" s="147">
        <v>26518563.98</v>
      </c>
    </row>
    <row r="526" spans="1:21" x14ac:dyDescent="0.3">
      <c r="B526" s="37"/>
      <c r="C526" s="13"/>
      <c r="D526" s="283"/>
      <c r="E526" s="283"/>
      <c r="G526" s="37"/>
      <c r="H526" s="13"/>
      <c r="I526" s="283"/>
      <c r="J526" s="283"/>
      <c r="L526" s="37"/>
      <c r="M526" s="13"/>
      <c r="N526" s="283"/>
      <c r="O526" s="283"/>
      <c r="Q526" s="195">
        <v>30010054</v>
      </c>
      <c r="R526" s="196"/>
      <c r="S526" s="200" t="s">
        <v>3248</v>
      </c>
      <c r="T526" s="194">
        <v>0</v>
      </c>
      <c r="U526" s="194">
        <f>SUM(U527)-SUM(T527)</f>
        <v>15686610</v>
      </c>
    </row>
    <row r="527" spans="1:21" x14ac:dyDescent="0.3">
      <c r="B527" s="37"/>
      <c r="C527" s="13"/>
      <c r="D527" s="283"/>
      <c r="E527" s="283"/>
      <c r="G527" s="37"/>
      <c r="H527" s="13"/>
      <c r="I527" s="283"/>
      <c r="J527" s="283"/>
      <c r="L527" s="37"/>
      <c r="M527" s="13"/>
      <c r="N527" s="283"/>
      <c r="O527" s="283"/>
      <c r="Q527" s="37"/>
      <c r="R527" s="128" t="s">
        <v>2138</v>
      </c>
      <c r="S527" s="14" t="s">
        <v>7</v>
      </c>
      <c r="T527" s="147">
        <v>0</v>
      </c>
      <c r="U527" s="147">
        <v>15686610</v>
      </c>
    </row>
    <row r="528" spans="1:21" x14ac:dyDescent="0.3">
      <c r="B528" s="37"/>
      <c r="C528" s="13"/>
      <c r="D528" s="283"/>
      <c r="E528" s="283"/>
      <c r="G528" s="37"/>
      <c r="H528" s="13"/>
      <c r="I528" s="283"/>
      <c r="J528" s="283"/>
      <c r="L528" s="37"/>
      <c r="M528" s="13"/>
      <c r="N528" s="283"/>
      <c r="O528" s="283"/>
      <c r="Q528" s="195">
        <v>30010055</v>
      </c>
      <c r="R528" s="196"/>
      <c r="S528" s="200" t="s">
        <v>3249</v>
      </c>
      <c r="T528" s="194">
        <v>0</v>
      </c>
      <c r="U528" s="194">
        <f>SUM(U529)-SUM(T529)</f>
        <v>33206705</v>
      </c>
    </row>
    <row r="529" spans="2:21" x14ac:dyDescent="0.3">
      <c r="B529" s="37"/>
      <c r="C529" s="13"/>
      <c r="D529" s="283"/>
      <c r="E529" s="283"/>
      <c r="G529" s="37"/>
      <c r="H529" s="13"/>
      <c r="I529" s="283"/>
      <c r="J529" s="283"/>
      <c r="L529" s="37"/>
      <c r="M529" s="13"/>
      <c r="N529" s="283"/>
      <c r="O529" s="283"/>
      <c r="Q529" s="37"/>
      <c r="R529" s="128" t="s">
        <v>2138</v>
      </c>
      <c r="S529" s="14" t="s">
        <v>7</v>
      </c>
      <c r="T529" s="147">
        <v>0</v>
      </c>
      <c r="U529" s="147">
        <v>33206705</v>
      </c>
    </row>
    <row r="530" spans="2:21" x14ac:dyDescent="0.3">
      <c r="B530" s="37"/>
      <c r="C530" s="13"/>
      <c r="D530" s="283"/>
      <c r="E530" s="283"/>
      <c r="G530" s="37"/>
      <c r="H530" s="13"/>
      <c r="I530" s="283"/>
      <c r="J530" s="283"/>
      <c r="L530" s="37"/>
      <c r="M530" s="13"/>
      <c r="N530" s="283"/>
      <c r="O530" s="283"/>
      <c r="Q530" s="37"/>
      <c r="R530" s="128"/>
      <c r="S530" s="14"/>
      <c r="T530" s="147"/>
      <c r="U530" s="147"/>
    </row>
    <row r="531" spans="2:21" x14ac:dyDescent="0.3">
      <c r="B531" s="37"/>
      <c r="C531" s="13"/>
      <c r="D531" s="283"/>
      <c r="E531" s="283"/>
      <c r="G531" s="37"/>
      <c r="H531" s="13"/>
      <c r="I531" s="283"/>
      <c r="J531" s="283"/>
      <c r="K531">
        <v>3002</v>
      </c>
      <c r="L531" s="195">
        <v>3002</v>
      </c>
      <c r="M531" s="197" t="s">
        <v>890</v>
      </c>
      <c r="N531" s="288">
        <f>T531+T532+T533+T543+T549</f>
        <v>7891367</v>
      </c>
      <c r="O531" s="288">
        <v>0</v>
      </c>
      <c r="Q531" s="198">
        <v>30020001</v>
      </c>
      <c r="R531" s="199"/>
      <c r="S531" s="200" t="s">
        <v>2036</v>
      </c>
      <c r="T531" s="322">
        <v>0</v>
      </c>
      <c r="U531" s="292">
        <v>0</v>
      </c>
    </row>
    <row r="532" spans="2:21" x14ac:dyDescent="0.3">
      <c r="B532" s="37"/>
      <c r="C532" s="13"/>
      <c r="D532" s="283"/>
      <c r="E532" s="283"/>
      <c r="G532" s="37"/>
      <c r="H532" s="13"/>
      <c r="I532" s="283"/>
      <c r="J532" s="283"/>
      <c r="L532" s="37"/>
      <c r="M532" s="13"/>
      <c r="N532" s="283"/>
      <c r="O532" s="283"/>
      <c r="Q532" s="195">
        <v>30020002</v>
      </c>
      <c r="R532" s="196"/>
      <c r="S532" s="200" t="s">
        <v>3250</v>
      </c>
      <c r="T532" s="194">
        <v>0</v>
      </c>
      <c r="U532" s="194">
        <v>0</v>
      </c>
    </row>
    <row r="533" spans="2:21" x14ac:dyDescent="0.3">
      <c r="B533" s="37"/>
      <c r="C533" s="13"/>
      <c r="D533" s="283"/>
      <c r="E533" s="283"/>
      <c r="G533" s="37"/>
      <c r="H533" s="13"/>
      <c r="I533" s="283"/>
      <c r="J533" s="283"/>
      <c r="L533" s="37"/>
      <c r="M533" s="13"/>
      <c r="N533" s="283"/>
      <c r="O533" s="283"/>
      <c r="Q533" s="195">
        <v>30020003</v>
      </c>
      <c r="R533" s="196"/>
      <c r="S533" s="197" t="s">
        <v>2037</v>
      </c>
      <c r="T533" s="322">
        <f>SUM(T534:T542)-SUM(U534:U542)</f>
        <v>842382</v>
      </c>
      <c r="U533" s="201">
        <v>0</v>
      </c>
    </row>
    <row r="534" spans="2:21" x14ac:dyDescent="0.3">
      <c r="B534" s="37"/>
      <c r="C534" s="13"/>
      <c r="D534" s="283"/>
      <c r="E534" s="283"/>
      <c r="G534" s="37"/>
      <c r="H534" s="13"/>
      <c r="I534" s="283"/>
      <c r="J534" s="283"/>
      <c r="L534" s="37"/>
      <c r="M534" s="13"/>
      <c r="N534" s="283"/>
      <c r="O534" s="283"/>
      <c r="Q534" s="195"/>
      <c r="R534" s="128" t="s">
        <v>1934</v>
      </c>
      <c r="S534" s="13" t="s">
        <v>2196</v>
      </c>
      <c r="T534" s="202">
        <v>24000</v>
      </c>
      <c r="U534" s="147">
        <v>0</v>
      </c>
    </row>
    <row r="535" spans="2:21" x14ac:dyDescent="0.3">
      <c r="B535" s="37"/>
      <c r="C535" s="13"/>
      <c r="D535" s="283"/>
      <c r="E535" s="283"/>
      <c r="G535" s="37"/>
      <c r="H535" s="13"/>
      <c r="I535" s="283"/>
      <c r="J535" s="283"/>
      <c r="L535" s="37"/>
      <c r="M535" s="13"/>
      <c r="N535" s="283"/>
      <c r="O535" s="283"/>
      <c r="Q535" s="195"/>
      <c r="R535" s="128" t="s">
        <v>2199</v>
      </c>
      <c r="S535" s="13" t="s">
        <v>2200</v>
      </c>
      <c r="T535" s="202">
        <v>222000</v>
      </c>
      <c r="U535" s="147">
        <v>0</v>
      </c>
    </row>
    <row r="536" spans="2:21" x14ac:dyDescent="0.3">
      <c r="B536" s="37"/>
      <c r="C536" s="13"/>
      <c r="D536" s="283"/>
      <c r="E536" s="283"/>
      <c r="G536" s="37"/>
      <c r="H536" s="13"/>
      <c r="I536" s="283"/>
      <c r="J536" s="283"/>
      <c r="L536" s="37"/>
      <c r="M536" s="13"/>
      <c r="N536" s="283"/>
      <c r="O536" s="283"/>
      <c r="Q536" s="195"/>
      <c r="R536" s="128" t="s">
        <v>2201</v>
      </c>
      <c r="S536" s="13" t="s">
        <v>2202</v>
      </c>
      <c r="T536" s="202">
        <v>10000</v>
      </c>
      <c r="U536" s="147">
        <v>0</v>
      </c>
    </row>
    <row r="537" spans="2:21" x14ac:dyDescent="0.3">
      <c r="B537" s="37"/>
      <c r="C537" s="13"/>
      <c r="D537" s="283"/>
      <c r="E537" s="283"/>
      <c r="G537" s="37"/>
      <c r="H537" s="13"/>
      <c r="I537" s="283"/>
      <c r="J537" s="283"/>
      <c r="L537" s="37"/>
      <c r="M537" s="13"/>
      <c r="N537" s="283"/>
      <c r="O537" s="283"/>
      <c r="Q537" s="195"/>
      <c r="R537" s="128" t="s">
        <v>2205</v>
      </c>
      <c r="S537" s="13" t="s">
        <v>2206</v>
      </c>
      <c r="T537" s="202">
        <v>215000</v>
      </c>
      <c r="U537" s="147">
        <v>0</v>
      </c>
    </row>
    <row r="538" spans="2:21" x14ac:dyDescent="0.3">
      <c r="B538" s="37"/>
      <c r="C538" s="13"/>
      <c r="D538" s="283"/>
      <c r="E538" s="283"/>
      <c r="G538" s="37"/>
      <c r="H538" s="13"/>
      <c r="I538" s="283"/>
      <c r="J538" s="283"/>
      <c r="L538" s="37"/>
      <c r="M538" s="13"/>
      <c r="N538" s="283"/>
      <c r="O538" s="283"/>
      <c r="Q538" s="195"/>
      <c r="R538" s="128" t="s">
        <v>2207</v>
      </c>
      <c r="S538" s="13" t="s">
        <v>2208</v>
      </c>
      <c r="T538" s="202">
        <v>115000</v>
      </c>
      <c r="U538" s="147">
        <v>0</v>
      </c>
    </row>
    <row r="539" spans="2:21" x14ac:dyDescent="0.3">
      <c r="B539" s="37"/>
      <c r="C539" s="13"/>
      <c r="D539" s="283"/>
      <c r="E539" s="283"/>
      <c r="G539" s="37"/>
      <c r="H539" s="13"/>
      <c r="I539" s="283"/>
      <c r="J539" s="283"/>
      <c r="L539" s="37"/>
      <c r="M539" s="13"/>
      <c r="N539" s="283"/>
      <c r="O539" s="283"/>
      <c r="Q539" s="195"/>
      <c r="R539" s="128" t="s">
        <v>2162</v>
      </c>
      <c r="S539" s="13" t="s">
        <v>2163</v>
      </c>
      <c r="T539" s="202">
        <v>31382</v>
      </c>
      <c r="U539" s="147">
        <v>0</v>
      </c>
    </row>
    <row r="540" spans="2:21" x14ac:dyDescent="0.3">
      <c r="B540" s="37"/>
      <c r="C540" s="13"/>
      <c r="D540" s="283"/>
      <c r="E540" s="283"/>
      <c r="G540" s="37"/>
      <c r="H540" s="13"/>
      <c r="I540" s="283"/>
      <c r="J540" s="283"/>
      <c r="L540" s="37"/>
      <c r="M540" s="13"/>
      <c r="N540" s="283"/>
      <c r="O540" s="283"/>
      <c r="Q540" s="195"/>
      <c r="R540" s="128" t="s">
        <v>2214</v>
      </c>
      <c r="S540" s="13" t="s">
        <v>2215</v>
      </c>
      <c r="T540" s="202">
        <v>115000</v>
      </c>
      <c r="U540" s="147">
        <v>0</v>
      </c>
    </row>
    <row r="541" spans="2:21" x14ac:dyDescent="0.3">
      <c r="B541" s="37"/>
      <c r="C541" s="13"/>
      <c r="D541" s="283"/>
      <c r="E541" s="283"/>
      <c r="G541" s="37"/>
      <c r="H541" s="13"/>
      <c r="I541" s="283"/>
      <c r="J541" s="283"/>
      <c r="L541" s="37"/>
      <c r="M541" s="13"/>
      <c r="N541" s="283"/>
      <c r="O541" s="283"/>
      <c r="Q541" s="195"/>
      <c r="R541" s="128" t="s">
        <v>1898</v>
      </c>
      <c r="S541" s="13" t="s">
        <v>2218</v>
      </c>
      <c r="T541" s="202">
        <v>55000</v>
      </c>
      <c r="U541" s="147">
        <v>0</v>
      </c>
    </row>
    <row r="542" spans="2:21" x14ac:dyDescent="0.3">
      <c r="B542" s="37"/>
      <c r="C542" s="13"/>
      <c r="D542" s="283"/>
      <c r="E542" s="283"/>
      <c r="G542" s="37"/>
      <c r="H542" s="13"/>
      <c r="I542" s="283"/>
      <c r="J542" s="283"/>
      <c r="L542" s="37"/>
      <c r="M542" s="13"/>
      <c r="N542" s="283"/>
      <c r="O542" s="283"/>
      <c r="Q542" s="195"/>
      <c r="R542" s="128" t="s">
        <v>2223</v>
      </c>
      <c r="S542" s="13" t="s">
        <v>2224</v>
      </c>
      <c r="T542" s="202">
        <v>55000</v>
      </c>
      <c r="U542" s="147">
        <v>0</v>
      </c>
    </row>
    <row r="543" spans="2:21" x14ac:dyDescent="0.3">
      <c r="B543" s="37"/>
      <c r="C543" s="13"/>
      <c r="D543" s="283"/>
      <c r="E543" s="283"/>
      <c r="G543" s="37"/>
      <c r="H543" s="13"/>
      <c r="I543" s="283"/>
      <c r="J543" s="283"/>
      <c r="L543" s="37"/>
      <c r="M543" s="13"/>
      <c r="N543" s="283"/>
      <c r="O543" s="283"/>
      <c r="Q543" s="195">
        <v>30020004</v>
      </c>
      <c r="R543" s="196"/>
      <c r="S543" s="197" t="s">
        <v>2039</v>
      </c>
      <c r="T543" s="322">
        <f>SUM(T544:T548)-SUM(U544:U548)</f>
        <v>7048985</v>
      </c>
      <c r="U543" s="201">
        <v>0</v>
      </c>
    </row>
    <row r="544" spans="2:21" x14ac:dyDescent="0.3">
      <c r="B544" s="37"/>
      <c r="C544" s="13"/>
      <c r="D544" s="283"/>
      <c r="E544" s="283"/>
      <c r="G544" s="37"/>
      <c r="H544" s="13"/>
      <c r="I544" s="283"/>
      <c r="J544" s="283"/>
      <c r="L544" s="37"/>
      <c r="M544" s="13"/>
      <c r="N544" s="283"/>
      <c r="O544" s="283"/>
      <c r="Q544" s="195"/>
      <c r="R544" s="128" t="s">
        <v>2138</v>
      </c>
      <c r="S544" s="13" t="s">
        <v>7</v>
      </c>
      <c r="T544" s="202">
        <v>6800000</v>
      </c>
      <c r="U544" s="147">
        <v>0</v>
      </c>
    </row>
    <row r="545" spans="2:21" x14ac:dyDescent="0.3">
      <c r="B545" s="37"/>
      <c r="C545" s="13"/>
      <c r="D545" s="283"/>
      <c r="E545" s="283"/>
      <c r="G545" s="37"/>
      <c r="H545" s="13"/>
      <c r="I545" s="283"/>
      <c r="J545" s="283"/>
      <c r="L545" s="37"/>
      <c r="M545" s="13"/>
      <c r="N545" s="283"/>
      <c r="O545" s="283"/>
      <c r="Q545" s="195"/>
      <c r="R545" s="128" t="s">
        <v>2205</v>
      </c>
      <c r="S545" s="13" t="s">
        <v>2206</v>
      </c>
      <c r="T545" s="202">
        <v>48395</v>
      </c>
      <c r="U545" s="147">
        <v>0</v>
      </c>
    </row>
    <row r="546" spans="2:21" x14ac:dyDescent="0.3">
      <c r="B546" s="37"/>
      <c r="C546" s="13"/>
      <c r="D546" s="283"/>
      <c r="E546" s="283"/>
      <c r="G546" s="37"/>
      <c r="H546" s="13"/>
      <c r="I546" s="283"/>
      <c r="J546" s="283"/>
      <c r="L546" s="37"/>
      <c r="M546" s="13"/>
      <c r="N546" s="283"/>
      <c r="O546" s="283"/>
      <c r="Q546" s="195"/>
      <c r="R546" s="128" t="s">
        <v>2209</v>
      </c>
      <c r="S546" s="13" t="s">
        <v>2210</v>
      </c>
      <c r="T546" s="202">
        <v>64090</v>
      </c>
      <c r="U546" s="147">
        <v>0</v>
      </c>
    </row>
    <row r="547" spans="2:21" x14ac:dyDescent="0.3">
      <c r="B547" s="37"/>
      <c r="C547" s="13"/>
      <c r="D547" s="283"/>
      <c r="E547" s="283"/>
      <c r="G547" s="37"/>
      <c r="H547" s="13"/>
      <c r="I547" s="283"/>
      <c r="J547" s="283"/>
      <c r="L547" s="37"/>
      <c r="M547" s="13"/>
      <c r="N547" s="283"/>
      <c r="O547" s="283"/>
      <c r="Q547" s="195"/>
      <c r="R547" s="128" t="s">
        <v>2185</v>
      </c>
      <c r="S547" s="13" t="s">
        <v>2184</v>
      </c>
      <c r="T547" s="202">
        <v>78000</v>
      </c>
      <c r="U547" s="147">
        <v>0</v>
      </c>
    </row>
    <row r="548" spans="2:21" x14ac:dyDescent="0.3">
      <c r="B548" s="37"/>
      <c r="C548" s="13"/>
      <c r="D548" s="283"/>
      <c r="E548" s="283"/>
      <c r="G548" s="37"/>
      <c r="H548" s="13"/>
      <c r="I548" s="283"/>
      <c r="J548" s="283"/>
      <c r="L548" s="37"/>
      <c r="M548" s="13"/>
      <c r="N548" s="283"/>
      <c r="O548" s="283"/>
      <c r="Q548" s="195"/>
      <c r="R548" s="128" t="s">
        <v>2192</v>
      </c>
      <c r="S548" s="13" t="s">
        <v>2191</v>
      </c>
      <c r="T548" s="202">
        <v>58500</v>
      </c>
      <c r="U548" s="147">
        <v>0</v>
      </c>
    </row>
    <row r="549" spans="2:21" x14ac:dyDescent="0.3">
      <c r="B549" s="37"/>
      <c r="C549" s="13"/>
      <c r="D549" s="283"/>
      <c r="E549" s="283"/>
      <c r="G549" s="37"/>
      <c r="H549" s="13"/>
      <c r="I549" s="283"/>
      <c r="J549" s="283"/>
      <c r="L549" s="37"/>
      <c r="M549" s="13"/>
      <c r="N549" s="283"/>
      <c r="O549" s="283"/>
      <c r="Q549" s="195">
        <v>30020005</v>
      </c>
      <c r="R549" s="196"/>
      <c r="S549" s="200" t="s">
        <v>2038</v>
      </c>
      <c r="T549" s="194">
        <v>0</v>
      </c>
      <c r="U549" s="194">
        <v>0</v>
      </c>
    </row>
    <row r="550" spans="2:21" x14ac:dyDescent="0.3">
      <c r="B550" s="37"/>
      <c r="C550" s="13"/>
      <c r="D550" s="283"/>
      <c r="E550" s="283"/>
      <c r="G550" s="37"/>
      <c r="H550" s="13"/>
      <c r="I550" s="283"/>
      <c r="J550" s="283"/>
      <c r="K550">
        <v>3003</v>
      </c>
      <c r="L550" s="195">
        <v>3003</v>
      </c>
      <c r="M550" s="197" t="s">
        <v>2041</v>
      </c>
      <c r="N550" s="288">
        <f>T550-U559</f>
        <v>2635109</v>
      </c>
      <c r="O550" s="288">
        <v>0</v>
      </c>
      <c r="Q550" s="195">
        <v>30030001</v>
      </c>
      <c r="R550" s="196"/>
      <c r="S550" s="197" t="s">
        <v>2042</v>
      </c>
      <c r="T550" s="193">
        <f>SUM(T551:T558)-SUM(U551:U558)</f>
        <v>5264573</v>
      </c>
      <c r="U550" s="194">
        <v>0</v>
      </c>
    </row>
    <row r="551" spans="2:21" x14ac:dyDescent="0.3">
      <c r="B551" s="37"/>
      <c r="C551" s="13"/>
      <c r="D551" s="283"/>
      <c r="E551" s="283"/>
      <c r="G551" s="37"/>
      <c r="H551" s="13"/>
      <c r="I551" s="283"/>
      <c r="J551" s="283"/>
      <c r="L551" s="37"/>
      <c r="M551" s="13"/>
      <c r="N551" s="283"/>
      <c r="O551" s="283"/>
      <c r="Q551" s="37"/>
      <c r="R551" s="128" t="s">
        <v>2138</v>
      </c>
      <c r="S551" s="13" t="s">
        <v>7</v>
      </c>
      <c r="T551" s="147">
        <v>4105174</v>
      </c>
      <c r="U551" s="147">
        <v>0</v>
      </c>
    </row>
    <row r="552" spans="2:21" x14ac:dyDescent="0.3">
      <c r="B552" s="37"/>
      <c r="C552" s="13"/>
      <c r="D552" s="283"/>
      <c r="E552" s="283"/>
      <c r="G552" s="37"/>
      <c r="H552" s="13"/>
      <c r="I552" s="283"/>
      <c r="J552" s="283"/>
      <c r="L552" s="37"/>
      <c r="M552" s="13"/>
      <c r="N552" s="283"/>
      <c r="O552" s="283"/>
      <c r="Q552" s="37"/>
      <c r="R552" s="128" t="s">
        <v>2152</v>
      </c>
      <c r="S552" s="13" t="s">
        <v>2153</v>
      </c>
      <c r="T552" s="147">
        <v>886181</v>
      </c>
      <c r="U552" s="147">
        <v>0</v>
      </c>
    </row>
    <row r="553" spans="2:21" x14ac:dyDescent="0.3">
      <c r="B553" s="37"/>
      <c r="C553" s="13"/>
      <c r="D553" s="283"/>
      <c r="E553" s="283"/>
      <c r="G553" s="37"/>
      <c r="H553" s="13"/>
      <c r="I553" s="283"/>
      <c r="J553" s="283"/>
      <c r="L553" s="37"/>
      <c r="M553" s="13"/>
      <c r="N553" s="283"/>
      <c r="O553" s="283"/>
      <c r="Q553" s="37"/>
      <c r="R553" s="128" t="s">
        <v>2199</v>
      </c>
      <c r="S553" s="13" t="s">
        <v>2200</v>
      </c>
      <c r="T553" s="147">
        <v>51740</v>
      </c>
      <c r="U553" s="147">
        <v>0</v>
      </c>
    </row>
    <row r="554" spans="2:21" x14ac:dyDescent="0.3">
      <c r="B554" s="37"/>
      <c r="C554" s="13"/>
      <c r="D554" s="283"/>
      <c r="E554" s="283"/>
      <c r="G554" s="37"/>
      <c r="H554" s="13"/>
      <c r="I554" s="283"/>
      <c r="J554" s="283"/>
      <c r="L554" s="37"/>
      <c r="M554" s="13"/>
      <c r="N554" s="283"/>
      <c r="O554" s="283"/>
      <c r="Q554" s="37"/>
      <c r="R554" s="128" t="s">
        <v>2207</v>
      </c>
      <c r="S554" s="13" t="s">
        <v>2208</v>
      </c>
      <c r="T554" s="147">
        <v>33130</v>
      </c>
      <c r="U554" s="147">
        <v>0</v>
      </c>
    </row>
    <row r="555" spans="2:21" x14ac:dyDescent="0.3">
      <c r="B555" s="37"/>
      <c r="C555" s="13"/>
      <c r="D555" s="283"/>
      <c r="E555" s="283"/>
      <c r="G555" s="37"/>
      <c r="H555" s="13"/>
      <c r="I555" s="283"/>
      <c r="J555" s="283"/>
      <c r="L555" s="37"/>
      <c r="M555" s="13"/>
      <c r="N555" s="283"/>
      <c r="O555" s="283"/>
      <c r="Q555" s="37"/>
      <c r="R555" s="128" t="s">
        <v>2209</v>
      </c>
      <c r="S555" s="13" t="s">
        <v>2210</v>
      </c>
      <c r="T555" s="147">
        <v>51740</v>
      </c>
      <c r="U555" s="147">
        <v>0</v>
      </c>
    </row>
    <row r="556" spans="2:21" x14ac:dyDescent="0.3">
      <c r="B556" s="37"/>
      <c r="C556" s="13"/>
      <c r="D556" s="283"/>
      <c r="E556" s="283"/>
      <c r="G556" s="37"/>
      <c r="H556" s="13"/>
      <c r="I556" s="283"/>
      <c r="J556" s="283"/>
      <c r="L556" s="37"/>
      <c r="M556" s="13"/>
      <c r="N556" s="283"/>
      <c r="O556" s="283"/>
      <c r="Q556" s="37"/>
      <c r="R556" s="128" t="s">
        <v>3313</v>
      </c>
      <c r="S556" s="13" t="s">
        <v>2211</v>
      </c>
      <c r="T556" s="147">
        <v>51740</v>
      </c>
      <c r="U556" s="147">
        <v>0</v>
      </c>
    </row>
    <row r="557" spans="2:21" x14ac:dyDescent="0.3">
      <c r="B557" s="37"/>
      <c r="C557" s="13"/>
      <c r="D557" s="283"/>
      <c r="E557" s="283"/>
      <c r="G557" s="37"/>
      <c r="H557" s="13"/>
      <c r="I557" s="283"/>
      <c r="J557" s="283"/>
      <c r="L557" s="37"/>
      <c r="M557" s="13"/>
      <c r="N557" s="283"/>
      <c r="O557" s="283"/>
      <c r="Q557" s="37"/>
      <c r="R557" s="128" t="s">
        <v>2212</v>
      </c>
      <c r="S557" s="13" t="s">
        <v>2213</v>
      </c>
      <c r="T557" s="147">
        <v>51739</v>
      </c>
      <c r="U557" s="147">
        <v>0</v>
      </c>
    </row>
    <row r="558" spans="2:21" x14ac:dyDescent="0.3">
      <c r="B558" s="37"/>
      <c r="C558" s="13"/>
      <c r="D558" s="283"/>
      <c r="E558" s="283"/>
      <c r="G558" s="37"/>
      <c r="H558" s="13"/>
      <c r="I558" s="283"/>
      <c r="J558" s="283"/>
      <c r="L558" s="37"/>
      <c r="M558" s="13"/>
      <c r="N558" s="283"/>
      <c r="O558" s="283"/>
      <c r="Q558" s="37"/>
      <c r="R558" s="128" t="s">
        <v>2214</v>
      </c>
      <c r="S558" s="13" t="s">
        <v>2215</v>
      </c>
      <c r="T558" s="147">
        <v>33129</v>
      </c>
      <c r="U558" s="147">
        <v>0</v>
      </c>
    </row>
    <row r="559" spans="2:21" x14ac:dyDescent="0.3">
      <c r="B559" s="37"/>
      <c r="C559" s="13"/>
      <c r="D559" s="287"/>
      <c r="E559" s="287"/>
      <c r="G559" s="37"/>
      <c r="H559" s="13"/>
      <c r="I559" s="287"/>
      <c r="J559" s="287"/>
      <c r="L559" s="40"/>
      <c r="M559" s="15"/>
      <c r="N559" s="287"/>
      <c r="O559" s="287"/>
      <c r="P559" s="11"/>
      <c r="Q559" s="195">
        <v>30030051</v>
      </c>
      <c r="R559" s="196"/>
      <c r="S559" s="200" t="s">
        <v>2093</v>
      </c>
      <c r="T559" s="194">
        <v>0</v>
      </c>
      <c r="U559" s="194">
        <f>SUM(U560)-SUM(T560)</f>
        <v>2629464</v>
      </c>
    </row>
    <row r="560" spans="2:21" x14ac:dyDescent="0.3">
      <c r="B560" s="37"/>
      <c r="C560" s="13"/>
      <c r="D560" s="287"/>
      <c r="E560" s="287"/>
      <c r="G560" s="37"/>
      <c r="H560" s="13"/>
      <c r="I560" s="287"/>
      <c r="J560" s="287"/>
      <c r="L560" s="40"/>
      <c r="M560" s="15"/>
      <c r="N560" s="287"/>
      <c r="O560" s="287"/>
      <c r="P560" s="11"/>
      <c r="Q560" s="37"/>
      <c r="R560" s="128" t="s">
        <v>2138</v>
      </c>
      <c r="S560" s="14" t="s">
        <v>7</v>
      </c>
      <c r="T560" s="147">
        <v>0</v>
      </c>
      <c r="U560" s="147">
        <v>2629464</v>
      </c>
    </row>
    <row r="561" spans="2:21" x14ac:dyDescent="0.3">
      <c r="B561" s="37"/>
      <c r="C561" s="13"/>
      <c r="D561" s="286"/>
      <c r="E561" s="286"/>
      <c r="G561" s="37"/>
      <c r="H561" s="13"/>
      <c r="I561" s="286"/>
      <c r="J561" s="286"/>
      <c r="K561">
        <v>3004</v>
      </c>
      <c r="L561" s="198">
        <v>3004</v>
      </c>
      <c r="M561" s="200" t="s">
        <v>2044</v>
      </c>
      <c r="N561" s="289">
        <f>T561-U563</f>
        <v>676818813</v>
      </c>
      <c r="O561" s="289">
        <v>0</v>
      </c>
      <c r="P561" s="11"/>
      <c r="Q561" s="195">
        <v>30040001</v>
      </c>
      <c r="R561" s="196"/>
      <c r="S561" s="200" t="s">
        <v>2045</v>
      </c>
      <c r="T561" s="194">
        <f>SUM(T562)-SUM(U562)</f>
        <v>1537023679</v>
      </c>
      <c r="U561" s="194">
        <v>0</v>
      </c>
    </row>
    <row r="562" spans="2:21" x14ac:dyDescent="0.3">
      <c r="B562" s="37"/>
      <c r="C562" s="13"/>
      <c r="D562" s="286"/>
      <c r="E562" s="286"/>
      <c r="G562" s="37"/>
      <c r="H562" s="13"/>
      <c r="I562" s="286"/>
      <c r="J562" s="286"/>
      <c r="L562" s="38"/>
      <c r="M562" s="14"/>
      <c r="N562" s="286"/>
      <c r="O562" s="286"/>
      <c r="P562" s="11"/>
      <c r="Q562" s="37"/>
      <c r="R562" s="128" t="s">
        <v>2138</v>
      </c>
      <c r="S562" s="14" t="s">
        <v>7</v>
      </c>
      <c r="T562" s="147">
        <v>1537023679</v>
      </c>
      <c r="U562" s="147">
        <v>0</v>
      </c>
    </row>
    <row r="563" spans="2:21" x14ac:dyDescent="0.3">
      <c r="B563" s="37"/>
      <c r="C563" s="13"/>
      <c r="D563" s="287"/>
      <c r="E563" s="287"/>
      <c r="G563" s="37"/>
      <c r="H563" s="13"/>
      <c r="I563" s="287"/>
      <c r="J563" s="287"/>
      <c r="L563" s="40"/>
      <c r="M563" s="15"/>
      <c r="N563" s="287"/>
      <c r="O563" s="287"/>
      <c r="P563" s="11"/>
      <c r="Q563" s="195">
        <v>30040051</v>
      </c>
      <c r="R563" s="196"/>
      <c r="S563" s="200" t="s">
        <v>2046</v>
      </c>
      <c r="T563" s="194">
        <v>0</v>
      </c>
      <c r="U563" s="194">
        <f>SUM(U564)-SUM(T564)</f>
        <v>860204866</v>
      </c>
    </row>
    <row r="564" spans="2:21" x14ac:dyDescent="0.3">
      <c r="B564" s="37"/>
      <c r="C564" s="13"/>
      <c r="D564" s="287"/>
      <c r="E564" s="287"/>
      <c r="G564" s="37"/>
      <c r="H564" s="13"/>
      <c r="I564" s="287"/>
      <c r="J564" s="287"/>
      <c r="L564" s="40"/>
      <c r="M564" s="15"/>
      <c r="N564" s="287"/>
      <c r="O564" s="287"/>
      <c r="P564" s="11"/>
      <c r="Q564" s="37"/>
      <c r="R564" s="128" t="s">
        <v>2138</v>
      </c>
      <c r="S564" s="14" t="s">
        <v>7</v>
      </c>
      <c r="T564" s="147">
        <v>0</v>
      </c>
      <c r="U564" s="147">
        <v>860204866</v>
      </c>
    </row>
    <row r="565" spans="2:21" x14ac:dyDescent="0.3">
      <c r="B565" s="37"/>
      <c r="C565" s="13"/>
      <c r="D565" s="286"/>
      <c r="E565" s="286"/>
      <c r="G565" s="37"/>
      <c r="H565" s="13"/>
      <c r="I565" s="286"/>
      <c r="J565" s="286"/>
      <c r="K565">
        <v>3005</v>
      </c>
      <c r="L565" s="195">
        <v>3005</v>
      </c>
      <c r="M565" s="200" t="s">
        <v>889</v>
      </c>
      <c r="N565" s="289">
        <v>0</v>
      </c>
      <c r="O565" s="289">
        <v>0</v>
      </c>
      <c r="Q565" s="195">
        <v>30050001</v>
      </c>
      <c r="R565" s="196"/>
      <c r="S565" s="197" t="s">
        <v>2043</v>
      </c>
      <c r="T565" s="194">
        <v>0</v>
      </c>
      <c r="U565" s="194">
        <v>0</v>
      </c>
    </row>
    <row r="566" spans="2:21" x14ac:dyDescent="0.3">
      <c r="B566" s="37"/>
      <c r="C566" s="13"/>
      <c r="D566" s="283"/>
      <c r="E566" s="283"/>
      <c r="G566" s="37"/>
      <c r="H566" s="13"/>
      <c r="I566" s="283"/>
      <c r="J566" s="283"/>
      <c r="L566" s="37"/>
      <c r="M566" s="13"/>
      <c r="N566" s="283"/>
      <c r="O566" s="283"/>
      <c r="Q566" s="195">
        <v>30050002</v>
      </c>
      <c r="R566" s="196"/>
      <c r="S566" s="200" t="s">
        <v>3251</v>
      </c>
      <c r="T566" s="194">
        <v>0</v>
      </c>
      <c r="U566" s="194">
        <v>0</v>
      </c>
    </row>
    <row r="567" spans="2:21" x14ac:dyDescent="0.3">
      <c r="B567" s="37"/>
      <c r="C567" s="13"/>
      <c r="D567" s="283"/>
      <c r="E567" s="283"/>
      <c r="G567" s="37"/>
      <c r="H567" s="13"/>
      <c r="I567" s="283"/>
      <c r="J567" s="283"/>
      <c r="L567" s="37"/>
      <c r="M567" s="13"/>
      <c r="N567" s="283"/>
      <c r="O567" s="283"/>
      <c r="Q567" s="195">
        <v>30050003</v>
      </c>
      <c r="R567" s="196"/>
      <c r="S567" s="197" t="s">
        <v>954</v>
      </c>
      <c r="T567" s="194">
        <v>0</v>
      </c>
      <c r="U567" s="194">
        <v>0</v>
      </c>
    </row>
    <row r="568" spans="2:21" x14ac:dyDescent="0.3">
      <c r="B568" s="37"/>
      <c r="C568" s="13"/>
      <c r="D568" s="283"/>
      <c r="E568" s="283"/>
      <c r="G568" s="37"/>
      <c r="H568" s="13"/>
      <c r="I568" s="283"/>
      <c r="J568" s="283"/>
      <c r="L568" s="37"/>
      <c r="M568" s="13"/>
      <c r="N568" s="283"/>
      <c r="O568" s="283"/>
      <c r="Q568" s="195">
        <v>30050004</v>
      </c>
      <c r="R568" s="196"/>
      <c r="S568" s="197" t="s">
        <v>955</v>
      </c>
      <c r="T568" s="194">
        <v>0</v>
      </c>
      <c r="U568" s="194">
        <v>0</v>
      </c>
    </row>
    <row r="569" spans="2:21" x14ac:dyDescent="0.3">
      <c r="B569" s="37"/>
      <c r="C569" s="13"/>
      <c r="D569" s="283"/>
      <c r="E569" s="283"/>
      <c r="G569" s="37"/>
      <c r="H569" s="13"/>
      <c r="I569" s="283"/>
      <c r="J569" s="283"/>
      <c r="L569" s="37"/>
      <c r="M569" s="13"/>
      <c r="N569" s="283"/>
      <c r="O569" s="283"/>
      <c r="Q569" s="195">
        <v>30050005</v>
      </c>
      <c r="R569" s="196"/>
      <c r="S569" s="197" t="s">
        <v>956</v>
      </c>
      <c r="T569" s="194">
        <v>0</v>
      </c>
      <c r="U569" s="194">
        <v>0</v>
      </c>
    </row>
    <row r="570" spans="2:21" x14ac:dyDescent="0.3">
      <c r="B570" s="37"/>
      <c r="C570" s="13"/>
      <c r="D570" s="283"/>
      <c r="E570" s="283"/>
      <c r="G570" s="37"/>
      <c r="H570" s="13"/>
      <c r="I570" s="283"/>
      <c r="J570" s="283"/>
      <c r="L570" s="37"/>
      <c r="M570" s="13"/>
      <c r="N570" s="283"/>
      <c r="O570" s="283"/>
      <c r="Q570" s="195">
        <v>30050051</v>
      </c>
      <c r="R570" s="196"/>
      <c r="S570" s="200" t="s">
        <v>957</v>
      </c>
      <c r="T570" s="194">
        <v>0</v>
      </c>
      <c r="U570" s="194">
        <v>0</v>
      </c>
    </row>
    <row r="571" spans="2:21" x14ac:dyDescent="0.3">
      <c r="B571" s="37"/>
      <c r="C571" s="13"/>
      <c r="D571" s="283"/>
      <c r="E571" s="283"/>
      <c r="G571" s="37"/>
      <c r="H571" s="13"/>
      <c r="I571" s="283"/>
      <c r="J571" s="283"/>
      <c r="L571" s="37"/>
      <c r="M571" s="13"/>
      <c r="N571" s="283"/>
      <c r="O571" s="283"/>
      <c r="Q571" s="195">
        <v>30050052</v>
      </c>
      <c r="R571" s="196"/>
      <c r="S571" s="200" t="s">
        <v>958</v>
      </c>
      <c r="T571" s="194">
        <v>0</v>
      </c>
      <c r="U571" s="194">
        <v>0</v>
      </c>
    </row>
    <row r="572" spans="2:21" x14ac:dyDescent="0.3">
      <c r="B572" s="37"/>
      <c r="C572" s="13"/>
      <c r="D572" s="283"/>
      <c r="E572" s="283"/>
      <c r="G572" s="37"/>
      <c r="H572" s="13"/>
      <c r="I572" s="283"/>
      <c r="J572" s="283"/>
      <c r="L572" s="37"/>
      <c r="M572" s="13"/>
      <c r="N572" s="283"/>
      <c r="O572" s="283"/>
      <c r="Q572" s="195">
        <v>30050053</v>
      </c>
      <c r="R572" s="196"/>
      <c r="S572" s="200" t="s">
        <v>959</v>
      </c>
      <c r="T572" s="194">
        <v>0</v>
      </c>
      <c r="U572" s="194">
        <v>0</v>
      </c>
    </row>
    <row r="573" spans="2:21" x14ac:dyDescent="0.3">
      <c r="B573" s="37"/>
      <c r="C573" s="13"/>
      <c r="D573" s="283"/>
      <c r="E573" s="283"/>
      <c r="G573" s="37"/>
      <c r="H573" s="13"/>
      <c r="I573" s="283"/>
      <c r="J573" s="283"/>
      <c r="L573" s="37"/>
      <c r="M573" s="13"/>
      <c r="N573" s="283"/>
      <c r="O573" s="283"/>
      <c r="Q573" s="195">
        <v>30050054</v>
      </c>
      <c r="R573" s="196"/>
      <c r="S573" s="200" t="s">
        <v>960</v>
      </c>
      <c r="T573" s="194">
        <v>0</v>
      </c>
      <c r="U573" s="194">
        <v>0</v>
      </c>
    </row>
    <row r="574" spans="2:21" x14ac:dyDescent="0.3">
      <c r="B574" s="37"/>
      <c r="C574" s="13"/>
      <c r="D574" s="283"/>
      <c r="E574" s="283"/>
      <c r="G574" s="37"/>
      <c r="H574" s="13"/>
      <c r="I574" s="283"/>
      <c r="J574" s="283"/>
      <c r="L574" s="37"/>
      <c r="M574" s="13"/>
      <c r="N574" s="283"/>
      <c r="O574" s="283"/>
      <c r="Q574" s="195">
        <v>30050055</v>
      </c>
      <c r="R574" s="196"/>
      <c r="S574" s="200" t="s">
        <v>961</v>
      </c>
      <c r="T574" s="194">
        <v>0</v>
      </c>
      <c r="U574" s="194">
        <v>0</v>
      </c>
    </row>
    <row r="575" spans="2:21" x14ac:dyDescent="0.3">
      <c r="B575" s="37"/>
      <c r="C575" s="13"/>
      <c r="D575" s="283"/>
      <c r="E575" s="283"/>
      <c r="G575" s="37"/>
      <c r="H575" s="13"/>
      <c r="I575" s="283"/>
      <c r="J575" s="283"/>
      <c r="L575" s="37"/>
      <c r="M575" s="13"/>
      <c r="N575" s="283"/>
      <c r="O575" s="283"/>
      <c r="Q575" s="37"/>
      <c r="R575" s="128"/>
      <c r="S575" s="13"/>
      <c r="T575" s="147"/>
      <c r="U575" s="147"/>
    </row>
    <row r="576" spans="2:21" x14ac:dyDescent="0.3">
      <c r="B576" s="37"/>
      <c r="C576" s="13"/>
      <c r="D576" s="283"/>
      <c r="E576" s="283"/>
      <c r="G576" s="37"/>
      <c r="H576" s="13"/>
      <c r="I576" s="283"/>
      <c r="J576" s="283"/>
      <c r="K576">
        <v>3006</v>
      </c>
      <c r="L576" s="195">
        <v>3006</v>
      </c>
      <c r="M576" s="197" t="s">
        <v>893</v>
      </c>
      <c r="N576" s="288">
        <f>T576</f>
        <v>15000000</v>
      </c>
      <c r="O576" s="288">
        <v>0</v>
      </c>
      <c r="Q576" s="195">
        <v>30060001</v>
      </c>
      <c r="R576" s="196"/>
      <c r="S576" s="197" t="s">
        <v>978</v>
      </c>
      <c r="T576" s="194">
        <f>SUM(T577)-SUM(U577)</f>
        <v>15000000</v>
      </c>
      <c r="U576" s="194">
        <v>0</v>
      </c>
    </row>
    <row r="577" spans="2:21" x14ac:dyDescent="0.3">
      <c r="B577" s="37"/>
      <c r="C577" s="13"/>
      <c r="D577" s="283"/>
      <c r="E577" s="283"/>
      <c r="G577" s="37"/>
      <c r="H577" s="13"/>
      <c r="I577" s="283"/>
      <c r="J577" s="283"/>
      <c r="L577" s="37"/>
      <c r="M577" s="13"/>
      <c r="N577" s="283"/>
      <c r="O577" s="283"/>
      <c r="Q577" s="195"/>
      <c r="R577" s="128">
        <v>120156</v>
      </c>
      <c r="S577" s="13" t="s">
        <v>3265</v>
      </c>
      <c r="T577" s="202">
        <v>15000000</v>
      </c>
      <c r="U577" s="202">
        <v>0</v>
      </c>
    </row>
    <row r="578" spans="2:21" x14ac:dyDescent="0.3">
      <c r="B578" s="37"/>
      <c r="C578" s="13"/>
      <c r="D578" s="283"/>
      <c r="E578" s="283"/>
      <c r="G578" s="37"/>
      <c r="H578" s="13"/>
      <c r="I578" s="283"/>
      <c r="J578" s="283"/>
      <c r="L578" s="37"/>
      <c r="M578" s="13"/>
      <c r="N578" s="283"/>
      <c r="O578" s="283"/>
      <c r="Q578" s="195">
        <v>30060002</v>
      </c>
      <c r="R578" s="196"/>
      <c r="S578" s="197" t="s">
        <v>900</v>
      </c>
      <c r="T578" s="194">
        <v>0</v>
      </c>
      <c r="U578" s="194">
        <v>0</v>
      </c>
    </row>
    <row r="579" spans="2:21" x14ac:dyDescent="0.3">
      <c r="B579" s="37"/>
      <c r="C579" s="13"/>
      <c r="D579" s="283"/>
      <c r="E579" s="283"/>
      <c r="G579" s="37"/>
      <c r="H579" s="13"/>
      <c r="I579" s="283"/>
      <c r="J579" s="283"/>
      <c r="L579" s="37"/>
      <c r="M579" s="13"/>
      <c r="N579" s="283"/>
      <c r="O579" s="283"/>
      <c r="Q579" s="37"/>
      <c r="R579" s="128"/>
      <c r="S579" s="13"/>
      <c r="T579" s="147"/>
      <c r="U579" s="147"/>
    </row>
    <row r="580" spans="2:21" x14ac:dyDescent="0.3">
      <c r="B580" s="37"/>
      <c r="C580" s="13"/>
      <c r="D580" s="283"/>
      <c r="E580" s="283"/>
      <c r="G580" s="37"/>
      <c r="H580" s="13"/>
      <c r="I580" s="283"/>
      <c r="J580" s="283"/>
      <c r="K580">
        <v>3007</v>
      </c>
      <c r="L580" s="195">
        <v>3004</v>
      </c>
      <c r="M580" s="197" t="s">
        <v>891</v>
      </c>
      <c r="N580" s="288">
        <f>T580+T609</f>
        <v>71501512</v>
      </c>
      <c r="O580" s="288">
        <v>0</v>
      </c>
      <c r="Q580" s="195">
        <v>30070001</v>
      </c>
      <c r="R580" s="196"/>
      <c r="S580" s="200" t="s">
        <v>3252</v>
      </c>
      <c r="T580" s="194">
        <f>SUM(T581:T608)-SUM(U581:U608)</f>
        <v>71456512</v>
      </c>
      <c r="U580" s="194">
        <v>0</v>
      </c>
    </row>
    <row r="581" spans="2:21" x14ac:dyDescent="0.3">
      <c r="B581" s="37"/>
      <c r="C581" s="13"/>
      <c r="D581" s="283"/>
      <c r="E581" s="283"/>
      <c r="G581" s="37"/>
      <c r="H581" s="13"/>
      <c r="I581" s="283"/>
      <c r="J581" s="283"/>
      <c r="L581" s="37"/>
      <c r="M581" s="13"/>
      <c r="N581" s="283"/>
      <c r="O581" s="283"/>
      <c r="Q581" s="37"/>
      <c r="R581" s="128">
        <v>120013</v>
      </c>
      <c r="S581" s="14" t="s">
        <v>49</v>
      </c>
      <c r="T581" s="147">
        <v>1200002</v>
      </c>
      <c r="U581" s="147">
        <v>0</v>
      </c>
    </row>
    <row r="582" spans="2:21" x14ac:dyDescent="0.3">
      <c r="B582" s="37"/>
      <c r="C582" s="13"/>
      <c r="D582" s="283"/>
      <c r="E582" s="283"/>
      <c r="G582" s="37"/>
      <c r="H582" s="13"/>
      <c r="I582" s="283"/>
      <c r="J582" s="283"/>
      <c r="L582" s="37"/>
      <c r="M582" s="13"/>
      <c r="N582" s="283"/>
      <c r="O582" s="283"/>
      <c r="Q582" s="37"/>
      <c r="R582" s="128">
        <v>120006</v>
      </c>
      <c r="S582" s="14" t="s">
        <v>64</v>
      </c>
      <c r="T582" s="147">
        <v>630000</v>
      </c>
      <c r="U582" s="147">
        <v>0</v>
      </c>
    </row>
    <row r="583" spans="2:21" x14ac:dyDescent="0.3">
      <c r="B583" s="37"/>
      <c r="C583" s="13"/>
      <c r="D583" s="283"/>
      <c r="E583" s="283"/>
      <c r="G583" s="37"/>
      <c r="H583" s="13"/>
      <c r="I583" s="283"/>
      <c r="J583" s="283"/>
      <c r="L583" s="37"/>
      <c r="M583" s="13"/>
      <c r="N583" s="283"/>
      <c r="O583" s="283"/>
      <c r="Q583" s="37"/>
      <c r="R583" s="128">
        <v>120032</v>
      </c>
      <c r="S583" s="14" t="s">
        <v>89</v>
      </c>
      <c r="T583" s="147">
        <v>452000</v>
      </c>
      <c r="U583" s="147">
        <v>0</v>
      </c>
    </row>
    <row r="584" spans="2:21" x14ac:dyDescent="0.3">
      <c r="B584" s="37"/>
      <c r="C584" s="13"/>
      <c r="D584" s="283"/>
      <c r="E584" s="283"/>
      <c r="G584" s="37"/>
      <c r="H584" s="13"/>
      <c r="I584" s="283"/>
      <c r="J584" s="283"/>
      <c r="L584" s="37"/>
      <c r="M584" s="13"/>
      <c r="N584" s="283"/>
      <c r="O584" s="283"/>
      <c r="Q584" s="37"/>
      <c r="R584" s="128">
        <v>120045</v>
      </c>
      <c r="S584" s="14" t="s">
        <v>103</v>
      </c>
      <c r="T584" s="147">
        <v>5486731</v>
      </c>
      <c r="U584" s="147">
        <v>0</v>
      </c>
    </row>
    <row r="585" spans="2:21" x14ac:dyDescent="0.3">
      <c r="B585" s="37"/>
      <c r="C585" s="13"/>
      <c r="D585" s="283"/>
      <c r="E585" s="283"/>
      <c r="G585" s="37"/>
      <c r="H585" s="13"/>
      <c r="I585" s="283"/>
      <c r="J585" s="283"/>
      <c r="L585" s="37"/>
      <c r="M585" s="13"/>
      <c r="N585" s="283"/>
      <c r="O585" s="283"/>
      <c r="Q585" s="37"/>
      <c r="R585" s="128">
        <v>120046</v>
      </c>
      <c r="S585" s="14" t="s">
        <v>104</v>
      </c>
      <c r="T585" s="147">
        <v>10582875</v>
      </c>
      <c r="U585" s="147">
        <v>0</v>
      </c>
    </row>
    <row r="586" spans="2:21" x14ac:dyDescent="0.3">
      <c r="B586" s="37"/>
      <c r="C586" s="13"/>
      <c r="D586" s="283"/>
      <c r="E586" s="283"/>
      <c r="G586" s="37"/>
      <c r="H586" s="13"/>
      <c r="I586" s="283"/>
      <c r="J586" s="283"/>
      <c r="L586" s="37"/>
      <c r="M586" s="13"/>
      <c r="N586" s="283"/>
      <c r="O586" s="283"/>
      <c r="Q586" s="37"/>
      <c r="R586" s="128">
        <v>120048</v>
      </c>
      <c r="S586" s="14" t="s">
        <v>108</v>
      </c>
      <c r="T586" s="147">
        <v>3324095</v>
      </c>
      <c r="U586" s="147">
        <v>0</v>
      </c>
    </row>
    <row r="587" spans="2:21" x14ac:dyDescent="0.3">
      <c r="B587" s="37"/>
      <c r="C587" s="13"/>
      <c r="D587" s="283"/>
      <c r="E587" s="283"/>
      <c r="G587" s="37"/>
      <c r="H587" s="13"/>
      <c r="I587" s="283"/>
      <c r="J587" s="283"/>
      <c r="L587" s="37"/>
      <c r="M587" s="13"/>
      <c r="N587" s="283"/>
      <c r="O587" s="283"/>
      <c r="Q587" s="37"/>
      <c r="R587" s="128">
        <v>120054</v>
      </c>
      <c r="S587" s="14" t="s">
        <v>115</v>
      </c>
      <c r="T587" s="147">
        <v>4931963</v>
      </c>
      <c r="U587" s="147">
        <v>0</v>
      </c>
    </row>
    <row r="588" spans="2:21" x14ac:dyDescent="0.3">
      <c r="B588" s="37"/>
      <c r="C588" s="13"/>
      <c r="D588" s="283"/>
      <c r="E588" s="283"/>
      <c r="G588" s="37"/>
      <c r="H588" s="13"/>
      <c r="I588" s="283"/>
      <c r="J588" s="283"/>
      <c r="L588" s="37"/>
      <c r="M588" s="13"/>
      <c r="N588" s="283"/>
      <c r="O588" s="283"/>
      <c r="Q588" s="37"/>
      <c r="R588" s="128">
        <v>120081</v>
      </c>
      <c r="S588" s="14" t="s">
        <v>143</v>
      </c>
      <c r="T588" s="147">
        <v>4446360</v>
      </c>
      <c r="U588" s="147">
        <v>0</v>
      </c>
    </row>
    <row r="589" spans="2:21" x14ac:dyDescent="0.3">
      <c r="B589" s="37"/>
      <c r="C589" s="13"/>
      <c r="D589" s="283"/>
      <c r="E589" s="283"/>
      <c r="G589" s="37"/>
      <c r="H589" s="13"/>
      <c r="I589" s="283"/>
      <c r="J589" s="283"/>
      <c r="L589" s="37"/>
      <c r="M589" s="13"/>
      <c r="N589" s="283"/>
      <c r="O589" s="283"/>
      <c r="Q589" s="37"/>
      <c r="R589" s="128">
        <v>120058</v>
      </c>
      <c r="S589" s="14" t="s">
        <v>119</v>
      </c>
      <c r="T589" s="147">
        <v>620500</v>
      </c>
      <c r="U589" s="147">
        <v>0</v>
      </c>
    </row>
    <row r="590" spans="2:21" x14ac:dyDescent="0.3">
      <c r="B590" s="37"/>
      <c r="C590" s="13"/>
      <c r="D590" s="283"/>
      <c r="E590" s="283"/>
      <c r="G590" s="37"/>
      <c r="H590" s="13"/>
      <c r="I590" s="283"/>
      <c r="J590" s="283"/>
      <c r="L590" s="37"/>
      <c r="M590" s="13"/>
      <c r="N590" s="283"/>
      <c r="O590" s="283"/>
      <c r="Q590" s="37"/>
      <c r="R590" s="128">
        <v>120066</v>
      </c>
      <c r="S590" s="14" t="s">
        <v>128</v>
      </c>
      <c r="T590" s="147">
        <v>3545850</v>
      </c>
      <c r="U590" s="147">
        <v>0</v>
      </c>
    </row>
    <row r="591" spans="2:21" x14ac:dyDescent="0.3">
      <c r="B591" s="37"/>
      <c r="C591" s="13"/>
      <c r="D591" s="283"/>
      <c r="E591" s="283"/>
      <c r="G591" s="37"/>
      <c r="H591" s="13"/>
      <c r="I591" s="283"/>
      <c r="J591" s="283"/>
      <c r="L591" s="37"/>
      <c r="M591" s="13"/>
      <c r="N591" s="283"/>
      <c r="O591" s="283"/>
      <c r="Q591" s="37"/>
      <c r="R591" s="128">
        <v>120075</v>
      </c>
      <c r="S591" s="14" t="s">
        <v>138</v>
      </c>
      <c r="T591" s="147">
        <v>227385</v>
      </c>
      <c r="U591" s="147">
        <v>0</v>
      </c>
    </row>
    <row r="592" spans="2:21" x14ac:dyDescent="0.3">
      <c r="B592" s="37"/>
      <c r="C592" s="13"/>
      <c r="D592" s="283"/>
      <c r="E592" s="283"/>
      <c r="G592" s="37"/>
      <c r="H592" s="13"/>
      <c r="I592" s="283"/>
      <c r="J592" s="283"/>
      <c r="L592" s="37"/>
      <c r="M592" s="13"/>
      <c r="N592" s="283"/>
      <c r="O592" s="283"/>
      <c r="Q592" s="37"/>
      <c r="R592" s="128">
        <v>120076</v>
      </c>
      <c r="S592" s="14" t="s">
        <v>139</v>
      </c>
      <c r="T592" s="147">
        <v>577128</v>
      </c>
      <c r="U592" s="147">
        <v>0</v>
      </c>
    </row>
    <row r="593" spans="2:21" x14ac:dyDescent="0.3">
      <c r="B593" s="37"/>
      <c r="C593" s="13"/>
      <c r="D593" s="283"/>
      <c r="E593" s="283"/>
      <c r="G593" s="37"/>
      <c r="H593" s="13"/>
      <c r="I593" s="283"/>
      <c r="J593" s="283"/>
      <c r="L593" s="37"/>
      <c r="M593" s="13"/>
      <c r="N593" s="283"/>
      <c r="O593" s="283"/>
      <c r="Q593" s="37"/>
      <c r="R593" s="128">
        <v>120079</v>
      </c>
      <c r="S593" s="14" t="s">
        <v>141</v>
      </c>
      <c r="T593" s="147">
        <v>214000</v>
      </c>
      <c r="U593" s="147">
        <v>0</v>
      </c>
    </row>
    <row r="594" spans="2:21" x14ac:dyDescent="0.3">
      <c r="B594" s="37"/>
      <c r="C594" s="13"/>
      <c r="D594" s="283"/>
      <c r="E594" s="283"/>
      <c r="G594" s="37"/>
      <c r="H594" s="13"/>
      <c r="I594" s="283"/>
      <c r="J594" s="283"/>
      <c r="L594" s="37"/>
      <c r="M594" s="13"/>
      <c r="N594" s="283"/>
      <c r="O594" s="283"/>
      <c r="Q594" s="37"/>
      <c r="R594" s="128">
        <v>120157</v>
      </c>
      <c r="S594" s="14" t="s">
        <v>3294</v>
      </c>
      <c r="T594" s="147">
        <v>1734841</v>
      </c>
      <c r="U594" s="147">
        <v>0</v>
      </c>
    </row>
    <row r="595" spans="2:21" x14ac:dyDescent="0.3">
      <c r="B595" s="37"/>
      <c r="C595" s="13"/>
      <c r="D595" s="283"/>
      <c r="E595" s="283"/>
      <c r="G595" s="37"/>
      <c r="H595" s="13"/>
      <c r="I595" s="283"/>
      <c r="J595" s="283"/>
      <c r="L595" s="37"/>
      <c r="M595" s="13"/>
      <c r="N595" s="283"/>
      <c r="O595" s="283"/>
      <c r="Q595" s="37"/>
      <c r="R595" s="128">
        <v>120081</v>
      </c>
      <c r="S595" s="14" t="s">
        <v>143</v>
      </c>
      <c r="T595" s="147">
        <v>2063556</v>
      </c>
      <c r="U595" s="147">
        <v>0</v>
      </c>
    </row>
    <row r="596" spans="2:21" x14ac:dyDescent="0.3">
      <c r="B596" s="37"/>
      <c r="C596" s="13"/>
      <c r="D596" s="283"/>
      <c r="E596" s="283"/>
      <c r="G596" s="37"/>
      <c r="H596" s="13"/>
      <c r="I596" s="283"/>
      <c r="J596" s="283"/>
      <c r="L596" s="37"/>
      <c r="M596" s="13"/>
      <c r="N596" s="283"/>
      <c r="O596" s="283"/>
      <c r="Q596" s="37"/>
      <c r="R596" s="128">
        <v>120158</v>
      </c>
      <c r="S596" s="14" t="s">
        <v>3295</v>
      </c>
      <c r="T596" s="147">
        <v>5983450</v>
      </c>
      <c r="U596" s="147">
        <v>0</v>
      </c>
    </row>
    <row r="597" spans="2:21" x14ac:dyDescent="0.3">
      <c r="B597" s="37"/>
      <c r="C597" s="13"/>
      <c r="D597" s="283"/>
      <c r="E597" s="283"/>
      <c r="G597" s="37"/>
      <c r="H597" s="13"/>
      <c r="I597" s="283"/>
      <c r="J597" s="283"/>
      <c r="L597" s="37"/>
      <c r="M597" s="13"/>
      <c r="N597" s="283"/>
      <c r="O597" s="283"/>
      <c r="Q597" s="37"/>
      <c r="R597" s="128">
        <v>120120</v>
      </c>
      <c r="S597" s="14" t="s">
        <v>184</v>
      </c>
      <c r="T597" s="147">
        <v>19008275</v>
      </c>
      <c r="U597" s="147">
        <v>0</v>
      </c>
    </row>
    <row r="598" spans="2:21" x14ac:dyDescent="0.3">
      <c r="B598" s="37"/>
      <c r="C598" s="13"/>
      <c r="D598" s="283"/>
      <c r="E598" s="283"/>
      <c r="G598" s="37"/>
      <c r="H598" s="13"/>
      <c r="I598" s="283"/>
      <c r="J598" s="283"/>
      <c r="L598" s="37"/>
      <c r="M598" s="13"/>
      <c r="N598" s="283"/>
      <c r="O598" s="283"/>
      <c r="Q598" s="37"/>
      <c r="R598" s="128">
        <v>120125</v>
      </c>
      <c r="S598" s="14" t="s">
        <v>189</v>
      </c>
      <c r="T598" s="147">
        <v>600000</v>
      </c>
      <c r="U598" s="147">
        <v>0</v>
      </c>
    </row>
    <row r="599" spans="2:21" x14ac:dyDescent="0.3">
      <c r="B599" s="37"/>
      <c r="C599" s="13"/>
      <c r="D599" s="283"/>
      <c r="E599" s="283"/>
      <c r="G599" s="37"/>
      <c r="H599" s="13"/>
      <c r="I599" s="283"/>
      <c r="J599" s="283"/>
      <c r="L599" s="37"/>
      <c r="M599" s="13"/>
      <c r="N599" s="283"/>
      <c r="O599" s="283"/>
      <c r="Q599" s="37"/>
      <c r="R599" s="128">
        <v>120128</v>
      </c>
      <c r="S599" s="14" t="s">
        <v>854</v>
      </c>
      <c r="T599" s="147">
        <v>2590000</v>
      </c>
      <c r="U599" s="147">
        <v>0</v>
      </c>
    </row>
    <row r="600" spans="2:21" x14ac:dyDescent="0.3">
      <c r="B600" s="37"/>
      <c r="C600" s="13"/>
      <c r="D600" s="283"/>
      <c r="E600" s="283"/>
      <c r="G600" s="37"/>
      <c r="H600" s="13"/>
      <c r="I600" s="283"/>
      <c r="J600" s="283"/>
      <c r="L600" s="37"/>
      <c r="M600" s="13"/>
      <c r="N600" s="283"/>
      <c r="O600" s="283"/>
      <c r="Q600" s="37"/>
      <c r="R600" s="128">
        <v>120129</v>
      </c>
      <c r="S600" s="14" t="s">
        <v>191</v>
      </c>
      <c r="T600" s="147">
        <v>58334</v>
      </c>
      <c r="U600" s="147">
        <v>0</v>
      </c>
    </row>
    <row r="601" spans="2:21" x14ac:dyDescent="0.3">
      <c r="B601" s="37"/>
      <c r="C601" s="13"/>
      <c r="D601" s="283"/>
      <c r="E601" s="283"/>
      <c r="G601" s="37"/>
      <c r="H601" s="13"/>
      <c r="I601" s="283"/>
      <c r="J601" s="283"/>
      <c r="L601" s="37"/>
      <c r="M601" s="13"/>
      <c r="N601" s="283"/>
      <c r="O601" s="283"/>
      <c r="Q601" s="37"/>
      <c r="R601" s="128">
        <v>120130</v>
      </c>
      <c r="S601" s="14" t="s">
        <v>192</v>
      </c>
      <c r="T601" s="147">
        <v>58334</v>
      </c>
      <c r="U601" s="147">
        <v>0</v>
      </c>
    </row>
    <row r="602" spans="2:21" x14ac:dyDescent="0.3">
      <c r="B602" s="37"/>
      <c r="C602" s="13"/>
      <c r="D602" s="283"/>
      <c r="E602" s="283"/>
      <c r="G602" s="37"/>
      <c r="H602" s="13"/>
      <c r="I602" s="283"/>
      <c r="J602" s="283"/>
      <c r="L602" s="37"/>
      <c r="M602" s="13"/>
      <c r="N602" s="283"/>
      <c r="O602" s="283"/>
      <c r="Q602" s="37"/>
      <c r="R602" s="128">
        <v>120131</v>
      </c>
      <c r="S602" s="14" t="s">
        <v>193</v>
      </c>
      <c r="T602" s="147">
        <v>58333</v>
      </c>
      <c r="U602" s="147">
        <v>0</v>
      </c>
    </row>
    <row r="603" spans="2:21" x14ac:dyDescent="0.3">
      <c r="B603" s="37"/>
      <c r="C603" s="13"/>
      <c r="D603" s="283"/>
      <c r="E603" s="283"/>
      <c r="G603" s="37"/>
      <c r="H603" s="13"/>
      <c r="I603" s="283"/>
      <c r="J603" s="283"/>
      <c r="L603" s="37"/>
      <c r="M603" s="13"/>
      <c r="N603" s="283"/>
      <c r="O603" s="283"/>
      <c r="Q603" s="37"/>
      <c r="R603" s="128">
        <v>120143</v>
      </c>
      <c r="S603" s="14" t="s">
        <v>1922</v>
      </c>
      <c r="T603" s="147">
        <v>562500</v>
      </c>
      <c r="U603" s="147">
        <v>0</v>
      </c>
    </row>
    <row r="604" spans="2:21" x14ac:dyDescent="0.3">
      <c r="B604" s="37"/>
      <c r="C604" s="13"/>
      <c r="D604" s="283"/>
      <c r="E604" s="283"/>
      <c r="G604" s="37"/>
      <c r="H604" s="13"/>
      <c r="I604" s="283"/>
      <c r="J604" s="283"/>
      <c r="L604" s="37"/>
      <c r="M604" s="13"/>
      <c r="N604" s="283"/>
      <c r="O604" s="283"/>
      <c r="Q604" s="37"/>
      <c r="R604" s="128">
        <v>120144</v>
      </c>
      <c r="S604" s="14" t="s">
        <v>1923</v>
      </c>
      <c r="T604" s="147">
        <v>650000</v>
      </c>
      <c r="U604" s="147">
        <v>0</v>
      </c>
    </row>
    <row r="605" spans="2:21" x14ac:dyDescent="0.3">
      <c r="B605" s="37"/>
      <c r="C605" s="13"/>
      <c r="D605" s="283"/>
      <c r="E605" s="283"/>
      <c r="G605" s="37"/>
      <c r="H605" s="13"/>
      <c r="I605" s="283"/>
      <c r="J605" s="283"/>
      <c r="L605" s="37"/>
      <c r="M605" s="13"/>
      <c r="N605" s="283"/>
      <c r="O605" s="283"/>
      <c r="Q605" s="37"/>
      <c r="R605" s="128">
        <v>120145</v>
      </c>
      <c r="S605" s="14" t="s">
        <v>1924</v>
      </c>
      <c r="T605" s="147">
        <v>187500</v>
      </c>
      <c r="U605" s="147">
        <v>0</v>
      </c>
    </row>
    <row r="606" spans="2:21" x14ac:dyDescent="0.3">
      <c r="B606" s="37"/>
      <c r="C606" s="13"/>
      <c r="D606" s="283"/>
      <c r="E606" s="283"/>
      <c r="G606" s="37"/>
      <c r="H606" s="13"/>
      <c r="I606" s="283"/>
      <c r="J606" s="283"/>
      <c r="L606" s="37"/>
      <c r="M606" s="13"/>
      <c r="N606" s="283"/>
      <c r="O606" s="283"/>
      <c r="Q606" s="37"/>
      <c r="R606" s="128">
        <v>120146</v>
      </c>
      <c r="S606" s="14" t="s">
        <v>1925</v>
      </c>
      <c r="T606" s="147">
        <v>187500</v>
      </c>
      <c r="U606" s="147">
        <v>0</v>
      </c>
    </row>
    <row r="607" spans="2:21" x14ac:dyDescent="0.3">
      <c r="B607" s="37"/>
      <c r="C607" s="13"/>
      <c r="D607" s="283"/>
      <c r="E607" s="283"/>
      <c r="G607" s="37"/>
      <c r="H607" s="13"/>
      <c r="I607" s="283"/>
      <c r="J607" s="283"/>
      <c r="L607" s="37"/>
      <c r="M607" s="13"/>
      <c r="N607" s="283"/>
      <c r="O607" s="283"/>
      <c r="Q607" s="37"/>
      <c r="R607" s="128">
        <v>120152</v>
      </c>
      <c r="S607" s="14" t="s">
        <v>3261</v>
      </c>
      <c r="T607" s="147">
        <v>737500</v>
      </c>
      <c r="U607" s="147">
        <v>0</v>
      </c>
    </row>
    <row r="608" spans="2:21" x14ac:dyDescent="0.3">
      <c r="B608" s="37"/>
      <c r="C608" s="13"/>
      <c r="D608" s="283"/>
      <c r="E608" s="283"/>
      <c r="G608" s="37"/>
      <c r="H608" s="13"/>
      <c r="I608" s="283"/>
      <c r="J608" s="283"/>
      <c r="L608" s="37"/>
      <c r="M608" s="13"/>
      <c r="N608" s="283"/>
      <c r="O608" s="283"/>
      <c r="Q608" s="37"/>
      <c r="R608" s="128">
        <v>120153</v>
      </c>
      <c r="S608" s="14" t="s">
        <v>3262</v>
      </c>
      <c r="T608" s="147">
        <v>737500</v>
      </c>
      <c r="U608" s="147">
        <v>0</v>
      </c>
    </row>
    <row r="609" spans="2:21" x14ac:dyDescent="0.3">
      <c r="B609" s="37"/>
      <c r="C609" s="13"/>
      <c r="D609" s="283"/>
      <c r="E609" s="283"/>
      <c r="G609" s="37"/>
      <c r="H609" s="13"/>
      <c r="I609" s="283"/>
      <c r="J609" s="283"/>
      <c r="L609" s="37"/>
      <c r="M609" s="13"/>
      <c r="N609" s="283"/>
      <c r="O609" s="283"/>
      <c r="Q609" s="195">
        <v>30070002</v>
      </c>
      <c r="R609" s="196"/>
      <c r="S609" s="200" t="s">
        <v>3253</v>
      </c>
      <c r="T609" s="194">
        <f>SUM(T610:T611)-SUM(U610:U611)</f>
        <v>45000</v>
      </c>
      <c r="U609" s="194">
        <v>0</v>
      </c>
    </row>
    <row r="610" spans="2:21" x14ac:dyDescent="0.3">
      <c r="B610" s="37"/>
      <c r="C610" s="13"/>
      <c r="D610" s="283"/>
      <c r="E610" s="283"/>
      <c r="G610" s="37"/>
      <c r="H610" s="13"/>
      <c r="I610" s="283"/>
      <c r="J610" s="283"/>
      <c r="L610" s="37"/>
      <c r="M610" s="13"/>
      <c r="N610" s="283"/>
      <c r="O610" s="283"/>
      <c r="Q610" s="37"/>
      <c r="R610" s="128">
        <v>120014</v>
      </c>
      <c r="S610" s="14" t="s">
        <v>51</v>
      </c>
      <c r="T610" s="147">
        <v>21000</v>
      </c>
      <c r="U610" s="147">
        <v>0</v>
      </c>
    </row>
    <row r="611" spans="2:21" x14ac:dyDescent="0.3">
      <c r="B611" s="37"/>
      <c r="C611" s="13"/>
      <c r="D611" s="283"/>
      <c r="E611" s="283"/>
      <c r="G611" s="37"/>
      <c r="H611" s="13"/>
      <c r="I611" s="283"/>
      <c r="J611" s="283"/>
      <c r="L611" s="37"/>
      <c r="M611" s="13"/>
      <c r="N611" s="283"/>
      <c r="O611" s="283"/>
      <c r="Q611" s="37"/>
      <c r="R611" s="128">
        <v>120105</v>
      </c>
      <c r="S611" s="14" t="s">
        <v>166</v>
      </c>
      <c r="T611" s="147">
        <v>24000</v>
      </c>
      <c r="U611" s="147">
        <v>0</v>
      </c>
    </row>
    <row r="612" spans="2:21" x14ac:dyDescent="0.3">
      <c r="B612" s="37"/>
      <c r="C612" s="13"/>
      <c r="D612" s="283"/>
      <c r="E612" s="283"/>
      <c r="G612" s="37"/>
      <c r="H612" s="13"/>
      <c r="I612" s="283"/>
      <c r="J612" s="283"/>
      <c r="L612" s="37"/>
      <c r="M612" s="13"/>
      <c r="N612" s="283"/>
      <c r="O612" s="283"/>
      <c r="Q612" s="37"/>
      <c r="R612" s="128"/>
      <c r="S612" s="14"/>
      <c r="T612" s="147"/>
      <c r="U612" s="147"/>
    </row>
    <row r="613" spans="2:21" x14ac:dyDescent="0.3">
      <c r="B613" s="37"/>
      <c r="C613" s="13"/>
      <c r="D613" s="283"/>
      <c r="E613" s="283"/>
      <c r="G613" s="37"/>
      <c r="H613" s="13"/>
      <c r="I613" s="283"/>
      <c r="J613" s="283"/>
      <c r="L613" s="37"/>
      <c r="M613" s="13"/>
      <c r="N613" s="283"/>
      <c r="O613" s="283"/>
      <c r="Q613" s="37"/>
      <c r="R613" s="128"/>
      <c r="S613" s="13"/>
      <c r="T613" s="147"/>
      <c r="U613" s="147"/>
    </row>
    <row r="614" spans="2:21" x14ac:dyDescent="0.3">
      <c r="B614" s="37"/>
      <c r="C614" s="13"/>
      <c r="D614" s="283"/>
      <c r="E614" s="283"/>
      <c r="F614">
        <v>31</v>
      </c>
      <c r="G614" s="195">
        <v>31</v>
      </c>
      <c r="H614" s="197" t="s">
        <v>875</v>
      </c>
      <c r="I614" s="288">
        <f>(N614+N626+N655+N699+N739+N749+N765+N833+N846+N920+N936+N940)</f>
        <v>2434553562.8300004</v>
      </c>
      <c r="J614" s="288">
        <v>0</v>
      </c>
      <c r="K614">
        <v>3101</v>
      </c>
      <c r="L614" s="195">
        <v>3101</v>
      </c>
      <c r="M614" s="197" t="s">
        <v>892</v>
      </c>
      <c r="N614" s="288">
        <f>T615</f>
        <v>1177462303</v>
      </c>
      <c r="O614" s="288">
        <v>0</v>
      </c>
      <c r="Q614" s="195">
        <v>31010001</v>
      </c>
      <c r="R614" s="196"/>
      <c r="S614" s="200" t="s">
        <v>3254</v>
      </c>
      <c r="T614" s="194">
        <v>0</v>
      </c>
      <c r="U614" s="194">
        <v>0</v>
      </c>
    </row>
    <row r="615" spans="2:21" x14ac:dyDescent="0.3">
      <c r="B615" s="37"/>
      <c r="C615" s="13"/>
      <c r="D615" s="283"/>
      <c r="E615" s="283"/>
      <c r="G615" s="37"/>
      <c r="H615" s="13"/>
      <c r="I615" s="283"/>
      <c r="J615" s="283"/>
      <c r="L615" s="37"/>
      <c r="M615" s="13"/>
      <c r="N615" s="283"/>
      <c r="O615" s="283"/>
      <c r="Q615" s="195">
        <v>31010002</v>
      </c>
      <c r="R615" s="196"/>
      <c r="S615" s="200" t="s">
        <v>3255</v>
      </c>
      <c r="T615" s="194">
        <f>SUM(T616:T620)-SUM(U616:U620)</f>
        <v>1177462303</v>
      </c>
      <c r="U615" s="194">
        <v>0</v>
      </c>
    </row>
    <row r="616" spans="2:21" x14ac:dyDescent="0.3">
      <c r="B616" s="37"/>
      <c r="C616" s="13"/>
      <c r="D616" s="283"/>
      <c r="E616" s="283"/>
      <c r="G616" s="37"/>
      <c r="H616" s="13"/>
      <c r="I616" s="283"/>
      <c r="J616" s="283"/>
      <c r="L616" s="37"/>
      <c r="M616" s="13"/>
      <c r="N616" s="283"/>
      <c r="O616" s="283"/>
      <c r="Q616" s="37"/>
      <c r="R616" s="128" t="s">
        <v>2138</v>
      </c>
      <c r="S616" s="14" t="s">
        <v>7</v>
      </c>
      <c r="T616" s="147">
        <v>297401886</v>
      </c>
      <c r="U616" s="147">
        <v>0</v>
      </c>
    </row>
    <row r="617" spans="2:21" x14ac:dyDescent="0.3">
      <c r="B617" s="37"/>
      <c r="C617" s="13"/>
      <c r="D617" s="283"/>
      <c r="E617" s="283"/>
      <c r="G617" s="37"/>
      <c r="H617" s="13"/>
      <c r="I617" s="283"/>
      <c r="J617" s="283"/>
      <c r="L617" s="37"/>
      <c r="M617" s="13"/>
      <c r="N617" s="283"/>
      <c r="O617" s="283"/>
      <c r="Q617" s="37"/>
      <c r="R617" s="128" t="s">
        <v>1178</v>
      </c>
      <c r="S617" s="14" t="s">
        <v>2143</v>
      </c>
      <c r="T617" s="147">
        <v>443410304</v>
      </c>
      <c r="U617" s="147">
        <v>0</v>
      </c>
    </row>
    <row r="618" spans="2:21" x14ac:dyDescent="0.3">
      <c r="B618" s="37"/>
      <c r="C618" s="13"/>
      <c r="D618" s="283"/>
      <c r="E618" s="283"/>
      <c r="G618" s="37"/>
      <c r="H618" s="13"/>
      <c r="I618" s="283"/>
      <c r="J618" s="283"/>
      <c r="L618" s="37"/>
      <c r="M618" s="13"/>
      <c r="N618" s="283"/>
      <c r="O618" s="283"/>
      <c r="Q618" s="37"/>
      <c r="R618" s="128" t="s">
        <v>1179</v>
      </c>
      <c r="S618" s="14" t="s">
        <v>2148</v>
      </c>
      <c r="T618" s="147">
        <v>162960816</v>
      </c>
      <c r="U618" s="147">
        <v>0</v>
      </c>
    </row>
    <row r="619" spans="2:21" x14ac:dyDescent="0.3">
      <c r="B619" s="37"/>
      <c r="C619" s="13"/>
      <c r="D619" s="283"/>
      <c r="E619" s="283"/>
      <c r="G619" s="37"/>
      <c r="H619" s="13"/>
      <c r="I619" s="283"/>
      <c r="J619" s="283"/>
      <c r="L619" s="37"/>
      <c r="M619" s="13"/>
      <c r="N619" s="283"/>
      <c r="O619" s="283"/>
      <c r="Q619" s="37"/>
      <c r="R619" s="128" t="s">
        <v>1180</v>
      </c>
      <c r="S619" s="14" t="s">
        <v>2149</v>
      </c>
      <c r="T619" s="147">
        <v>113919147</v>
      </c>
      <c r="U619" s="147">
        <v>0</v>
      </c>
    </row>
    <row r="620" spans="2:21" x14ac:dyDescent="0.3">
      <c r="B620" s="37"/>
      <c r="C620" s="13"/>
      <c r="D620" s="283"/>
      <c r="E620" s="283"/>
      <c r="G620" s="37"/>
      <c r="H620" s="13"/>
      <c r="I620" s="283"/>
      <c r="J620" s="283"/>
      <c r="L620" s="37"/>
      <c r="M620" s="13"/>
      <c r="N620" s="283"/>
      <c r="O620" s="283"/>
      <c r="Q620" s="37"/>
      <c r="R620" s="128" t="s">
        <v>2152</v>
      </c>
      <c r="S620" s="14" t="s">
        <v>2153</v>
      </c>
      <c r="T620" s="147">
        <v>159770150</v>
      </c>
      <c r="U620" s="147">
        <v>0</v>
      </c>
    </row>
    <row r="621" spans="2:21" x14ac:dyDescent="0.3">
      <c r="B621" s="37"/>
      <c r="C621" s="13"/>
      <c r="D621" s="283"/>
      <c r="E621" s="283"/>
      <c r="G621" s="37"/>
      <c r="H621" s="13"/>
      <c r="I621" s="283"/>
      <c r="J621" s="283"/>
      <c r="L621" s="37"/>
      <c r="M621" s="13"/>
      <c r="N621" s="283"/>
      <c r="O621" s="283"/>
      <c r="Q621" s="195">
        <v>31010003</v>
      </c>
      <c r="R621" s="196"/>
      <c r="S621" s="200" t="s">
        <v>3256</v>
      </c>
      <c r="T621" s="194">
        <v>0</v>
      </c>
      <c r="U621" s="194">
        <v>0</v>
      </c>
    </row>
    <row r="622" spans="2:21" x14ac:dyDescent="0.3">
      <c r="B622" s="37"/>
      <c r="C622" s="13"/>
      <c r="D622" s="283"/>
      <c r="E622" s="283"/>
      <c r="G622" s="37"/>
      <c r="H622" s="13"/>
      <c r="I622" s="283"/>
      <c r="J622" s="283"/>
      <c r="L622" s="37"/>
      <c r="M622" s="13"/>
      <c r="N622" s="283"/>
      <c r="O622" s="283"/>
      <c r="Q622" s="195">
        <v>31010004</v>
      </c>
      <c r="R622" s="196"/>
      <c r="S622" s="197" t="s">
        <v>977</v>
      </c>
      <c r="T622" s="194">
        <v>0</v>
      </c>
      <c r="U622" s="194">
        <v>0</v>
      </c>
    </row>
    <row r="623" spans="2:21" x14ac:dyDescent="0.3">
      <c r="B623" s="37"/>
      <c r="C623" s="13"/>
      <c r="D623" s="283"/>
      <c r="E623" s="283"/>
      <c r="G623" s="37"/>
      <c r="H623" s="13"/>
      <c r="I623" s="283"/>
      <c r="J623" s="283"/>
      <c r="L623" s="37"/>
      <c r="M623" s="13"/>
      <c r="N623" s="283"/>
      <c r="O623" s="283"/>
      <c r="Q623" s="195">
        <v>31010005</v>
      </c>
      <c r="R623" s="196"/>
      <c r="S623" s="197" t="s">
        <v>2047</v>
      </c>
      <c r="T623" s="194">
        <v>0</v>
      </c>
      <c r="U623" s="194">
        <v>0</v>
      </c>
    </row>
    <row r="624" spans="2:21" x14ac:dyDescent="0.3">
      <c r="B624" s="37"/>
      <c r="C624" s="13"/>
      <c r="D624" s="283"/>
      <c r="E624" s="283"/>
      <c r="G624" s="37"/>
      <c r="H624" s="13"/>
      <c r="I624" s="283"/>
      <c r="J624" s="283"/>
      <c r="L624" s="37"/>
      <c r="M624" s="13"/>
      <c r="N624" s="283"/>
      <c r="O624" s="283"/>
      <c r="Q624" s="195">
        <v>31010006</v>
      </c>
      <c r="R624" s="196"/>
      <c r="S624" s="197" t="s">
        <v>2051</v>
      </c>
      <c r="T624" s="194">
        <v>0</v>
      </c>
      <c r="U624" s="194">
        <v>0</v>
      </c>
    </row>
    <row r="625" spans="2:21" x14ac:dyDescent="0.3">
      <c r="B625" s="37"/>
      <c r="C625" s="13"/>
      <c r="D625" s="283"/>
      <c r="E625" s="283"/>
      <c r="G625" s="37"/>
      <c r="H625" s="13"/>
      <c r="I625" s="283"/>
      <c r="J625" s="283"/>
      <c r="L625" s="37"/>
      <c r="M625" s="13"/>
      <c r="N625" s="283"/>
      <c r="O625" s="283"/>
      <c r="Q625" s="37"/>
      <c r="R625" s="128"/>
      <c r="S625" s="13"/>
      <c r="T625" s="147"/>
      <c r="U625" s="147"/>
    </row>
    <row r="626" spans="2:21" x14ac:dyDescent="0.3">
      <c r="B626" s="37"/>
      <c r="C626" s="13"/>
      <c r="D626" s="283"/>
      <c r="E626" s="283"/>
      <c r="G626" s="37"/>
      <c r="H626" s="13"/>
      <c r="I626" s="283"/>
      <c r="J626" s="283"/>
      <c r="K626">
        <v>3102</v>
      </c>
      <c r="L626" s="195">
        <v>3102</v>
      </c>
      <c r="M626" s="197" t="s">
        <v>2048</v>
      </c>
      <c r="N626" s="288">
        <f>(T626+T630+T633+T640)-(U652)</f>
        <v>10186180</v>
      </c>
      <c r="O626" s="288">
        <v>0</v>
      </c>
      <c r="Q626" s="195">
        <v>31020001</v>
      </c>
      <c r="R626" s="196"/>
      <c r="S626" s="197" t="s">
        <v>2050</v>
      </c>
      <c r="T626" s="194">
        <f>SUM(T627:T629)-SUM(U627:U629)</f>
        <v>26869781</v>
      </c>
      <c r="U626" s="194">
        <v>0</v>
      </c>
    </row>
    <row r="627" spans="2:21" x14ac:dyDescent="0.3">
      <c r="B627" s="37"/>
      <c r="C627" s="13"/>
      <c r="D627" s="283"/>
      <c r="E627" s="283"/>
      <c r="G627" s="37"/>
      <c r="H627" s="13"/>
      <c r="I627" s="283"/>
      <c r="J627" s="283"/>
      <c r="L627" s="37"/>
      <c r="M627" s="13"/>
      <c r="N627" s="283"/>
      <c r="O627" s="283"/>
      <c r="Q627" s="37"/>
      <c r="R627" s="128">
        <v>310073</v>
      </c>
      <c r="S627" s="13" t="s">
        <v>3265</v>
      </c>
      <c r="T627" s="147">
        <v>25175582</v>
      </c>
      <c r="U627" s="147">
        <v>0</v>
      </c>
    </row>
    <row r="628" spans="2:21" x14ac:dyDescent="0.3">
      <c r="B628" s="37"/>
      <c r="C628" s="13"/>
      <c r="D628" s="283"/>
      <c r="E628" s="283"/>
      <c r="G628" s="37"/>
      <c r="H628" s="13"/>
      <c r="I628" s="283"/>
      <c r="J628" s="283"/>
      <c r="L628" s="37"/>
      <c r="M628" s="13"/>
      <c r="N628" s="283"/>
      <c r="O628" s="283"/>
      <c r="Q628" s="37"/>
      <c r="R628" s="128">
        <v>310001</v>
      </c>
      <c r="S628" s="13" t="s">
        <v>68</v>
      </c>
      <c r="T628" s="147">
        <v>1196138</v>
      </c>
      <c r="U628" s="147">
        <v>0</v>
      </c>
    </row>
    <row r="629" spans="2:21" x14ac:dyDescent="0.3">
      <c r="B629" s="37"/>
      <c r="C629" s="13"/>
      <c r="D629" s="283"/>
      <c r="E629" s="283"/>
      <c r="G629" s="37"/>
      <c r="H629" s="13"/>
      <c r="I629" s="283"/>
      <c r="J629" s="283"/>
      <c r="L629" s="37"/>
      <c r="M629" s="13"/>
      <c r="N629" s="283"/>
      <c r="O629" s="283"/>
      <c r="Q629" s="37"/>
      <c r="R629" s="128">
        <v>310046</v>
      </c>
      <c r="S629" s="13" t="s">
        <v>2225</v>
      </c>
      <c r="T629" s="147">
        <v>498061</v>
      </c>
      <c r="U629" s="147">
        <v>0</v>
      </c>
    </row>
    <row r="630" spans="2:21" x14ac:dyDescent="0.3">
      <c r="B630" s="37"/>
      <c r="C630" s="13"/>
      <c r="D630" s="283"/>
      <c r="E630" s="283"/>
      <c r="G630" s="37"/>
      <c r="H630" s="13"/>
      <c r="I630" s="283"/>
      <c r="J630" s="283"/>
      <c r="L630" s="37"/>
      <c r="M630" s="13"/>
      <c r="N630" s="283"/>
      <c r="O630" s="283"/>
      <c r="Q630" s="195">
        <v>31020002</v>
      </c>
      <c r="R630" s="196"/>
      <c r="S630" s="197" t="s">
        <v>979</v>
      </c>
      <c r="T630" s="194">
        <f>SUM(T631:T632)-SUM(U631:U632)</f>
        <v>716982</v>
      </c>
      <c r="U630" s="194">
        <v>0</v>
      </c>
    </row>
    <row r="631" spans="2:21" x14ac:dyDescent="0.3">
      <c r="B631" s="37"/>
      <c r="C631" s="13"/>
      <c r="D631" s="283"/>
      <c r="E631" s="283"/>
      <c r="G631" s="37"/>
      <c r="H631" s="13"/>
      <c r="I631" s="283"/>
      <c r="J631" s="283"/>
      <c r="L631" s="37"/>
      <c r="M631" s="13"/>
      <c r="N631" s="283"/>
      <c r="O631" s="283"/>
      <c r="Q631" s="37"/>
      <c r="R631" s="128">
        <v>310022</v>
      </c>
      <c r="S631" s="13" t="s">
        <v>841</v>
      </c>
      <c r="T631" s="147">
        <v>715000</v>
      </c>
      <c r="U631" s="147">
        <v>0</v>
      </c>
    </row>
    <row r="632" spans="2:21" x14ac:dyDescent="0.3">
      <c r="B632" s="37"/>
      <c r="C632" s="13"/>
      <c r="D632" s="283"/>
      <c r="E632" s="283"/>
      <c r="G632" s="37"/>
      <c r="H632" s="13"/>
      <c r="I632" s="283"/>
      <c r="J632" s="283"/>
      <c r="L632" s="37"/>
      <c r="M632" s="13"/>
      <c r="N632" s="283"/>
      <c r="O632" s="283"/>
      <c r="Q632" s="37"/>
      <c r="R632" s="128">
        <v>310037</v>
      </c>
      <c r="S632" s="13" t="s">
        <v>862</v>
      </c>
      <c r="T632" s="147">
        <v>1982</v>
      </c>
      <c r="U632" s="147">
        <v>0</v>
      </c>
    </row>
    <row r="633" spans="2:21" x14ac:dyDescent="0.3">
      <c r="B633" s="37"/>
      <c r="C633" s="13"/>
      <c r="D633" s="283"/>
      <c r="E633" s="283"/>
      <c r="G633" s="37"/>
      <c r="H633" s="13"/>
      <c r="I633" s="283"/>
      <c r="J633" s="283"/>
      <c r="L633" s="37"/>
      <c r="M633" s="13"/>
      <c r="N633" s="283"/>
      <c r="O633" s="283"/>
      <c r="Q633" s="195">
        <v>31020003</v>
      </c>
      <c r="R633" s="196"/>
      <c r="S633" s="197" t="s">
        <v>980</v>
      </c>
      <c r="T633" s="194">
        <f>SUM(T634:T639)-SUM(U634:U639)</f>
        <v>6642149</v>
      </c>
      <c r="U633" s="194">
        <v>0</v>
      </c>
    </row>
    <row r="634" spans="2:21" x14ac:dyDescent="0.3">
      <c r="B634" s="37"/>
      <c r="C634" s="13"/>
      <c r="D634" s="283"/>
      <c r="E634" s="283"/>
      <c r="G634" s="37"/>
      <c r="H634" s="13"/>
      <c r="I634" s="283"/>
      <c r="J634" s="283"/>
      <c r="L634" s="37"/>
      <c r="M634" s="13"/>
      <c r="N634" s="283"/>
      <c r="O634" s="283"/>
      <c r="Q634" s="37"/>
      <c r="R634" s="128">
        <v>310006</v>
      </c>
      <c r="S634" s="13" t="s">
        <v>74</v>
      </c>
      <c r="T634" s="147">
        <v>141578</v>
      </c>
      <c r="U634" s="147">
        <v>0</v>
      </c>
    </row>
    <row r="635" spans="2:21" x14ac:dyDescent="0.3">
      <c r="B635" s="37"/>
      <c r="C635" s="13"/>
      <c r="D635" s="283"/>
      <c r="E635" s="283"/>
      <c r="G635" s="37"/>
      <c r="H635" s="13"/>
      <c r="I635" s="283"/>
      <c r="J635" s="283"/>
      <c r="L635" s="37"/>
      <c r="M635" s="13"/>
      <c r="N635" s="283"/>
      <c r="O635" s="283"/>
      <c r="Q635" s="37"/>
      <c r="R635" s="128">
        <v>310012</v>
      </c>
      <c r="S635" s="13" t="s">
        <v>836</v>
      </c>
      <c r="T635" s="147">
        <v>3703928</v>
      </c>
      <c r="U635" s="147">
        <v>0</v>
      </c>
    </row>
    <row r="636" spans="2:21" x14ac:dyDescent="0.3">
      <c r="B636" s="37"/>
      <c r="C636" s="13"/>
      <c r="D636" s="283"/>
      <c r="E636" s="283"/>
      <c r="G636" s="37"/>
      <c r="H636" s="13"/>
      <c r="I636" s="283"/>
      <c r="J636" s="283"/>
      <c r="L636" s="37"/>
      <c r="M636" s="13"/>
      <c r="N636" s="283"/>
      <c r="O636" s="283"/>
      <c r="Q636" s="37"/>
      <c r="R636" s="128">
        <v>310018</v>
      </c>
      <c r="S636" s="13" t="s">
        <v>100</v>
      </c>
      <c r="T636" s="147">
        <v>49069</v>
      </c>
      <c r="U636" s="147">
        <v>0</v>
      </c>
    </row>
    <row r="637" spans="2:21" x14ac:dyDescent="0.3">
      <c r="B637" s="37"/>
      <c r="C637" s="13"/>
      <c r="D637" s="283"/>
      <c r="E637" s="283"/>
      <c r="G637" s="37"/>
      <c r="H637" s="13"/>
      <c r="I637" s="283"/>
      <c r="J637" s="283"/>
      <c r="L637" s="37"/>
      <c r="M637" s="13"/>
      <c r="N637" s="283"/>
      <c r="O637" s="283"/>
      <c r="Q637" s="37"/>
      <c r="R637" s="128">
        <v>120095</v>
      </c>
      <c r="S637" s="13" t="s">
        <v>156</v>
      </c>
      <c r="T637" s="147">
        <v>800959</v>
      </c>
      <c r="U637" s="147">
        <v>0</v>
      </c>
    </row>
    <row r="638" spans="2:21" x14ac:dyDescent="0.3">
      <c r="B638" s="37"/>
      <c r="C638" s="13"/>
      <c r="D638" s="283"/>
      <c r="E638" s="283"/>
      <c r="G638" s="37"/>
      <c r="H638" s="13"/>
      <c r="I638" s="283"/>
      <c r="J638" s="283"/>
      <c r="L638" s="37"/>
      <c r="M638" s="13"/>
      <c r="N638" s="283"/>
      <c r="O638" s="283"/>
      <c r="Q638" s="37"/>
      <c r="R638" s="128">
        <v>310039</v>
      </c>
      <c r="S638" s="13" t="s">
        <v>181</v>
      </c>
      <c r="T638" s="147">
        <v>702024</v>
      </c>
      <c r="U638" s="147">
        <v>0</v>
      </c>
    </row>
    <row r="639" spans="2:21" x14ac:dyDescent="0.3">
      <c r="B639" s="37"/>
      <c r="C639" s="13"/>
      <c r="D639" s="283"/>
      <c r="E639" s="283"/>
      <c r="G639" s="37"/>
      <c r="H639" s="13"/>
      <c r="I639" s="283"/>
      <c r="J639" s="283"/>
      <c r="L639" s="37"/>
      <c r="M639" s="13"/>
      <c r="N639" s="283"/>
      <c r="O639" s="283"/>
      <c r="Q639" s="37"/>
      <c r="R639" s="128">
        <v>310074</v>
      </c>
      <c r="S639" s="13" t="s">
        <v>3296</v>
      </c>
      <c r="T639" s="147">
        <v>1244591</v>
      </c>
      <c r="U639" s="147">
        <v>0</v>
      </c>
    </row>
    <row r="640" spans="2:21" x14ac:dyDescent="0.3">
      <c r="B640" s="37"/>
      <c r="C640" s="13"/>
      <c r="D640" s="283"/>
      <c r="E640" s="283"/>
      <c r="G640" s="37"/>
      <c r="H640" s="13"/>
      <c r="I640" s="283"/>
      <c r="J640" s="283"/>
      <c r="L640" s="37"/>
      <c r="M640" s="13"/>
      <c r="N640" s="283"/>
      <c r="O640" s="283"/>
      <c r="Q640" s="195">
        <v>31020004</v>
      </c>
      <c r="R640" s="196"/>
      <c r="S640" s="197" t="s">
        <v>2049</v>
      </c>
      <c r="T640" s="194">
        <f>SUM(T641:T650)-SUM(U641:U650)</f>
        <v>1132850</v>
      </c>
      <c r="U640" s="194">
        <v>0</v>
      </c>
    </row>
    <row r="641" spans="2:24" x14ac:dyDescent="0.3">
      <c r="B641" s="37"/>
      <c r="C641" s="13"/>
      <c r="D641" s="283"/>
      <c r="E641" s="283"/>
      <c r="G641" s="37"/>
      <c r="H641" s="13"/>
      <c r="I641" s="283"/>
      <c r="J641" s="283"/>
      <c r="L641" s="37"/>
      <c r="M641" s="13"/>
      <c r="N641" s="283"/>
      <c r="O641" s="283"/>
      <c r="Q641" s="37"/>
      <c r="R641" s="128">
        <v>310003</v>
      </c>
      <c r="S641" s="13" t="s">
        <v>71</v>
      </c>
      <c r="T641" s="147">
        <v>64150</v>
      </c>
      <c r="U641" s="147">
        <v>0</v>
      </c>
    </row>
    <row r="642" spans="2:24" x14ac:dyDescent="0.3">
      <c r="B642" s="37"/>
      <c r="C642" s="13"/>
      <c r="D642" s="283"/>
      <c r="E642" s="283"/>
      <c r="G642" s="37"/>
      <c r="H642" s="13"/>
      <c r="I642" s="283"/>
      <c r="J642" s="283"/>
      <c r="L642" s="37"/>
      <c r="M642" s="13"/>
      <c r="N642" s="283"/>
      <c r="O642" s="283"/>
      <c r="Q642" s="37"/>
      <c r="R642" s="128">
        <v>310047</v>
      </c>
      <c r="S642" s="13" t="s">
        <v>3260</v>
      </c>
      <c r="T642" s="147">
        <v>6000</v>
      </c>
      <c r="U642" s="147">
        <v>0</v>
      </c>
    </row>
    <row r="643" spans="2:24" x14ac:dyDescent="0.3">
      <c r="B643" s="37"/>
      <c r="C643" s="13"/>
      <c r="D643" s="283"/>
      <c r="E643" s="283"/>
      <c r="G643" s="37"/>
      <c r="H643" s="13"/>
      <c r="I643" s="283"/>
      <c r="J643" s="283"/>
      <c r="L643" s="37"/>
      <c r="M643" s="13"/>
      <c r="N643" s="283"/>
      <c r="O643" s="283"/>
      <c r="Q643" s="37"/>
      <c r="R643" s="128" t="s">
        <v>2154</v>
      </c>
      <c r="S643" s="13" t="s">
        <v>2155</v>
      </c>
      <c r="T643" s="147">
        <v>155400</v>
      </c>
      <c r="U643" s="147">
        <v>0</v>
      </c>
    </row>
    <row r="644" spans="2:24" x14ac:dyDescent="0.3">
      <c r="B644" s="37"/>
      <c r="C644" s="13"/>
      <c r="D644" s="283"/>
      <c r="E644" s="283"/>
      <c r="G644" s="37"/>
      <c r="H644" s="13"/>
      <c r="I644" s="283"/>
      <c r="J644" s="283"/>
      <c r="L644" s="37"/>
      <c r="M644" s="13"/>
      <c r="N644" s="283"/>
      <c r="O644" s="283"/>
      <c r="Q644" s="37"/>
      <c r="R644" s="128" t="s">
        <v>1898</v>
      </c>
      <c r="S644" s="13" t="s">
        <v>2218</v>
      </c>
      <c r="T644" s="147">
        <v>470500</v>
      </c>
      <c r="U644" s="147">
        <v>0</v>
      </c>
    </row>
    <row r="645" spans="2:24" x14ac:dyDescent="0.3">
      <c r="B645" s="37"/>
      <c r="C645" s="13"/>
      <c r="D645" s="283"/>
      <c r="E645" s="283"/>
      <c r="G645" s="37"/>
      <c r="H645" s="13"/>
      <c r="I645" s="283"/>
      <c r="J645" s="283"/>
      <c r="L645" s="37"/>
      <c r="M645" s="13"/>
      <c r="N645" s="283"/>
      <c r="O645" s="283"/>
      <c r="Q645" s="37"/>
      <c r="R645" s="128" t="s">
        <v>2219</v>
      </c>
      <c r="S645" s="13" t="s">
        <v>2220</v>
      </c>
      <c r="T645" s="147">
        <v>92000</v>
      </c>
      <c r="U645" s="147">
        <v>0</v>
      </c>
    </row>
    <row r="646" spans="2:24" x14ac:dyDescent="0.3">
      <c r="B646" s="37"/>
      <c r="C646" s="13"/>
      <c r="D646" s="283"/>
      <c r="E646" s="283"/>
      <c r="G646" s="37"/>
      <c r="H646" s="13"/>
      <c r="I646" s="283"/>
      <c r="J646" s="283"/>
      <c r="L646" s="37"/>
      <c r="M646" s="13"/>
      <c r="N646" s="283"/>
      <c r="O646" s="283"/>
      <c r="Q646" s="37"/>
      <c r="R646" s="128" t="s">
        <v>2221</v>
      </c>
      <c r="S646" s="13" t="s">
        <v>2222</v>
      </c>
      <c r="T646" s="147">
        <v>131500</v>
      </c>
      <c r="U646" s="147">
        <v>0</v>
      </c>
    </row>
    <row r="647" spans="2:24" x14ac:dyDescent="0.3">
      <c r="B647" s="37"/>
      <c r="C647" s="13"/>
      <c r="D647" s="283"/>
      <c r="E647" s="283"/>
      <c r="G647" s="37"/>
      <c r="H647" s="13"/>
      <c r="I647" s="283"/>
      <c r="J647" s="283"/>
      <c r="L647" s="37"/>
      <c r="M647" s="13"/>
      <c r="N647" s="283"/>
      <c r="O647" s="283"/>
      <c r="Q647" s="37"/>
      <c r="R647" s="128" t="s">
        <v>2223</v>
      </c>
      <c r="S647" s="13" t="s">
        <v>2224</v>
      </c>
      <c r="T647" s="147">
        <v>51000</v>
      </c>
      <c r="U647" s="147">
        <v>0</v>
      </c>
    </row>
    <row r="648" spans="2:24" x14ac:dyDescent="0.3">
      <c r="B648" s="37"/>
      <c r="C648" s="13"/>
      <c r="D648" s="283"/>
      <c r="E648" s="283"/>
      <c r="G648" s="37"/>
      <c r="H648" s="13"/>
      <c r="I648" s="283"/>
      <c r="J648" s="283"/>
      <c r="L648" s="37"/>
      <c r="M648" s="13"/>
      <c r="N648" s="283"/>
      <c r="O648" s="283"/>
      <c r="Q648" s="37"/>
      <c r="R648" s="128" t="s">
        <v>2226</v>
      </c>
      <c r="S648" s="13" t="s">
        <v>2227</v>
      </c>
      <c r="T648" s="147">
        <v>88000</v>
      </c>
      <c r="U648" s="147">
        <v>0</v>
      </c>
    </row>
    <row r="649" spans="2:24" x14ac:dyDescent="0.3">
      <c r="B649" s="37"/>
      <c r="C649" s="13"/>
      <c r="D649" s="283"/>
      <c r="E649" s="283"/>
      <c r="G649" s="37"/>
      <c r="H649" s="13"/>
      <c r="I649" s="283"/>
      <c r="J649" s="283"/>
      <c r="L649" s="37"/>
      <c r="M649" s="13"/>
      <c r="N649" s="283"/>
      <c r="O649" s="283"/>
      <c r="Q649" s="37"/>
      <c r="R649" s="128" t="s">
        <v>2228</v>
      </c>
      <c r="S649" s="13" t="s">
        <v>1990</v>
      </c>
      <c r="T649" s="147">
        <v>73300</v>
      </c>
      <c r="U649" s="147">
        <v>0</v>
      </c>
    </row>
    <row r="650" spans="2:24" x14ac:dyDescent="0.3">
      <c r="B650" s="37"/>
      <c r="C650" s="13"/>
      <c r="D650" s="283"/>
      <c r="E650" s="283"/>
      <c r="G650" s="37"/>
      <c r="H650" s="13"/>
      <c r="I650" s="283"/>
      <c r="J650" s="283"/>
      <c r="L650" s="37"/>
      <c r="M650" s="13"/>
      <c r="N650" s="283"/>
      <c r="O650" s="283"/>
      <c r="Q650" s="37"/>
      <c r="R650" s="128" t="s">
        <v>2229</v>
      </c>
      <c r="S650" s="13" t="s">
        <v>1987</v>
      </c>
      <c r="T650" s="147">
        <v>1000</v>
      </c>
      <c r="U650" s="147">
        <v>0</v>
      </c>
    </row>
    <row r="651" spans="2:24" x14ac:dyDescent="0.3">
      <c r="B651" s="37"/>
      <c r="C651" s="13"/>
      <c r="D651" s="283"/>
      <c r="E651" s="283"/>
      <c r="G651" s="37"/>
      <c r="H651" s="13"/>
      <c r="I651" s="283"/>
      <c r="J651" s="283"/>
      <c r="L651" s="37"/>
      <c r="M651" s="13"/>
      <c r="N651" s="283"/>
      <c r="O651" s="283"/>
      <c r="Q651" s="195">
        <v>31020005</v>
      </c>
      <c r="R651" s="196"/>
      <c r="S651" s="197" t="s">
        <v>2052</v>
      </c>
      <c r="T651" s="194">
        <v>0</v>
      </c>
      <c r="U651" s="194">
        <v>0</v>
      </c>
    </row>
    <row r="652" spans="2:24" x14ac:dyDescent="0.3">
      <c r="B652" s="37"/>
      <c r="C652" s="13"/>
      <c r="D652" s="283"/>
      <c r="E652" s="283"/>
      <c r="G652" s="37"/>
      <c r="H652" s="13"/>
      <c r="I652" s="283"/>
      <c r="J652" s="283"/>
      <c r="L652" s="37"/>
      <c r="M652" s="13"/>
      <c r="N652" s="283"/>
      <c r="O652" s="283"/>
      <c r="Q652" s="195">
        <v>31020006</v>
      </c>
      <c r="R652" s="196"/>
      <c r="S652" s="200" t="s">
        <v>981</v>
      </c>
      <c r="T652" s="194">
        <v>0</v>
      </c>
      <c r="U652" s="194">
        <f>SUM(U653)-SUM(T653)</f>
        <v>25175582</v>
      </c>
    </row>
    <row r="653" spans="2:24" x14ac:dyDescent="0.3">
      <c r="B653" s="37"/>
      <c r="C653" s="13"/>
      <c r="D653" s="283"/>
      <c r="E653" s="283"/>
      <c r="G653" s="37"/>
      <c r="H653" s="13"/>
      <c r="I653" s="283"/>
      <c r="J653" s="283"/>
      <c r="L653" s="37"/>
      <c r="M653" s="13"/>
      <c r="N653" s="283"/>
      <c r="O653" s="283"/>
      <c r="Q653" s="37"/>
      <c r="R653" s="128" t="s">
        <v>2138</v>
      </c>
      <c r="S653" s="13" t="s">
        <v>7</v>
      </c>
      <c r="T653" s="147">
        <v>0</v>
      </c>
      <c r="U653" s="147">
        <v>25175582</v>
      </c>
    </row>
    <row r="654" spans="2:24" x14ac:dyDescent="0.3">
      <c r="B654" s="37"/>
      <c r="C654" s="13"/>
      <c r="D654" s="283"/>
      <c r="E654" s="283"/>
      <c r="G654" s="37"/>
      <c r="H654" s="13"/>
      <c r="I654" s="283"/>
      <c r="J654" s="283"/>
      <c r="L654" s="37"/>
      <c r="M654" s="13"/>
      <c r="N654" s="283"/>
      <c r="O654" s="283"/>
      <c r="Q654" s="37"/>
      <c r="R654" s="128"/>
      <c r="S654" s="13"/>
      <c r="T654" s="147"/>
      <c r="U654" s="147"/>
    </row>
    <row r="655" spans="2:24" x14ac:dyDescent="0.3">
      <c r="B655" s="37"/>
      <c r="C655" s="13"/>
      <c r="D655" s="283"/>
      <c r="E655" s="283"/>
      <c r="G655" s="37"/>
      <c r="H655" s="13"/>
      <c r="I655" s="283"/>
      <c r="J655" s="283"/>
      <c r="K655">
        <v>3103</v>
      </c>
      <c r="L655" s="195">
        <v>3103</v>
      </c>
      <c r="M655" s="197" t="s">
        <v>2053</v>
      </c>
      <c r="N655" s="288">
        <f>SUM(T655+T672+T686+T691+T696)</f>
        <v>111211500.93000001</v>
      </c>
      <c r="O655" s="288">
        <v>0</v>
      </c>
      <c r="Q655" s="195">
        <v>31030001</v>
      </c>
      <c r="R655" s="196"/>
      <c r="S655" s="200" t="s">
        <v>2054</v>
      </c>
      <c r="T655" s="292">
        <f>SUM(T656:T671)-SUM(U656:U671)</f>
        <v>351839</v>
      </c>
      <c r="U655" s="194">
        <v>0</v>
      </c>
      <c r="X655" s="291"/>
    </row>
    <row r="656" spans="2:24" x14ac:dyDescent="0.3">
      <c r="B656" s="37"/>
      <c r="C656" s="13"/>
      <c r="D656" s="283"/>
      <c r="E656" s="283"/>
      <c r="G656" s="37"/>
      <c r="H656" s="13"/>
      <c r="I656" s="283"/>
      <c r="J656" s="283"/>
      <c r="L656" s="37"/>
      <c r="M656" s="13"/>
      <c r="N656" s="283"/>
      <c r="O656" s="283"/>
      <c r="Q656" s="37"/>
      <c r="R656" s="128" t="s">
        <v>1934</v>
      </c>
      <c r="S656" s="14" t="s">
        <v>2196</v>
      </c>
      <c r="T656" s="147">
        <v>0</v>
      </c>
      <c r="U656" s="147">
        <v>589</v>
      </c>
    </row>
    <row r="657" spans="2:21" x14ac:dyDescent="0.3">
      <c r="B657" s="37"/>
      <c r="C657" s="13"/>
      <c r="D657" s="283"/>
      <c r="E657" s="283"/>
      <c r="G657" s="37"/>
      <c r="H657" s="13"/>
      <c r="I657" s="283"/>
      <c r="J657" s="283"/>
      <c r="L657" s="37"/>
      <c r="M657" s="13"/>
      <c r="N657" s="283"/>
      <c r="O657" s="283"/>
      <c r="Q657" s="37"/>
      <c r="R657" s="128" t="s">
        <v>2209</v>
      </c>
      <c r="S657" s="14" t="s">
        <v>2210</v>
      </c>
      <c r="T657" s="147">
        <v>18444</v>
      </c>
      <c r="U657" s="147">
        <v>0</v>
      </c>
    </row>
    <row r="658" spans="2:21" x14ac:dyDescent="0.3">
      <c r="B658" s="37"/>
      <c r="C658" s="13"/>
      <c r="D658" s="283"/>
      <c r="E658" s="283"/>
      <c r="G658" s="37"/>
      <c r="H658" s="13"/>
      <c r="I658" s="283"/>
      <c r="J658" s="283"/>
      <c r="L658" s="37"/>
      <c r="M658" s="13"/>
      <c r="N658" s="283"/>
      <c r="O658" s="283"/>
      <c r="Q658" s="37"/>
      <c r="R658" s="128" t="s">
        <v>3312</v>
      </c>
      <c r="S658" s="14" t="s">
        <v>259</v>
      </c>
      <c r="T658" s="147">
        <v>85725</v>
      </c>
      <c r="U658" s="147">
        <v>0</v>
      </c>
    </row>
    <row r="659" spans="2:21" x14ac:dyDescent="0.3">
      <c r="B659" s="37"/>
      <c r="C659" s="13"/>
      <c r="D659" s="283"/>
      <c r="E659" s="283"/>
      <c r="G659" s="37"/>
      <c r="H659" s="13"/>
      <c r="I659" s="283"/>
      <c r="J659" s="283"/>
      <c r="L659" s="37"/>
      <c r="M659" s="13"/>
      <c r="N659" s="283"/>
      <c r="O659" s="283"/>
      <c r="Q659" s="37"/>
      <c r="R659" s="128" t="s">
        <v>3336</v>
      </c>
      <c r="S659" s="14" t="s">
        <v>12</v>
      </c>
      <c r="T659" s="147">
        <v>85722</v>
      </c>
      <c r="U659" s="147">
        <v>0</v>
      </c>
    </row>
    <row r="660" spans="2:21" x14ac:dyDescent="0.3">
      <c r="B660" s="37"/>
      <c r="C660" s="13"/>
      <c r="D660" s="283"/>
      <c r="E660" s="283"/>
      <c r="G660" s="37"/>
      <c r="H660" s="13"/>
      <c r="I660" s="283"/>
      <c r="J660" s="283"/>
      <c r="L660" s="37"/>
      <c r="M660" s="13"/>
      <c r="N660" s="283"/>
      <c r="O660" s="283"/>
      <c r="Q660" s="37"/>
      <c r="R660" s="128" t="s">
        <v>3334</v>
      </c>
      <c r="S660" s="14" t="s">
        <v>655</v>
      </c>
      <c r="T660" s="147">
        <v>80502</v>
      </c>
      <c r="U660" s="147">
        <v>0</v>
      </c>
    </row>
    <row r="661" spans="2:21" x14ac:dyDescent="0.3">
      <c r="B661" s="37"/>
      <c r="C661" s="13"/>
      <c r="D661" s="283"/>
      <c r="E661" s="283"/>
      <c r="G661" s="37"/>
      <c r="H661" s="13"/>
      <c r="I661" s="283"/>
      <c r="J661" s="283"/>
      <c r="L661" s="37"/>
      <c r="M661" s="13"/>
      <c r="N661" s="283"/>
      <c r="O661" s="283"/>
      <c r="Q661" s="37"/>
      <c r="R661" s="128" t="s">
        <v>3335</v>
      </c>
      <c r="S661" s="14" t="s">
        <v>827</v>
      </c>
      <c r="T661" s="147">
        <v>2367</v>
      </c>
      <c r="U661" s="147">
        <v>0</v>
      </c>
    </row>
    <row r="662" spans="2:21" x14ac:dyDescent="0.3">
      <c r="B662" s="37"/>
      <c r="C662" s="13"/>
      <c r="D662" s="283"/>
      <c r="E662" s="283"/>
      <c r="G662" s="37"/>
      <c r="H662" s="13"/>
      <c r="I662" s="283"/>
      <c r="J662" s="283"/>
      <c r="L662" s="37"/>
      <c r="M662" s="13"/>
      <c r="N662" s="283"/>
      <c r="O662" s="283"/>
      <c r="Q662" s="37"/>
      <c r="R662" s="128" t="s">
        <v>1951</v>
      </c>
      <c r="S662" s="14" t="s">
        <v>1952</v>
      </c>
      <c r="T662" s="147">
        <v>29529</v>
      </c>
      <c r="U662" s="147">
        <v>0</v>
      </c>
    </row>
    <row r="663" spans="2:21" x14ac:dyDescent="0.3">
      <c r="B663" s="37"/>
      <c r="C663" s="13"/>
      <c r="D663" s="283"/>
      <c r="E663" s="283"/>
      <c r="G663" s="37"/>
      <c r="H663" s="13"/>
      <c r="I663" s="283"/>
      <c r="J663" s="283"/>
      <c r="L663" s="37"/>
      <c r="M663" s="13"/>
      <c r="N663" s="283"/>
      <c r="O663" s="283"/>
      <c r="Q663" s="37"/>
      <c r="R663" s="128" t="s">
        <v>2340</v>
      </c>
      <c r="S663" s="14" t="s">
        <v>2159</v>
      </c>
      <c r="T663" s="147">
        <v>2817</v>
      </c>
      <c r="U663" s="147">
        <v>0</v>
      </c>
    </row>
    <row r="664" spans="2:21" x14ac:dyDescent="0.3">
      <c r="B664" s="37"/>
      <c r="C664" s="13"/>
      <c r="D664" s="283"/>
      <c r="E664" s="283"/>
      <c r="G664" s="37"/>
      <c r="H664" s="13"/>
      <c r="I664" s="283"/>
      <c r="J664" s="283"/>
      <c r="L664" s="37"/>
      <c r="M664" s="13"/>
      <c r="N664" s="283"/>
      <c r="O664" s="283"/>
      <c r="Q664" s="37"/>
      <c r="R664" s="128" t="s">
        <v>2165</v>
      </c>
      <c r="S664" s="14" t="s">
        <v>2166</v>
      </c>
      <c r="T664" s="147">
        <v>46497</v>
      </c>
      <c r="U664" s="147">
        <v>0</v>
      </c>
    </row>
    <row r="665" spans="2:21" x14ac:dyDescent="0.3">
      <c r="B665" s="37"/>
      <c r="C665" s="13"/>
      <c r="D665" s="283"/>
      <c r="E665" s="283"/>
      <c r="G665" s="37"/>
      <c r="H665" s="13"/>
      <c r="I665" s="283"/>
      <c r="J665" s="283"/>
      <c r="L665" s="37"/>
      <c r="M665" s="13"/>
      <c r="N665" s="283"/>
      <c r="O665" s="283"/>
      <c r="Q665" s="37"/>
      <c r="R665" s="128" t="s">
        <v>2168</v>
      </c>
      <c r="S665" s="14" t="s">
        <v>2169</v>
      </c>
      <c r="T665" s="147">
        <v>1980</v>
      </c>
      <c r="U665" s="147">
        <v>0</v>
      </c>
    </row>
    <row r="666" spans="2:21" x14ac:dyDescent="0.3">
      <c r="B666" s="37"/>
      <c r="C666" s="13"/>
      <c r="D666" s="283"/>
      <c r="E666" s="283"/>
      <c r="G666" s="37"/>
      <c r="H666" s="13"/>
      <c r="I666" s="283"/>
      <c r="J666" s="283"/>
      <c r="L666" s="37"/>
      <c r="M666" s="13"/>
      <c r="N666" s="283"/>
      <c r="O666" s="283"/>
      <c r="Q666" s="37"/>
      <c r="R666" s="128" t="s">
        <v>2212</v>
      </c>
      <c r="S666" s="14" t="s">
        <v>2213</v>
      </c>
      <c r="T666" s="147">
        <v>8250</v>
      </c>
      <c r="U666" s="147">
        <v>0</v>
      </c>
    </row>
    <row r="667" spans="2:21" x14ac:dyDescent="0.3">
      <c r="B667" s="37"/>
      <c r="C667" s="13"/>
      <c r="D667" s="283"/>
      <c r="E667" s="283"/>
      <c r="G667" s="37"/>
      <c r="H667" s="13"/>
      <c r="I667" s="283"/>
      <c r="J667" s="283"/>
      <c r="L667" s="37"/>
      <c r="M667" s="13"/>
      <c r="N667" s="283"/>
      <c r="O667" s="283"/>
      <c r="Q667" s="37"/>
      <c r="R667" s="128" t="s">
        <v>2183</v>
      </c>
      <c r="S667" s="14" t="s">
        <v>2182</v>
      </c>
      <c r="T667" s="147">
        <v>1515</v>
      </c>
      <c r="U667" s="147">
        <v>0</v>
      </c>
    </row>
    <row r="668" spans="2:21" x14ac:dyDescent="0.3">
      <c r="B668" s="37"/>
      <c r="C668" s="13"/>
      <c r="D668" s="283"/>
      <c r="E668" s="283"/>
      <c r="G668" s="37"/>
      <c r="H668" s="13"/>
      <c r="I668" s="283"/>
      <c r="J668" s="283"/>
      <c r="L668" s="37"/>
      <c r="M668" s="13"/>
      <c r="N668" s="283"/>
      <c r="O668" s="283"/>
      <c r="Q668" s="37"/>
      <c r="R668" s="128" t="s">
        <v>2185</v>
      </c>
      <c r="S668" s="14" t="s">
        <v>2184</v>
      </c>
      <c r="T668" s="147">
        <v>1</v>
      </c>
      <c r="U668" s="147">
        <v>0</v>
      </c>
    </row>
    <row r="669" spans="2:21" x14ac:dyDescent="0.3">
      <c r="B669" s="37"/>
      <c r="C669" s="13"/>
      <c r="D669" s="283"/>
      <c r="E669" s="283"/>
      <c r="G669" s="37"/>
      <c r="H669" s="13"/>
      <c r="I669" s="283"/>
      <c r="J669" s="283"/>
      <c r="L669" s="37"/>
      <c r="M669" s="13"/>
      <c r="N669" s="283"/>
      <c r="O669" s="283"/>
      <c r="Q669" s="37"/>
      <c r="R669" s="128" t="s">
        <v>2187</v>
      </c>
      <c r="S669" s="14" t="s">
        <v>2186</v>
      </c>
      <c r="T669" s="147">
        <v>584</v>
      </c>
      <c r="U669" s="147">
        <v>0</v>
      </c>
    </row>
    <row r="670" spans="2:21" x14ac:dyDescent="0.3">
      <c r="B670" s="37"/>
      <c r="C670" s="13"/>
      <c r="D670" s="283"/>
      <c r="E670" s="283"/>
      <c r="G670" s="37"/>
      <c r="H670" s="13"/>
      <c r="I670" s="283"/>
      <c r="J670" s="283"/>
      <c r="L670" s="37"/>
      <c r="M670" s="13"/>
      <c r="N670" s="283"/>
      <c r="O670" s="283"/>
      <c r="Q670" s="37"/>
      <c r="R670" s="128" t="s">
        <v>2342</v>
      </c>
      <c r="S670" s="14" t="s">
        <v>2188</v>
      </c>
      <c r="T670" s="147">
        <v>1518</v>
      </c>
      <c r="U670" s="147">
        <v>0</v>
      </c>
    </row>
    <row r="671" spans="2:21" x14ac:dyDescent="0.3">
      <c r="B671" s="37"/>
      <c r="C671" s="13"/>
      <c r="D671" s="283"/>
      <c r="E671" s="283"/>
      <c r="G671" s="37"/>
      <c r="H671" s="13"/>
      <c r="I671" s="283"/>
      <c r="J671" s="283"/>
      <c r="L671" s="37"/>
      <c r="M671" s="13"/>
      <c r="N671" s="283"/>
      <c r="O671" s="283"/>
      <c r="Q671" s="37"/>
      <c r="R671" s="128" t="s">
        <v>2190</v>
      </c>
      <c r="S671" s="14" t="s">
        <v>2189</v>
      </c>
      <c r="T671" s="147">
        <v>0</v>
      </c>
      <c r="U671" s="147">
        <v>13023</v>
      </c>
    </row>
    <row r="672" spans="2:21" x14ac:dyDescent="0.3">
      <c r="B672" s="37"/>
      <c r="C672" s="13"/>
      <c r="D672" s="283"/>
      <c r="E672" s="283"/>
      <c r="G672" s="37"/>
      <c r="H672" s="13"/>
      <c r="I672" s="283"/>
      <c r="J672" s="283"/>
      <c r="L672" s="37"/>
      <c r="M672" s="13"/>
      <c r="N672" s="283"/>
      <c r="O672" s="283"/>
      <c r="Q672" s="195">
        <v>31030002</v>
      </c>
      <c r="R672" s="196"/>
      <c r="S672" s="200" t="s">
        <v>2055</v>
      </c>
      <c r="T672" s="292">
        <f>SUM(T673:T685)-SUM(U673:U685)</f>
        <v>278086</v>
      </c>
      <c r="U672" s="194">
        <v>0</v>
      </c>
    </row>
    <row r="673" spans="2:21" x14ac:dyDescent="0.3">
      <c r="B673" s="37"/>
      <c r="C673" s="13"/>
      <c r="D673" s="283"/>
      <c r="E673" s="283"/>
      <c r="G673" s="37"/>
      <c r="H673" s="13"/>
      <c r="I673" s="283"/>
      <c r="J673" s="283"/>
      <c r="L673" s="37"/>
      <c r="M673" s="13"/>
      <c r="N673" s="283"/>
      <c r="O673" s="283"/>
      <c r="Q673" s="37"/>
      <c r="R673" s="128" t="s">
        <v>3320</v>
      </c>
      <c r="S673" s="14" t="s">
        <v>0</v>
      </c>
      <c r="T673" s="147">
        <v>60000</v>
      </c>
      <c r="U673" s="147">
        <v>0</v>
      </c>
    </row>
    <row r="674" spans="2:21" x14ac:dyDescent="0.3">
      <c r="B674" s="37"/>
      <c r="C674" s="13"/>
      <c r="D674" s="283"/>
      <c r="E674" s="283"/>
      <c r="G674" s="37"/>
      <c r="H674" s="13"/>
      <c r="I674" s="283"/>
      <c r="J674" s="283"/>
      <c r="L674" s="37"/>
      <c r="M674" s="13"/>
      <c r="N674" s="283"/>
      <c r="O674" s="283"/>
      <c r="Q674" s="37"/>
      <c r="R674" s="128" t="s">
        <v>3321</v>
      </c>
      <c r="S674" s="14" t="s">
        <v>203</v>
      </c>
      <c r="T674" s="147">
        <v>25003</v>
      </c>
      <c r="U674" s="147">
        <v>0</v>
      </c>
    </row>
    <row r="675" spans="2:21" x14ac:dyDescent="0.3">
      <c r="B675" s="37"/>
      <c r="C675" s="13"/>
      <c r="D675" s="283"/>
      <c r="E675" s="283"/>
      <c r="G675" s="37"/>
      <c r="H675" s="13"/>
      <c r="I675" s="283"/>
      <c r="J675" s="283"/>
      <c r="L675" s="37"/>
      <c r="M675" s="13"/>
      <c r="N675" s="283"/>
      <c r="O675" s="283"/>
      <c r="Q675" s="37"/>
      <c r="R675" s="128" t="s">
        <v>3322</v>
      </c>
      <c r="S675" s="14" t="s">
        <v>232</v>
      </c>
      <c r="T675" s="147">
        <v>11750</v>
      </c>
      <c r="U675" s="147">
        <v>0</v>
      </c>
    </row>
    <row r="676" spans="2:21" x14ac:dyDescent="0.3">
      <c r="B676" s="37"/>
      <c r="C676" s="13"/>
      <c r="D676" s="283"/>
      <c r="E676" s="283"/>
      <c r="G676" s="37"/>
      <c r="H676" s="13"/>
      <c r="I676" s="283"/>
      <c r="J676" s="283"/>
      <c r="L676" s="37"/>
      <c r="M676" s="13"/>
      <c r="N676" s="283"/>
      <c r="O676" s="283"/>
      <c r="Q676" s="37"/>
      <c r="R676" s="128" t="s">
        <v>3323</v>
      </c>
      <c r="S676" s="14" t="s">
        <v>265</v>
      </c>
      <c r="T676" s="147">
        <v>48000</v>
      </c>
      <c r="U676" s="147">
        <v>0</v>
      </c>
    </row>
    <row r="677" spans="2:21" x14ac:dyDescent="0.3">
      <c r="B677" s="37"/>
      <c r="C677" s="13"/>
      <c r="D677" s="283"/>
      <c r="E677" s="283"/>
      <c r="G677" s="37"/>
      <c r="H677" s="13"/>
      <c r="I677" s="283"/>
      <c r="J677" s="283"/>
      <c r="L677" s="37"/>
      <c r="M677" s="13"/>
      <c r="N677" s="283"/>
      <c r="O677" s="283"/>
      <c r="Q677" s="37"/>
      <c r="R677" s="128" t="s">
        <v>3324</v>
      </c>
      <c r="S677" s="14" t="s">
        <v>327</v>
      </c>
      <c r="T677" s="147">
        <v>2500</v>
      </c>
      <c r="U677" s="147">
        <v>0</v>
      </c>
    </row>
    <row r="678" spans="2:21" x14ac:dyDescent="0.3">
      <c r="B678" s="37"/>
      <c r="C678" s="13"/>
      <c r="D678" s="283"/>
      <c r="E678" s="283"/>
      <c r="G678" s="37"/>
      <c r="H678" s="13"/>
      <c r="I678" s="283"/>
      <c r="J678" s="283"/>
      <c r="L678" s="37"/>
      <c r="M678" s="13"/>
      <c r="N678" s="283"/>
      <c r="O678" s="283"/>
      <c r="Q678" s="37"/>
      <c r="R678" s="128" t="s">
        <v>3325</v>
      </c>
      <c r="S678" s="14" t="s">
        <v>336</v>
      </c>
      <c r="T678" s="147">
        <v>30000</v>
      </c>
      <c r="U678" s="147">
        <v>0</v>
      </c>
    </row>
    <row r="679" spans="2:21" x14ac:dyDescent="0.3">
      <c r="B679" s="37"/>
      <c r="C679" s="13"/>
      <c r="D679" s="283"/>
      <c r="E679" s="283"/>
      <c r="G679" s="37"/>
      <c r="H679" s="13"/>
      <c r="I679" s="283"/>
      <c r="J679" s="283"/>
      <c r="L679" s="37"/>
      <c r="M679" s="13"/>
      <c r="N679" s="283"/>
      <c r="O679" s="283"/>
      <c r="Q679" s="37"/>
      <c r="R679" s="128" t="s">
        <v>3326</v>
      </c>
      <c r="S679" s="14" t="s">
        <v>376</v>
      </c>
      <c r="T679" s="147">
        <v>31250</v>
      </c>
      <c r="U679" s="147">
        <v>0</v>
      </c>
    </row>
    <row r="680" spans="2:21" x14ac:dyDescent="0.3">
      <c r="B680" s="37"/>
      <c r="C680" s="13"/>
      <c r="D680" s="283"/>
      <c r="E680" s="283"/>
      <c r="G680" s="37"/>
      <c r="H680" s="13"/>
      <c r="I680" s="283"/>
      <c r="J680" s="283"/>
      <c r="L680" s="37"/>
      <c r="M680" s="13"/>
      <c r="N680" s="283"/>
      <c r="O680" s="283"/>
      <c r="Q680" s="37"/>
      <c r="R680" s="128" t="s">
        <v>3327</v>
      </c>
      <c r="S680" s="14" t="s">
        <v>576</v>
      </c>
      <c r="T680" s="147">
        <v>0</v>
      </c>
      <c r="U680" s="147">
        <v>2500</v>
      </c>
    </row>
    <row r="681" spans="2:21" x14ac:dyDescent="0.3">
      <c r="B681" s="37"/>
      <c r="C681" s="13"/>
      <c r="D681" s="283"/>
      <c r="E681" s="283"/>
      <c r="G681" s="37"/>
      <c r="H681" s="13"/>
      <c r="I681" s="283"/>
      <c r="J681" s="283"/>
      <c r="L681" s="37"/>
      <c r="M681" s="13"/>
      <c r="N681" s="283"/>
      <c r="O681" s="283"/>
      <c r="Q681" s="37"/>
      <c r="R681" s="128" t="s">
        <v>3328</v>
      </c>
      <c r="S681" s="14" t="s">
        <v>589</v>
      </c>
      <c r="T681" s="147">
        <v>0</v>
      </c>
      <c r="U681" s="147">
        <v>6921</v>
      </c>
    </row>
    <row r="682" spans="2:21" x14ac:dyDescent="0.3">
      <c r="B682" s="37"/>
      <c r="C682" s="13"/>
      <c r="D682" s="283"/>
      <c r="E682" s="283"/>
      <c r="G682" s="37"/>
      <c r="H682" s="13"/>
      <c r="I682" s="283"/>
      <c r="J682" s="283"/>
      <c r="L682" s="37"/>
      <c r="M682" s="13"/>
      <c r="N682" s="283"/>
      <c r="O682" s="283"/>
      <c r="Q682" s="37"/>
      <c r="R682" s="128" t="s">
        <v>3329</v>
      </c>
      <c r="S682" s="14" t="s">
        <v>703</v>
      </c>
      <c r="T682" s="147">
        <v>4</v>
      </c>
      <c r="U682" s="147">
        <v>0</v>
      </c>
    </row>
    <row r="683" spans="2:21" x14ac:dyDescent="0.3">
      <c r="B683" s="37"/>
      <c r="C683" s="13"/>
      <c r="D683" s="283"/>
      <c r="E683" s="283"/>
      <c r="G683" s="37"/>
      <c r="H683" s="13"/>
      <c r="I683" s="283"/>
      <c r="J683" s="283"/>
      <c r="L683" s="37"/>
      <c r="M683" s="13"/>
      <c r="N683" s="283"/>
      <c r="O683" s="283"/>
      <c r="Q683" s="37"/>
      <c r="R683" s="128" t="s">
        <v>3330</v>
      </c>
      <c r="S683" s="14" t="s">
        <v>782</v>
      </c>
      <c r="T683" s="147">
        <v>24000</v>
      </c>
      <c r="U683" s="147">
        <v>0</v>
      </c>
    </row>
    <row r="684" spans="2:21" x14ac:dyDescent="0.3">
      <c r="B684" s="37"/>
      <c r="C684" s="13"/>
      <c r="D684" s="283"/>
      <c r="E684" s="283"/>
      <c r="G684" s="37"/>
      <c r="H684" s="13"/>
      <c r="I684" s="283"/>
      <c r="J684" s="283"/>
      <c r="L684" s="37"/>
      <c r="M684" s="13"/>
      <c r="N684" s="283"/>
      <c r="O684" s="283"/>
      <c r="Q684" s="37"/>
      <c r="R684" s="128" t="s">
        <v>3331</v>
      </c>
      <c r="S684" s="14" t="s">
        <v>795</v>
      </c>
      <c r="T684" s="147">
        <v>30000</v>
      </c>
      <c r="U684" s="147">
        <v>0</v>
      </c>
    </row>
    <row r="685" spans="2:21" x14ac:dyDescent="0.3">
      <c r="B685" s="37"/>
      <c r="C685" s="13"/>
      <c r="D685" s="283"/>
      <c r="E685" s="283"/>
      <c r="G685" s="37"/>
      <c r="H685" s="13"/>
      <c r="I685" s="283"/>
      <c r="J685" s="283"/>
      <c r="L685" s="37"/>
      <c r="M685" s="13"/>
      <c r="N685" s="283"/>
      <c r="O685" s="283"/>
      <c r="Q685" s="37"/>
      <c r="R685" s="128" t="s">
        <v>3332</v>
      </c>
      <c r="S685" s="14" t="s">
        <v>801</v>
      </c>
      <c r="T685" s="147">
        <v>25000</v>
      </c>
      <c r="U685" s="147">
        <v>0</v>
      </c>
    </row>
    <row r="686" spans="2:21" x14ac:dyDescent="0.3">
      <c r="B686" s="37"/>
      <c r="C686" s="13"/>
      <c r="D686" s="283"/>
      <c r="E686" s="283"/>
      <c r="G686" s="37"/>
      <c r="H686" s="13"/>
      <c r="I686" s="283"/>
      <c r="J686" s="283"/>
      <c r="L686" s="37"/>
      <c r="M686" s="13"/>
      <c r="N686" s="283"/>
      <c r="O686" s="283"/>
      <c r="Q686" s="195">
        <v>31030003</v>
      </c>
      <c r="R686" s="196"/>
      <c r="S686" s="200" t="s">
        <v>963</v>
      </c>
      <c r="T686" s="292">
        <f>SUM(T687:T690)-SUM(U687:U690)</f>
        <v>493105</v>
      </c>
      <c r="U686" s="194">
        <v>0</v>
      </c>
    </row>
    <row r="687" spans="2:21" x14ac:dyDescent="0.3">
      <c r="B687" s="37"/>
      <c r="C687" s="13"/>
      <c r="D687" s="283"/>
      <c r="E687" s="283"/>
      <c r="G687" s="37"/>
      <c r="H687" s="13"/>
      <c r="I687" s="283"/>
      <c r="J687" s="283"/>
      <c r="L687" s="37"/>
      <c r="M687" s="13"/>
      <c r="N687" s="283"/>
      <c r="O687" s="283"/>
      <c r="Q687" s="37"/>
      <c r="R687" s="128" t="s">
        <v>3333</v>
      </c>
      <c r="S687" s="14" t="s">
        <v>2</v>
      </c>
      <c r="T687" s="147">
        <v>14900</v>
      </c>
      <c r="U687" s="147">
        <v>0</v>
      </c>
    </row>
    <row r="688" spans="2:21" x14ac:dyDescent="0.3">
      <c r="B688" s="37"/>
      <c r="C688" s="13"/>
      <c r="D688" s="283"/>
      <c r="E688" s="283"/>
      <c r="G688" s="37"/>
      <c r="H688" s="13"/>
      <c r="I688" s="283"/>
      <c r="J688" s="283"/>
      <c r="L688" s="37"/>
      <c r="M688" s="13"/>
      <c r="N688" s="283"/>
      <c r="O688" s="283"/>
      <c r="Q688" s="37"/>
      <c r="R688" s="128">
        <v>120066</v>
      </c>
      <c r="S688" s="14" t="s">
        <v>128</v>
      </c>
      <c r="T688" s="147">
        <v>180000</v>
      </c>
      <c r="U688" s="147">
        <v>0</v>
      </c>
    </row>
    <row r="689" spans="2:21" x14ac:dyDescent="0.3">
      <c r="B689" s="37"/>
      <c r="C689" s="13"/>
      <c r="D689" s="283"/>
      <c r="E689" s="283"/>
      <c r="G689" s="37"/>
      <c r="H689" s="13"/>
      <c r="I689" s="283"/>
      <c r="J689" s="283"/>
      <c r="L689" s="37"/>
      <c r="M689" s="13"/>
      <c r="N689" s="283"/>
      <c r="O689" s="283"/>
      <c r="Q689" s="37"/>
      <c r="R689" s="128">
        <v>120067</v>
      </c>
      <c r="S689" s="14" t="s">
        <v>129</v>
      </c>
      <c r="T689" s="147">
        <v>19</v>
      </c>
      <c r="U689" s="147">
        <v>0</v>
      </c>
    </row>
    <row r="690" spans="2:21" x14ac:dyDescent="0.3">
      <c r="B690" s="37"/>
      <c r="C690" s="13"/>
      <c r="D690" s="283"/>
      <c r="E690" s="283"/>
      <c r="G690" s="37"/>
      <c r="H690" s="13"/>
      <c r="I690" s="283"/>
      <c r="J690" s="283"/>
      <c r="L690" s="37"/>
      <c r="M690" s="13"/>
      <c r="N690" s="283"/>
      <c r="O690" s="283"/>
      <c r="Q690" s="37"/>
      <c r="R690" s="128">
        <v>120076</v>
      </c>
      <c r="S690" s="14" t="s">
        <v>139</v>
      </c>
      <c r="T690" s="147">
        <v>298186</v>
      </c>
      <c r="U690" s="147">
        <v>0</v>
      </c>
    </row>
    <row r="691" spans="2:21" x14ac:dyDescent="0.3">
      <c r="B691" s="37"/>
      <c r="C691" s="13"/>
      <c r="D691" s="283"/>
      <c r="E691" s="283"/>
      <c r="G691" s="37"/>
      <c r="H691" s="13"/>
      <c r="I691" s="283"/>
      <c r="J691" s="283"/>
      <c r="L691" s="37"/>
      <c r="M691" s="13"/>
      <c r="N691" s="283"/>
      <c r="O691" s="283"/>
      <c r="Q691" s="195">
        <v>31030004</v>
      </c>
      <c r="R691" s="196"/>
      <c r="S691" s="200" t="s">
        <v>962</v>
      </c>
      <c r="T691" s="292">
        <f>SUM(T692:T695)-SUM(U692:U695)</f>
        <v>90822513.930000007</v>
      </c>
      <c r="U691" s="194">
        <v>0</v>
      </c>
    </row>
    <row r="692" spans="2:21" x14ac:dyDescent="0.3">
      <c r="B692" s="37"/>
      <c r="C692" s="13"/>
      <c r="D692" s="283"/>
      <c r="E692" s="283"/>
      <c r="G692" s="37"/>
      <c r="H692" s="13"/>
      <c r="I692" s="283"/>
      <c r="J692" s="283"/>
      <c r="L692" s="37"/>
      <c r="M692" s="13"/>
      <c r="N692" s="283"/>
      <c r="O692" s="283"/>
      <c r="Q692" s="37"/>
      <c r="R692" s="128">
        <v>120009</v>
      </c>
      <c r="S692" s="14" t="s">
        <v>60</v>
      </c>
      <c r="T692" s="147">
        <v>1250000</v>
      </c>
      <c r="U692" s="147">
        <v>0</v>
      </c>
    </row>
    <row r="693" spans="2:21" x14ac:dyDescent="0.3">
      <c r="B693" s="37"/>
      <c r="C693" s="13"/>
      <c r="D693" s="283"/>
      <c r="E693" s="283"/>
      <c r="G693" s="37"/>
      <c r="H693" s="13"/>
      <c r="I693" s="283"/>
      <c r="J693" s="283"/>
      <c r="L693" s="37"/>
      <c r="M693" s="13"/>
      <c r="N693" s="283"/>
      <c r="O693" s="283"/>
      <c r="Q693" s="37"/>
      <c r="R693" s="128">
        <v>120150</v>
      </c>
      <c r="S693" s="14" t="s">
        <v>2237</v>
      </c>
      <c r="T693" s="147">
        <v>175000</v>
      </c>
      <c r="U693" s="147">
        <v>0</v>
      </c>
    </row>
    <row r="694" spans="2:21" x14ac:dyDescent="0.3">
      <c r="B694" s="37"/>
      <c r="C694" s="13"/>
      <c r="D694" s="283"/>
      <c r="E694" s="283"/>
      <c r="G694" s="37"/>
      <c r="H694" s="13"/>
      <c r="I694" s="283"/>
      <c r="J694" s="283"/>
      <c r="L694" s="37"/>
      <c r="M694" s="13"/>
      <c r="N694" s="283"/>
      <c r="O694" s="283"/>
      <c r="Q694" s="37"/>
      <c r="R694" s="128">
        <v>120116</v>
      </c>
      <c r="S694" s="14" t="s">
        <v>178</v>
      </c>
      <c r="T694" s="147">
        <v>85487513.930000007</v>
      </c>
      <c r="U694" s="147">
        <v>0</v>
      </c>
    </row>
    <row r="695" spans="2:21" x14ac:dyDescent="0.3">
      <c r="B695" s="37"/>
      <c r="C695" s="13"/>
      <c r="D695" s="283"/>
      <c r="E695" s="283"/>
      <c r="G695" s="37"/>
      <c r="H695" s="13"/>
      <c r="I695" s="283"/>
      <c r="J695" s="283"/>
      <c r="L695" s="37"/>
      <c r="M695" s="13"/>
      <c r="N695" s="283"/>
      <c r="O695" s="283"/>
      <c r="Q695" s="37"/>
      <c r="R695" s="128">
        <v>120147</v>
      </c>
      <c r="S695" s="14" t="s">
        <v>1926</v>
      </c>
      <c r="T695" s="147">
        <v>3910000</v>
      </c>
      <c r="U695" s="147">
        <v>0</v>
      </c>
    </row>
    <row r="696" spans="2:21" x14ac:dyDescent="0.3">
      <c r="B696" s="37"/>
      <c r="C696" s="13"/>
      <c r="D696" s="283"/>
      <c r="E696" s="283"/>
      <c r="G696" s="37"/>
      <c r="H696" s="13"/>
      <c r="I696" s="283"/>
      <c r="J696" s="283"/>
      <c r="L696" s="37"/>
      <c r="M696" s="13"/>
      <c r="N696" s="283"/>
      <c r="O696" s="283"/>
      <c r="Q696" s="195">
        <v>31030005</v>
      </c>
      <c r="R696" s="196"/>
      <c r="S696" s="200" t="s">
        <v>993</v>
      </c>
      <c r="T696" s="194">
        <f>SUM(T697)-SUM(U697)</f>
        <v>19265957</v>
      </c>
      <c r="U696" s="194">
        <v>0</v>
      </c>
    </row>
    <row r="697" spans="2:21" x14ac:dyDescent="0.3">
      <c r="B697" s="37"/>
      <c r="C697" s="13"/>
      <c r="D697" s="283"/>
      <c r="E697" s="283"/>
      <c r="G697" s="37"/>
      <c r="H697" s="13"/>
      <c r="I697" s="283"/>
      <c r="J697" s="283"/>
      <c r="L697" s="37"/>
      <c r="M697" s="13"/>
      <c r="N697" s="283"/>
      <c r="O697" s="283"/>
      <c r="Q697" s="37"/>
      <c r="R697" s="128">
        <v>120057</v>
      </c>
      <c r="S697" s="14" t="s">
        <v>118</v>
      </c>
      <c r="T697" s="147">
        <v>19265957</v>
      </c>
      <c r="U697" s="147">
        <v>0</v>
      </c>
    </row>
    <row r="698" spans="2:21" x14ac:dyDescent="0.3">
      <c r="B698" s="37"/>
      <c r="C698" s="13"/>
      <c r="D698" s="283"/>
      <c r="E698" s="283"/>
      <c r="G698" s="37"/>
      <c r="H698" s="13"/>
      <c r="I698" s="283"/>
      <c r="J698" s="283"/>
      <c r="L698" s="37"/>
      <c r="M698" s="13"/>
      <c r="N698" s="283"/>
      <c r="O698" s="283"/>
      <c r="Q698" s="37"/>
      <c r="R698" s="128"/>
      <c r="S698" s="14"/>
      <c r="T698" s="147"/>
      <c r="U698" s="147"/>
    </row>
    <row r="699" spans="2:21" x14ac:dyDescent="0.3">
      <c r="B699" s="37"/>
      <c r="C699" s="13"/>
      <c r="D699" s="283"/>
      <c r="E699" s="283"/>
      <c r="G699" s="37"/>
      <c r="H699" s="13"/>
      <c r="I699" s="283"/>
      <c r="J699" s="283"/>
      <c r="K699">
        <v>3104</v>
      </c>
      <c r="L699" s="195">
        <v>3104</v>
      </c>
      <c r="M699" s="197" t="s">
        <v>2056</v>
      </c>
      <c r="N699" s="288">
        <f>(T699+T700+T701+T703+T705+T719+T720+T721+T724+T729+T730+T734+T736)</f>
        <v>104441891</v>
      </c>
      <c r="O699" s="288">
        <v>0</v>
      </c>
      <c r="Q699" s="195">
        <v>31040001</v>
      </c>
      <c r="R699" s="196"/>
      <c r="S699" s="200" t="s">
        <v>964</v>
      </c>
      <c r="T699" s="194">
        <v>0</v>
      </c>
      <c r="U699" s="194">
        <v>0</v>
      </c>
    </row>
    <row r="700" spans="2:21" x14ac:dyDescent="0.3">
      <c r="B700" s="37"/>
      <c r="C700" s="13"/>
      <c r="D700" s="283"/>
      <c r="E700" s="283"/>
      <c r="G700" s="37"/>
      <c r="H700" s="13"/>
      <c r="I700" s="283"/>
      <c r="J700" s="283"/>
      <c r="L700" s="37"/>
      <c r="M700" s="13"/>
      <c r="N700" s="283"/>
      <c r="O700" s="283"/>
      <c r="Q700" s="195">
        <v>31040002</v>
      </c>
      <c r="R700" s="196"/>
      <c r="S700" s="200" t="s">
        <v>965</v>
      </c>
      <c r="T700" s="194">
        <v>0</v>
      </c>
      <c r="U700" s="194">
        <v>0</v>
      </c>
    </row>
    <row r="701" spans="2:21" x14ac:dyDescent="0.3">
      <c r="B701" s="37"/>
      <c r="C701" s="13"/>
      <c r="D701" s="283"/>
      <c r="E701" s="283"/>
      <c r="G701" s="37"/>
      <c r="H701" s="13"/>
      <c r="I701" s="283"/>
      <c r="J701" s="283"/>
      <c r="L701" s="37"/>
      <c r="M701" s="13"/>
      <c r="N701" s="283"/>
      <c r="O701" s="283"/>
      <c r="Q701" s="195">
        <v>31040003</v>
      </c>
      <c r="R701" s="196"/>
      <c r="S701" s="200" t="s">
        <v>966</v>
      </c>
      <c r="T701" s="194">
        <f>SUM(T702)-SUM(U702)</f>
        <v>1391971</v>
      </c>
      <c r="U701" s="194">
        <v>0</v>
      </c>
    </row>
    <row r="702" spans="2:21" x14ac:dyDescent="0.3">
      <c r="B702" s="37"/>
      <c r="C702" s="13"/>
      <c r="D702" s="283"/>
      <c r="E702" s="283"/>
      <c r="G702" s="37"/>
      <c r="H702" s="13"/>
      <c r="I702" s="283"/>
      <c r="J702" s="283"/>
      <c r="L702" s="37"/>
      <c r="M702" s="13"/>
      <c r="N702" s="283"/>
      <c r="O702" s="283"/>
      <c r="Q702" s="37"/>
      <c r="R702" s="128">
        <v>120001</v>
      </c>
      <c r="S702" s="14" t="s">
        <v>57</v>
      </c>
      <c r="T702" s="147">
        <v>1391971</v>
      </c>
      <c r="U702" s="147">
        <v>0</v>
      </c>
    </row>
    <row r="703" spans="2:21" x14ac:dyDescent="0.3">
      <c r="B703" s="37"/>
      <c r="C703" s="13"/>
      <c r="D703" s="283"/>
      <c r="E703" s="283"/>
      <c r="G703" s="37"/>
      <c r="H703" s="13"/>
      <c r="I703" s="283"/>
      <c r="J703" s="283"/>
      <c r="L703" s="37"/>
      <c r="M703" s="13"/>
      <c r="N703" s="283"/>
      <c r="O703" s="283"/>
      <c r="Q703" s="195">
        <v>31040004</v>
      </c>
      <c r="R703" s="196"/>
      <c r="S703" s="200" t="s">
        <v>967</v>
      </c>
      <c r="T703" s="194">
        <f>SUM(T704)-SUM(U704)</f>
        <v>145801</v>
      </c>
      <c r="U703" s="194">
        <v>0</v>
      </c>
    </row>
    <row r="704" spans="2:21" x14ac:dyDescent="0.3">
      <c r="B704" s="37"/>
      <c r="C704" s="13"/>
      <c r="D704" s="283"/>
      <c r="E704" s="283"/>
      <c r="G704" s="37"/>
      <c r="H704" s="13"/>
      <c r="I704" s="283"/>
      <c r="J704" s="283"/>
      <c r="L704" s="37"/>
      <c r="M704" s="13"/>
      <c r="N704" s="283"/>
      <c r="O704" s="283"/>
      <c r="Q704" s="37"/>
      <c r="R704" s="128">
        <v>120028</v>
      </c>
      <c r="S704" s="14" t="s">
        <v>85</v>
      </c>
      <c r="T704" s="147">
        <v>145801</v>
      </c>
      <c r="U704" s="147">
        <v>0</v>
      </c>
    </row>
    <row r="705" spans="2:21" x14ac:dyDescent="0.3">
      <c r="B705" s="37"/>
      <c r="C705" s="13"/>
      <c r="D705" s="283"/>
      <c r="E705" s="283"/>
      <c r="G705" s="37"/>
      <c r="H705" s="13"/>
      <c r="I705" s="283"/>
      <c r="J705" s="283"/>
      <c r="L705" s="37"/>
      <c r="M705" s="13"/>
      <c r="N705" s="283"/>
      <c r="O705" s="283"/>
      <c r="Q705" s="195">
        <v>31040005</v>
      </c>
      <c r="R705" s="196"/>
      <c r="S705" s="200" t="s">
        <v>968</v>
      </c>
      <c r="T705" s="194">
        <f>SUM(T706:T718)-SUM(U706:U718)</f>
        <v>93033632</v>
      </c>
      <c r="U705" s="194">
        <v>0</v>
      </c>
    </row>
    <row r="706" spans="2:21" x14ac:dyDescent="0.3">
      <c r="B706" s="37"/>
      <c r="C706" s="13"/>
      <c r="D706" s="283"/>
      <c r="E706" s="283"/>
      <c r="G706" s="37"/>
      <c r="H706" s="13"/>
      <c r="I706" s="283"/>
      <c r="J706" s="283"/>
      <c r="L706" s="37"/>
      <c r="M706" s="13"/>
      <c r="N706" s="283"/>
      <c r="O706" s="283"/>
      <c r="Q706" s="37"/>
      <c r="R706" s="128">
        <v>120013</v>
      </c>
      <c r="S706" s="14" t="s">
        <v>49</v>
      </c>
      <c r="T706" s="147">
        <v>20336263</v>
      </c>
      <c r="U706" s="147">
        <v>0</v>
      </c>
    </row>
    <row r="707" spans="2:21" x14ac:dyDescent="0.3">
      <c r="B707" s="37"/>
      <c r="C707" s="13"/>
      <c r="D707" s="283"/>
      <c r="E707" s="283"/>
      <c r="G707" s="37"/>
      <c r="H707" s="13"/>
      <c r="I707" s="283"/>
      <c r="J707" s="283"/>
      <c r="L707" s="37"/>
      <c r="M707" s="13"/>
      <c r="N707" s="283"/>
      <c r="O707" s="283"/>
      <c r="Q707" s="37"/>
      <c r="R707" s="128">
        <v>120045</v>
      </c>
      <c r="S707" s="14" t="s">
        <v>103</v>
      </c>
      <c r="T707" s="147">
        <v>24689844</v>
      </c>
      <c r="U707" s="147">
        <v>0</v>
      </c>
    </row>
    <row r="708" spans="2:21" x14ac:dyDescent="0.3">
      <c r="B708" s="37"/>
      <c r="C708" s="13"/>
      <c r="D708" s="283"/>
      <c r="E708" s="283"/>
      <c r="G708" s="37"/>
      <c r="H708" s="13"/>
      <c r="I708" s="283"/>
      <c r="J708" s="283"/>
      <c r="L708" s="37"/>
      <c r="M708" s="13"/>
      <c r="N708" s="283"/>
      <c r="O708" s="283"/>
      <c r="Q708" s="37"/>
      <c r="R708" s="128">
        <v>120046</v>
      </c>
      <c r="S708" s="14" t="s">
        <v>104</v>
      </c>
      <c r="T708" s="147">
        <v>32356859</v>
      </c>
      <c r="U708" s="147">
        <v>0</v>
      </c>
    </row>
    <row r="709" spans="2:21" x14ac:dyDescent="0.3">
      <c r="B709" s="37"/>
      <c r="C709" s="13"/>
      <c r="D709" s="283"/>
      <c r="E709" s="283"/>
      <c r="G709" s="37"/>
      <c r="H709" s="13"/>
      <c r="I709" s="283"/>
      <c r="J709" s="283"/>
      <c r="L709" s="37"/>
      <c r="M709" s="13"/>
      <c r="N709" s="283"/>
      <c r="O709" s="283"/>
      <c r="Q709" s="37"/>
      <c r="R709" s="128">
        <v>120120</v>
      </c>
      <c r="S709" s="14" t="s">
        <v>184</v>
      </c>
      <c r="T709" s="147">
        <v>1645400</v>
      </c>
      <c r="U709" s="147">
        <v>0</v>
      </c>
    </row>
    <row r="710" spans="2:21" x14ac:dyDescent="0.3">
      <c r="B710" s="37"/>
      <c r="C710" s="13"/>
      <c r="D710" s="283"/>
      <c r="E710" s="283"/>
      <c r="G710" s="37"/>
      <c r="H710" s="13"/>
      <c r="I710" s="283"/>
      <c r="J710" s="283"/>
      <c r="L710" s="37"/>
      <c r="M710" s="13"/>
      <c r="N710" s="283"/>
      <c r="O710" s="283"/>
      <c r="Q710" s="37"/>
      <c r="R710" s="128">
        <v>120125</v>
      </c>
      <c r="S710" s="14" t="s">
        <v>189</v>
      </c>
      <c r="T710" s="147">
        <v>5694000</v>
      </c>
      <c r="U710" s="147">
        <v>0</v>
      </c>
    </row>
    <row r="711" spans="2:21" x14ac:dyDescent="0.3">
      <c r="B711" s="37"/>
      <c r="C711" s="13"/>
      <c r="D711" s="283"/>
      <c r="E711" s="283"/>
      <c r="G711" s="37"/>
      <c r="H711" s="13"/>
      <c r="I711" s="283"/>
      <c r="J711" s="283"/>
      <c r="L711" s="37"/>
      <c r="M711" s="13"/>
      <c r="N711" s="283"/>
      <c r="O711" s="283"/>
      <c r="Q711" s="37"/>
      <c r="R711" s="128">
        <v>120129</v>
      </c>
      <c r="S711" s="14" t="s">
        <v>191</v>
      </c>
      <c r="T711" s="147">
        <v>545422</v>
      </c>
      <c r="U711" s="147">
        <v>0</v>
      </c>
    </row>
    <row r="712" spans="2:21" x14ac:dyDescent="0.3">
      <c r="B712" s="37"/>
      <c r="C712" s="13"/>
      <c r="D712" s="283"/>
      <c r="E712" s="283"/>
      <c r="G712" s="37"/>
      <c r="H712" s="13"/>
      <c r="I712" s="283"/>
      <c r="J712" s="283"/>
      <c r="L712" s="37"/>
      <c r="M712" s="13"/>
      <c r="N712" s="283"/>
      <c r="O712" s="283"/>
      <c r="Q712" s="37"/>
      <c r="R712" s="128">
        <v>120130</v>
      </c>
      <c r="S712" s="14" t="s">
        <v>192</v>
      </c>
      <c r="T712" s="147">
        <v>545422</v>
      </c>
      <c r="U712" s="147">
        <v>0</v>
      </c>
    </row>
    <row r="713" spans="2:21" x14ac:dyDescent="0.3">
      <c r="B713" s="37"/>
      <c r="C713" s="13"/>
      <c r="D713" s="283"/>
      <c r="E713" s="283"/>
      <c r="G713" s="37"/>
      <c r="H713" s="13"/>
      <c r="I713" s="283"/>
      <c r="J713" s="283"/>
      <c r="L713" s="37"/>
      <c r="M713" s="13"/>
      <c r="N713" s="283"/>
      <c r="O713" s="283"/>
      <c r="Q713" s="37"/>
      <c r="R713" s="128">
        <v>120131</v>
      </c>
      <c r="S713" s="14" t="s">
        <v>193</v>
      </c>
      <c r="T713" s="147">
        <v>545422</v>
      </c>
      <c r="U713" s="147">
        <v>0</v>
      </c>
    </row>
    <row r="714" spans="2:21" x14ac:dyDescent="0.3">
      <c r="B714" s="37"/>
      <c r="C714" s="13"/>
      <c r="D714" s="283"/>
      <c r="E714" s="283"/>
      <c r="G714" s="37"/>
      <c r="H714" s="13"/>
      <c r="I714" s="283"/>
      <c r="J714" s="283"/>
      <c r="L714" s="37"/>
      <c r="M714" s="13"/>
      <c r="N714" s="283"/>
      <c r="O714" s="283"/>
      <c r="Q714" s="37"/>
      <c r="R714" s="128">
        <v>120143</v>
      </c>
      <c r="S714" s="14" t="s">
        <v>1922</v>
      </c>
      <c r="T714" s="147">
        <v>1125000</v>
      </c>
      <c r="U714" s="147">
        <v>0</v>
      </c>
    </row>
    <row r="715" spans="2:21" x14ac:dyDescent="0.3">
      <c r="B715" s="37"/>
      <c r="C715" s="13"/>
      <c r="D715" s="283"/>
      <c r="E715" s="283"/>
      <c r="G715" s="37"/>
      <c r="H715" s="13"/>
      <c r="I715" s="283"/>
      <c r="J715" s="283"/>
      <c r="L715" s="37"/>
      <c r="M715" s="13"/>
      <c r="N715" s="283"/>
      <c r="O715" s="283"/>
      <c r="Q715" s="37"/>
      <c r="R715" s="128">
        <v>120145</v>
      </c>
      <c r="S715" s="14" t="s">
        <v>1924</v>
      </c>
      <c r="T715" s="147">
        <v>562500</v>
      </c>
      <c r="U715" s="147">
        <v>0</v>
      </c>
    </row>
    <row r="716" spans="2:21" x14ac:dyDescent="0.3">
      <c r="B716" s="37"/>
      <c r="C716" s="13"/>
      <c r="D716" s="283"/>
      <c r="E716" s="283"/>
      <c r="G716" s="37"/>
      <c r="H716" s="13"/>
      <c r="I716" s="283"/>
      <c r="J716" s="283"/>
      <c r="L716" s="37"/>
      <c r="M716" s="13"/>
      <c r="N716" s="283"/>
      <c r="O716" s="283"/>
      <c r="Q716" s="37"/>
      <c r="R716" s="128">
        <v>120146</v>
      </c>
      <c r="S716" s="14" t="s">
        <v>1925</v>
      </c>
      <c r="T716" s="147">
        <v>562500</v>
      </c>
      <c r="U716" s="147">
        <v>0</v>
      </c>
    </row>
    <row r="717" spans="2:21" x14ac:dyDescent="0.3">
      <c r="B717" s="37"/>
      <c r="C717" s="13"/>
      <c r="D717" s="283"/>
      <c r="E717" s="283"/>
      <c r="G717" s="37"/>
      <c r="H717" s="13"/>
      <c r="I717" s="283"/>
      <c r="J717" s="283"/>
      <c r="L717" s="37"/>
      <c r="M717" s="13"/>
      <c r="N717" s="283"/>
      <c r="O717" s="283"/>
      <c r="Q717" s="37"/>
      <c r="R717" s="128">
        <v>120152</v>
      </c>
      <c r="S717" s="14" t="s">
        <v>3261</v>
      </c>
      <c r="T717" s="147">
        <v>2212500</v>
      </c>
      <c r="U717" s="147">
        <v>0</v>
      </c>
    </row>
    <row r="718" spans="2:21" x14ac:dyDescent="0.3">
      <c r="B718" s="37"/>
      <c r="C718" s="13"/>
      <c r="D718" s="283"/>
      <c r="E718" s="283"/>
      <c r="G718" s="37"/>
      <c r="H718" s="13"/>
      <c r="I718" s="283"/>
      <c r="J718" s="283"/>
      <c r="L718" s="37"/>
      <c r="M718" s="13"/>
      <c r="N718" s="283"/>
      <c r="O718" s="283"/>
      <c r="Q718" s="37"/>
      <c r="R718" s="128">
        <v>120153</v>
      </c>
      <c r="S718" s="14" t="s">
        <v>3262</v>
      </c>
      <c r="T718" s="147">
        <v>2212500</v>
      </c>
      <c r="U718" s="147">
        <v>0</v>
      </c>
    </row>
    <row r="719" spans="2:21" x14ac:dyDescent="0.3">
      <c r="B719" s="37"/>
      <c r="C719" s="13"/>
      <c r="D719" s="283"/>
      <c r="E719" s="283"/>
      <c r="G719" s="37"/>
      <c r="H719" s="13"/>
      <c r="I719" s="283"/>
      <c r="J719" s="283"/>
      <c r="L719" s="37"/>
      <c r="M719" s="13"/>
      <c r="N719" s="283"/>
      <c r="O719" s="283"/>
      <c r="Q719" s="195">
        <v>31040006</v>
      </c>
      <c r="R719" s="196"/>
      <c r="S719" s="200" t="s">
        <v>969</v>
      </c>
      <c r="T719" s="194">
        <v>0</v>
      </c>
      <c r="U719" s="194">
        <v>0</v>
      </c>
    </row>
    <row r="720" spans="2:21" x14ac:dyDescent="0.3">
      <c r="B720" s="37"/>
      <c r="C720" s="13"/>
      <c r="D720" s="283"/>
      <c r="E720" s="283"/>
      <c r="G720" s="37"/>
      <c r="H720" s="13"/>
      <c r="I720" s="283"/>
      <c r="J720" s="283"/>
      <c r="L720" s="37"/>
      <c r="M720" s="13"/>
      <c r="N720" s="283"/>
      <c r="O720" s="283"/>
      <c r="Q720" s="195">
        <v>31040007</v>
      </c>
      <c r="R720" s="196"/>
      <c r="S720" s="200" t="s">
        <v>970</v>
      </c>
      <c r="T720" s="194">
        <v>0</v>
      </c>
      <c r="U720" s="194">
        <v>0</v>
      </c>
    </row>
    <row r="721" spans="2:21" x14ac:dyDescent="0.3">
      <c r="B721" s="37"/>
      <c r="C721" s="13"/>
      <c r="D721" s="283"/>
      <c r="E721" s="283"/>
      <c r="G721" s="37"/>
      <c r="H721" s="13"/>
      <c r="I721" s="283"/>
      <c r="J721" s="283"/>
      <c r="L721" s="37"/>
      <c r="M721" s="13"/>
      <c r="N721" s="283"/>
      <c r="O721" s="283"/>
      <c r="Q721" s="195">
        <v>31040008</v>
      </c>
      <c r="R721" s="196"/>
      <c r="S721" s="200" t="s">
        <v>971</v>
      </c>
      <c r="T721" s="194">
        <f>SUM(T722:T723)-SUM(U722:U723)</f>
        <v>624500</v>
      </c>
      <c r="U721" s="194">
        <v>0</v>
      </c>
    </row>
    <row r="722" spans="2:21" x14ac:dyDescent="0.3">
      <c r="B722" s="37"/>
      <c r="C722" s="13"/>
      <c r="D722" s="283"/>
      <c r="E722" s="283"/>
      <c r="G722" s="37"/>
      <c r="H722" s="13"/>
      <c r="I722" s="283"/>
      <c r="J722" s="283"/>
      <c r="L722" s="37"/>
      <c r="M722" s="13"/>
      <c r="N722" s="283"/>
      <c r="O722" s="283"/>
      <c r="Q722" s="37"/>
      <c r="R722" s="128">
        <v>120142</v>
      </c>
      <c r="S722" s="14" t="s">
        <v>1921</v>
      </c>
      <c r="T722" s="147">
        <v>617000</v>
      </c>
      <c r="U722" s="147">
        <v>0</v>
      </c>
    </row>
    <row r="723" spans="2:21" x14ac:dyDescent="0.3">
      <c r="B723" s="37"/>
      <c r="C723" s="13"/>
      <c r="D723" s="283"/>
      <c r="E723" s="283"/>
      <c r="G723" s="37"/>
      <c r="H723" s="13"/>
      <c r="I723" s="283"/>
      <c r="J723" s="283"/>
      <c r="L723" s="37"/>
      <c r="M723" s="13"/>
      <c r="N723" s="283"/>
      <c r="O723" s="283"/>
      <c r="Q723" s="37"/>
      <c r="R723" s="128">
        <v>120141</v>
      </c>
      <c r="S723" s="14" t="s">
        <v>1920</v>
      </c>
      <c r="T723" s="147">
        <v>7500</v>
      </c>
      <c r="U723" s="147">
        <v>0</v>
      </c>
    </row>
    <row r="724" spans="2:21" x14ac:dyDescent="0.3">
      <c r="B724" s="37"/>
      <c r="C724" s="13"/>
      <c r="D724" s="283"/>
      <c r="E724" s="283"/>
      <c r="G724" s="37"/>
      <c r="H724" s="13"/>
      <c r="I724" s="283"/>
      <c r="J724" s="283"/>
      <c r="L724" s="37"/>
      <c r="M724" s="13"/>
      <c r="N724" s="283"/>
      <c r="O724" s="283"/>
      <c r="Q724" s="195">
        <v>31040009</v>
      </c>
      <c r="R724" s="196"/>
      <c r="S724" s="200" t="s">
        <v>972</v>
      </c>
      <c r="T724" s="194">
        <f>SUM(T725:T728)-SUM(U725:U728)</f>
        <v>5442906</v>
      </c>
      <c r="U724" s="194">
        <v>0</v>
      </c>
    </row>
    <row r="725" spans="2:21" x14ac:dyDescent="0.3">
      <c r="B725" s="37"/>
      <c r="C725" s="13"/>
      <c r="D725" s="283"/>
      <c r="E725" s="283"/>
      <c r="G725" s="37"/>
      <c r="H725" s="13"/>
      <c r="I725" s="283"/>
      <c r="J725" s="283"/>
      <c r="L725" s="37"/>
      <c r="M725" s="13"/>
      <c r="N725" s="283"/>
      <c r="O725" s="283"/>
      <c r="Q725" s="37"/>
      <c r="R725" s="128">
        <v>120036</v>
      </c>
      <c r="S725" s="14" t="s">
        <v>93</v>
      </c>
      <c r="T725" s="147">
        <v>2853381</v>
      </c>
      <c r="U725" s="147">
        <v>0</v>
      </c>
    </row>
    <row r="726" spans="2:21" x14ac:dyDescent="0.3">
      <c r="B726" s="37"/>
      <c r="C726" s="13"/>
      <c r="D726" s="283"/>
      <c r="E726" s="283"/>
      <c r="G726" s="37"/>
      <c r="H726" s="13"/>
      <c r="I726" s="283"/>
      <c r="J726" s="283"/>
      <c r="L726" s="37"/>
      <c r="M726" s="13"/>
      <c r="N726" s="283"/>
      <c r="O726" s="283"/>
      <c r="Q726" s="37"/>
      <c r="R726" s="128">
        <v>120045</v>
      </c>
      <c r="S726" s="14" t="s">
        <v>103</v>
      </c>
      <c r="T726" s="147">
        <v>2238000</v>
      </c>
      <c r="U726" s="147">
        <v>0</v>
      </c>
    </row>
    <row r="727" spans="2:21" x14ac:dyDescent="0.3">
      <c r="B727" s="37"/>
      <c r="C727" s="13"/>
      <c r="D727" s="283"/>
      <c r="E727" s="283"/>
      <c r="G727" s="37"/>
      <c r="H727" s="13"/>
      <c r="I727" s="283"/>
      <c r="J727" s="283"/>
      <c r="L727" s="37"/>
      <c r="M727" s="13"/>
      <c r="N727" s="283"/>
      <c r="O727" s="283"/>
      <c r="Q727" s="37"/>
      <c r="R727" s="128">
        <v>120049</v>
      </c>
      <c r="S727" s="14" t="s">
        <v>109</v>
      </c>
      <c r="T727" s="147">
        <v>351523</v>
      </c>
      <c r="U727" s="147">
        <v>0</v>
      </c>
    </row>
    <row r="728" spans="2:21" x14ac:dyDescent="0.3">
      <c r="B728" s="37"/>
      <c r="C728" s="13"/>
      <c r="D728" s="283"/>
      <c r="E728" s="283"/>
      <c r="G728" s="37"/>
      <c r="H728" s="13"/>
      <c r="I728" s="283"/>
      <c r="J728" s="283"/>
      <c r="L728" s="37"/>
      <c r="M728" s="13"/>
      <c r="N728" s="283"/>
      <c r="O728" s="283"/>
      <c r="Q728" s="37"/>
      <c r="R728" s="128">
        <v>120077</v>
      </c>
      <c r="S728" s="14" t="s">
        <v>2337</v>
      </c>
      <c r="T728" s="147">
        <v>2</v>
      </c>
      <c r="U728" s="147">
        <v>0</v>
      </c>
    </row>
    <row r="729" spans="2:21" x14ac:dyDescent="0.3">
      <c r="B729" s="37"/>
      <c r="C729" s="13"/>
      <c r="D729" s="283"/>
      <c r="E729" s="283"/>
      <c r="G729" s="37"/>
      <c r="H729" s="13"/>
      <c r="I729" s="283"/>
      <c r="J729" s="283"/>
      <c r="L729" s="37"/>
      <c r="M729" s="13"/>
      <c r="N729" s="283"/>
      <c r="O729" s="283"/>
      <c r="Q729" s="195">
        <v>31040010</v>
      </c>
      <c r="R729" s="196"/>
      <c r="S729" s="200" t="s">
        <v>973</v>
      </c>
      <c r="T729" s="194">
        <v>0</v>
      </c>
      <c r="U729" s="194">
        <v>0</v>
      </c>
    </row>
    <row r="730" spans="2:21" x14ac:dyDescent="0.3">
      <c r="B730" s="37"/>
      <c r="C730" s="13"/>
      <c r="D730" s="283"/>
      <c r="E730" s="283"/>
      <c r="G730" s="37"/>
      <c r="H730" s="13"/>
      <c r="I730" s="283"/>
      <c r="J730" s="283"/>
      <c r="L730" s="37"/>
      <c r="M730" s="13"/>
      <c r="N730" s="283"/>
      <c r="O730" s="283"/>
      <c r="Q730" s="195">
        <v>31040011</v>
      </c>
      <c r="R730" s="196"/>
      <c r="S730" s="200" t="s">
        <v>974</v>
      </c>
      <c r="T730" s="194">
        <f>SUM(T731:T733)-SUM(U731:U733)</f>
        <v>1352052</v>
      </c>
      <c r="U730" s="194">
        <v>0</v>
      </c>
    </row>
    <row r="731" spans="2:21" x14ac:dyDescent="0.3">
      <c r="B731" s="37"/>
      <c r="C731" s="13"/>
      <c r="D731" s="283"/>
      <c r="E731" s="283"/>
      <c r="G731" s="37"/>
      <c r="H731" s="13"/>
      <c r="I731" s="283"/>
      <c r="J731" s="283"/>
      <c r="L731" s="37"/>
      <c r="M731" s="13"/>
      <c r="N731" s="283"/>
      <c r="O731" s="283"/>
      <c r="Q731" s="37"/>
      <c r="R731" s="128">
        <v>120036</v>
      </c>
      <c r="S731" s="14" t="s">
        <v>93</v>
      </c>
      <c r="T731" s="147">
        <v>1123623</v>
      </c>
      <c r="U731" s="147">
        <v>0</v>
      </c>
    </row>
    <row r="732" spans="2:21" x14ac:dyDescent="0.3">
      <c r="B732" s="37"/>
      <c r="C732" s="13"/>
      <c r="D732" s="283"/>
      <c r="E732" s="283"/>
      <c r="G732" s="37"/>
      <c r="H732" s="13"/>
      <c r="I732" s="283"/>
      <c r="J732" s="283"/>
      <c r="L732" s="37"/>
      <c r="M732" s="13"/>
      <c r="N732" s="283"/>
      <c r="O732" s="283"/>
      <c r="Q732" s="37"/>
      <c r="R732" s="128">
        <v>120017</v>
      </c>
      <c r="S732" s="14" t="s">
        <v>58</v>
      </c>
      <c r="T732" s="147">
        <v>2317</v>
      </c>
      <c r="U732" s="147">
        <v>0</v>
      </c>
    </row>
    <row r="733" spans="2:21" x14ac:dyDescent="0.3">
      <c r="B733" s="37"/>
      <c r="C733" s="13"/>
      <c r="D733" s="283"/>
      <c r="E733" s="283"/>
      <c r="G733" s="37"/>
      <c r="H733" s="13"/>
      <c r="I733" s="283"/>
      <c r="J733" s="283"/>
      <c r="L733" s="37"/>
      <c r="M733" s="13"/>
      <c r="N733" s="283"/>
      <c r="O733" s="283"/>
      <c r="Q733" s="37"/>
      <c r="R733" s="128">
        <v>120015</v>
      </c>
      <c r="S733" s="14" t="s">
        <v>61</v>
      </c>
      <c r="T733" s="147">
        <v>226112</v>
      </c>
      <c r="U733" s="147">
        <v>0</v>
      </c>
    </row>
    <row r="734" spans="2:21" x14ac:dyDescent="0.3">
      <c r="B734" s="37"/>
      <c r="C734" s="13"/>
      <c r="D734" s="283"/>
      <c r="E734" s="283"/>
      <c r="G734" s="37"/>
      <c r="H734" s="13"/>
      <c r="I734" s="283"/>
      <c r="J734" s="283"/>
      <c r="L734" s="37"/>
      <c r="M734" s="13"/>
      <c r="N734" s="283"/>
      <c r="O734" s="283"/>
      <c r="Q734" s="195">
        <v>31040012</v>
      </c>
      <c r="R734" s="196"/>
      <c r="S734" s="200" t="s">
        <v>975</v>
      </c>
      <c r="T734" s="194">
        <f>SUM(T735)-SUM(U735)</f>
        <v>311674</v>
      </c>
      <c r="U734" s="194">
        <v>0</v>
      </c>
    </row>
    <row r="735" spans="2:21" x14ac:dyDescent="0.3">
      <c r="B735" s="37"/>
      <c r="C735" s="13"/>
      <c r="D735" s="283"/>
      <c r="E735" s="283"/>
      <c r="G735" s="37"/>
      <c r="H735" s="13"/>
      <c r="I735" s="283"/>
      <c r="J735" s="283"/>
      <c r="L735" s="37"/>
      <c r="M735" s="13"/>
      <c r="N735" s="283"/>
      <c r="O735" s="283"/>
      <c r="Q735" s="37"/>
      <c r="R735" s="128">
        <v>120028</v>
      </c>
      <c r="S735" s="14" t="s">
        <v>85</v>
      </c>
      <c r="T735" s="147">
        <v>311674</v>
      </c>
      <c r="U735" s="147">
        <v>0</v>
      </c>
    </row>
    <row r="736" spans="2:21" x14ac:dyDescent="0.3">
      <c r="B736" s="37"/>
      <c r="C736" s="13"/>
      <c r="D736" s="283"/>
      <c r="E736" s="283"/>
      <c r="G736" s="37"/>
      <c r="H736" s="13"/>
      <c r="I736" s="283"/>
      <c r="J736" s="283"/>
      <c r="L736" s="37"/>
      <c r="M736" s="13"/>
      <c r="N736" s="283"/>
      <c r="O736" s="283"/>
      <c r="Q736" s="195">
        <v>31040013</v>
      </c>
      <c r="R736" s="196"/>
      <c r="S736" s="200" t="s">
        <v>976</v>
      </c>
      <c r="T736" s="194">
        <f>SUM(T737)-SUM(U737)</f>
        <v>2139355</v>
      </c>
      <c r="U736" s="194">
        <v>0</v>
      </c>
    </row>
    <row r="737" spans="2:21" x14ac:dyDescent="0.3">
      <c r="B737" s="37"/>
      <c r="C737" s="13"/>
      <c r="D737" s="283"/>
      <c r="E737" s="283"/>
      <c r="G737" s="37"/>
      <c r="H737" s="13"/>
      <c r="I737" s="283"/>
      <c r="J737" s="283"/>
      <c r="L737" s="37"/>
      <c r="M737" s="13"/>
      <c r="N737" s="283"/>
      <c r="O737" s="283"/>
      <c r="Q737" s="37"/>
      <c r="R737" s="128">
        <v>120165</v>
      </c>
      <c r="S737" s="14" t="s">
        <v>2237</v>
      </c>
      <c r="T737" s="147">
        <v>2139355</v>
      </c>
      <c r="U737" s="147">
        <v>0</v>
      </c>
    </row>
    <row r="738" spans="2:21" x14ac:dyDescent="0.3">
      <c r="B738" s="37"/>
      <c r="C738" s="13"/>
      <c r="D738" s="283"/>
      <c r="E738" s="283"/>
      <c r="G738" s="37"/>
      <c r="H738" s="13"/>
      <c r="I738" s="283"/>
      <c r="J738" s="283"/>
      <c r="L738" s="37"/>
      <c r="M738" s="13"/>
      <c r="N738" s="283"/>
      <c r="O738" s="283"/>
      <c r="Q738" s="37"/>
      <c r="R738" s="128"/>
      <c r="S738" s="15"/>
      <c r="T738" s="147"/>
      <c r="U738" s="147"/>
    </row>
    <row r="739" spans="2:21" x14ac:dyDescent="0.3">
      <c r="B739" s="37"/>
      <c r="C739" s="13"/>
      <c r="D739" s="283"/>
      <c r="E739" s="283"/>
      <c r="G739" s="37"/>
      <c r="H739" s="13"/>
      <c r="I739" s="283"/>
      <c r="J739" s="283"/>
      <c r="K739">
        <v>3105</v>
      </c>
      <c r="L739" s="195">
        <v>3105</v>
      </c>
      <c r="M739" s="197" t="s">
        <v>2057</v>
      </c>
      <c r="N739" s="288">
        <f>(T739+T740+T741+T742+T743+T744+T745+T746)</f>
        <v>63436</v>
      </c>
      <c r="O739" s="288">
        <v>0</v>
      </c>
      <c r="Q739" s="195">
        <v>31050001</v>
      </c>
      <c r="R739" s="196"/>
      <c r="S739" s="200" t="s">
        <v>1902</v>
      </c>
      <c r="T739" s="194">
        <v>0</v>
      </c>
      <c r="U739" s="194">
        <v>0</v>
      </c>
    </row>
    <row r="740" spans="2:21" x14ac:dyDescent="0.3">
      <c r="B740" s="37"/>
      <c r="C740" s="13"/>
      <c r="D740" s="283"/>
      <c r="E740" s="283"/>
      <c r="G740" s="37"/>
      <c r="H740" s="13"/>
      <c r="I740" s="283"/>
      <c r="J740" s="283"/>
      <c r="L740" s="37"/>
      <c r="M740" s="13"/>
      <c r="N740" s="283"/>
      <c r="O740" s="283"/>
      <c r="Q740" s="195">
        <v>31050002</v>
      </c>
      <c r="R740" s="196"/>
      <c r="S740" s="200" t="s">
        <v>1903</v>
      </c>
      <c r="T740" s="194">
        <v>0</v>
      </c>
      <c r="U740" s="194">
        <v>0</v>
      </c>
    </row>
    <row r="741" spans="2:21" x14ac:dyDescent="0.3">
      <c r="B741" s="37"/>
      <c r="C741" s="13"/>
      <c r="D741" s="283"/>
      <c r="E741" s="283"/>
      <c r="G741" s="37"/>
      <c r="H741" s="13"/>
      <c r="I741" s="283"/>
      <c r="J741" s="283"/>
      <c r="L741" s="37"/>
      <c r="M741" s="13"/>
      <c r="N741" s="283"/>
      <c r="O741" s="283"/>
      <c r="Q741" s="195">
        <v>31050003</v>
      </c>
      <c r="R741" s="196"/>
      <c r="S741" s="200" t="s">
        <v>1904</v>
      </c>
      <c r="T741" s="194">
        <v>0</v>
      </c>
      <c r="U741" s="194">
        <v>0</v>
      </c>
    </row>
    <row r="742" spans="2:21" x14ac:dyDescent="0.3">
      <c r="B742" s="37"/>
      <c r="C742" s="13"/>
      <c r="D742" s="283"/>
      <c r="E742" s="283"/>
      <c r="G742" s="37"/>
      <c r="H742" s="13"/>
      <c r="I742" s="283"/>
      <c r="J742" s="283"/>
      <c r="L742" s="37"/>
      <c r="M742" s="13"/>
      <c r="N742" s="283"/>
      <c r="O742" s="283"/>
      <c r="Q742" s="195">
        <v>31050004</v>
      </c>
      <c r="R742" s="196"/>
      <c r="S742" s="200" t="s">
        <v>1905</v>
      </c>
      <c r="T742" s="194">
        <v>0</v>
      </c>
      <c r="U742" s="194">
        <v>0</v>
      </c>
    </row>
    <row r="743" spans="2:21" x14ac:dyDescent="0.3">
      <c r="B743" s="37"/>
      <c r="C743" s="13"/>
      <c r="D743" s="283"/>
      <c r="E743" s="283"/>
      <c r="G743" s="37"/>
      <c r="H743" s="13"/>
      <c r="I743" s="283"/>
      <c r="J743" s="283"/>
      <c r="L743" s="37"/>
      <c r="M743" s="13"/>
      <c r="N743" s="283"/>
      <c r="O743" s="283"/>
      <c r="Q743" s="195">
        <v>31050005</v>
      </c>
      <c r="R743" s="196"/>
      <c r="S743" s="200" t="s">
        <v>1906</v>
      </c>
      <c r="T743" s="194">
        <v>0</v>
      </c>
      <c r="U743" s="194">
        <v>0</v>
      </c>
    </row>
    <row r="744" spans="2:21" x14ac:dyDescent="0.3">
      <c r="B744" s="37"/>
      <c r="C744" s="13"/>
      <c r="D744" s="283"/>
      <c r="E744" s="283"/>
      <c r="G744" s="37"/>
      <c r="H744" s="13"/>
      <c r="I744" s="283"/>
      <c r="J744" s="283"/>
      <c r="L744" s="37"/>
      <c r="M744" s="13"/>
      <c r="N744" s="283"/>
      <c r="O744" s="283"/>
      <c r="Q744" s="195">
        <v>31050006</v>
      </c>
      <c r="R744" s="196"/>
      <c r="S744" s="200" t="s">
        <v>1907</v>
      </c>
      <c r="T744" s="194">
        <v>0</v>
      </c>
      <c r="U744" s="194">
        <v>0</v>
      </c>
    </row>
    <row r="745" spans="2:21" x14ac:dyDescent="0.3">
      <c r="B745" s="37"/>
      <c r="C745" s="13"/>
      <c r="D745" s="283"/>
      <c r="E745" s="283"/>
      <c r="G745" s="37"/>
      <c r="H745" s="13"/>
      <c r="I745" s="283"/>
      <c r="J745" s="283"/>
      <c r="L745" s="37"/>
      <c r="M745" s="13"/>
      <c r="N745" s="283"/>
      <c r="O745" s="283"/>
      <c r="Q745" s="195">
        <v>31050007</v>
      </c>
      <c r="R745" s="196"/>
      <c r="S745" s="200" t="s">
        <v>1908</v>
      </c>
      <c r="T745" s="194">
        <v>0</v>
      </c>
      <c r="U745" s="194">
        <v>0</v>
      </c>
    </row>
    <row r="746" spans="2:21" x14ac:dyDescent="0.3">
      <c r="B746" s="37"/>
      <c r="C746" s="13"/>
      <c r="D746" s="283"/>
      <c r="E746" s="283"/>
      <c r="G746" s="37"/>
      <c r="H746" s="13"/>
      <c r="I746" s="283"/>
      <c r="J746" s="283"/>
      <c r="L746" s="37"/>
      <c r="M746" s="13"/>
      <c r="N746" s="283"/>
      <c r="O746" s="283"/>
      <c r="Q746" s="195">
        <v>31050008</v>
      </c>
      <c r="R746" s="196"/>
      <c r="S746" s="200" t="s">
        <v>1909</v>
      </c>
      <c r="T746" s="194">
        <f>SUM(T747)-SUM(U747)</f>
        <v>63436</v>
      </c>
      <c r="U746" s="194">
        <v>0</v>
      </c>
    </row>
    <row r="747" spans="2:21" x14ac:dyDescent="0.3">
      <c r="B747" s="37"/>
      <c r="C747" s="13"/>
      <c r="D747" s="283"/>
      <c r="E747" s="283"/>
      <c r="G747" s="37"/>
      <c r="H747" s="13"/>
      <c r="I747" s="283"/>
      <c r="J747" s="283"/>
      <c r="L747" s="37"/>
      <c r="M747" s="13"/>
      <c r="N747" s="283"/>
      <c r="O747" s="283"/>
      <c r="Q747" s="37"/>
      <c r="R747" s="128" t="s">
        <v>2138</v>
      </c>
      <c r="S747" s="14" t="s">
        <v>7</v>
      </c>
      <c r="T747" s="147">
        <v>63436</v>
      </c>
      <c r="U747" s="147">
        <v>0</v>
      </c>
    </row>
    <row r="748" spans="2:21" x14ac:dyDescent="0.3">
      <c r="B748" s="37"/>
      <c r="C748" s="13"/>
      <c r="D748" s="283"/>
      <c r="E748" s="283"/>
      <c r="G748" s="37"/>
      <c r="H748" s="13"/>
      <c r="I748" s="283"/>
      <c r="J748" s="283"/>
      <c r="L748" s="37"/>
      <c r="M748" s="13"/>
      <c r="N748" s="283"/>
      <c r="O748" s="283"/>
      <c r="Q748" s="37"/>
      <c r="R748" s="128"/>
      <c r="S748" s="15"/>
      <c r="T748" s="147"/>
      <c r="U748" s="147"/>
    </row>
    <row r="749" spans="2:21" x14ac:dyDescent="0.3">
      <c r="B749" s="37"/>
      <c r="C749" s="13"/>
      <c r="D749" s="283"/>
      <c r="E749" s="283"/>
      <c r="G749" s="37"/>
      <c r="H749" s="13"/>
      <c r="I749" s="283"/>
      <c r="J749" s="283"/>
      <c r="K749">
        <v>3106</v>
      </c>
      <c r="L749" s="195">
        <v>3106</v>
      </c>
      <c r="M749" s="197" t="s">
        <v>894</v>
      </c>
      <c r="N749" s="288">
        <f>(T749+T750+T751+T758+T760)-(U756)</f>
        <v>73871868.370000005</v>
      </c>
      <c r="O749" s="288">
        <v>0</v>
      </c>
      <c r="Q749" s="195">
        <v>31060001</v>
      </c>
      <c r="R749" s="196"/>
      <c r="S749" s="200" t="s">
        <v>2058</v>
      </c>
      <c r="T749" s="194">
        <v>0</v>
      </c>
      <c r="U749" s="194">
        <v>0</v>
      </c>
    </row>
    <row r="750" spans="2:21" x14ac:dyDescent="0.3">
      <c r="B750" s="37"/>
      <c r="C750" s="13"/>
      <c r="D750" s="283"/>
      <c r="E750" s="283"/>
      <c r="G750" s="37"/>
      <c r="H750" s="13"/>
      <c r="I750" s="283"/>
      <c r="J750" s="283"/>
      <c r="L750" s="37"/>
      <c r="M750" s="13"/>
      <c r="N750" s="283"/>
      <c r="O750" s="283"/>
      <c r="Q750" s="195">
        <v>31060002</v>
      </c>
      <c r="R750" s="196"/>
      <c r="S750" s="200" t="s">
        <v>994</v>
      </c>
      <c r="T750" s="194">
        <v>0</v>
      </c>
      <c r="U750" s="194">
        <v>0</v>
      </c>
    </row>
    <row r="751" spans="2:21" x14ac:dyDescent="0.3">
      <c r="B751" s="37"/>
      <c r="C751" s="13"/>
      <c r="D751" s="283"/>
      <c r="E751" s="283"/>
      <c r="G751" s="37"/>
      <c r="H751" s="13"/>
      <c r="I751" s="283"/>
      <c r="J751" s="283"/>
      <c r="L751" s="37"/>
      <c r="M751" s="13"/>
      <c r="N751" s="283"/>
      <c r="O751" s="283"/>
      <c r="Q751" s="195">
        <v>31060003</v>
      </c>
      <c r="R751" s="196"/>
      <c r="S751" s="200" t="s">
        <v>995</v>
      </c>
      <c r="T751" s="194">
        <f>SUM(T752:T755)-SUM(U752:U755)</f>
        <v>25702053</v>
      </c>
      <c r="U751" s="194">
        <v>0</v>
      </c>
    </row>
    <row r="752" spans="2:21" x14ac:dyDescent="0.3">
      <c r="B752" s="37"/>
      <c r="C752" s="13"/>
      <c r="D752" s="283"/>
      <c r="E752" s="283"/>
      <c r="G752" s="37"/>
      <c r="H752" s="13"/>
      <c r="I752" s="283"/>
      <c r="J752" s="283"/>
      <c r="L752" s="37"/>
      <c r="M752" s="13"/>
      <c r="N752" s="283"/>
      <c r="O752" s="283"/>
      <c r="Q752" s="37"/>
      <c r="R752" s="128" t="s">
        <v>1181</v>
      </c>
      <c r="S752" s="14" t="s">
        <v>2139</v>
      </c>
      <c r="T752" s="147">
        <v>290704</v>
      </c>
      <c r="U752" s="147">
        <v>0</v>
      </c>
    </row>
    <row r="753" spans="2:21" x14ac:dyDescent="0.3">
      <c r="B753" s="37"/>
      <c r="C753" s="13"/>
      <c r="D753" s="283"/>
      <c r="E753" s="283"/>
      <c r="G753" s="37"/>
      <c r="H753" s="13"/>
      <c r="I753" s="283"/>
      <c r="J753" s="283"/>
      <c r="L753" s="37"/>
      <c r="M753" s="13"/>
      <c r="N753" s="283"/>
      <c r="O753" s="283"/>
      <c r="Q753" s="37"/>
      <c r="R753" s="128" t="s">
        <v>2138</v>
      </c>
      <c r="S753" s="14" t="s">
        <v>7</v>
      </c>
      <c r="T753" s="147">
        <v>547</v>
      </c>
      <c r="U753" s="147">
        <v>0</v>
      </c>
    </row>
    <row r="754" spans="2:21" x14ac:dyDescent="0.3">
      <c r="B754" s="37"/>
      <c r="C754" s="13"/>
      <c r="D754" s="283"/>
      <c r="E754" s="283"/>
      <c r="G754" s="37"/>
      <c r="H754" s="13"/>
      <c r="I754" s="283"/>
      <c r="J754" s="283"/>
      <c r="L754" s="37"/>
      <c r="M754" s="13"/>
      <c r="N754" s="283"/>
      <c r="O754" s="283"/>
      <c r="Q754" s="37"/>
      <c r="R754" s="128">
        <v>310075</v>
      </c>
      <c r="S754" s="14" t="s">
        <v>3297</v>
      </c>
      <c r="T754" s="147">
        <v>10805902</v>
      </c>
      <c r="U754" s="147">
        <v>0</v>
      </c>
    </row>
    <row r="755" spans="2:21" x14ac:dyDescent="0.3">
      <c r="B755" s="37"/>
      <c r="C755" s="13"/>
      <c r="D755" s="283"/>
      <c r="E755" s="283"/>
      <c r="G755" s="37"/>
      <c r="H755" s="13"/>
      <c r="I755" s="283"/>
      <c r="J755" s="283"/>
      <c r="L755" s="37"/>
      <c r="M755" s="13"/>
      <c r="N755" s="283"/>
      <c r="O755" s="283"/>
      <c r="Q755" s="37"/>
      <c r="R755" s="128">
        <v>310041</v>
      </c>
      <c r="S755" s="14" t="s">
        <v>853</v>
      </c>
      <c r="T755" s="147">
        <v>14604900</v>
      </c>
      <c r="U755" s="147">
        <v>0</v>
      </c>
    </row>
    <row r="756" spans="2:21" x14ac:dyDescent="0.3">
      <c r="B756" s="37"/>
      <c r="C756" s="13"/>
      <c r="D756" s="283"/>
      <c r="E756" s="283"/>
      <c r="G756" s="37"/>
      <c r="H756" s="13"/>
      <c r="I756" s="283"/>
      <c r="J756" s="283"/>
      <c r="L756" s="37"/>
      <c r="M756" s="13"/>
      <c r="N756" s="283"/>
      <c r="O756" s="283"/>
      <c r="Q756" s="195">
        <v>31060004</v>
      </c>
      <c r="R756" s="196"/>
      <c r="S756" s="200" t="s">
        <v>996</v>
      </c>
      <c r="T756" s="194">
        <v>0</v>
      </c>
      <c r="U756" s="194">
        <f>SUM(U757)-SUM(T757)</f>
        <v>6893770.4299999997</v>
      </c>
    </row>
    <row r="757" spans="2:21" x14ac:dyDescent="0.3">
      <c r="B757" s="37"/>
      <c r="C757" s="13"/>
      <c r="D757" s="283"/>
      <c r="E757" s="283"/>
      <c r="G757" s="37"/>
      <c r="H757" s="13"/>
      <c r="I757" s="283"/>
      <c r="J757" s="283"/>
      <c r="L757" s="37"/>
      <c r="M757" s="13"/>
      <c r="N757" s="283"/>
      <c r="O757" s="283"/>
      <c r="Q757" s="37"/>
      <c r="R757" s="128">
        <v>120159</v>
      </c>
      <c r="S757" s="14" t="s">
        <v>3298</v>
      </c>
      <c r="T757" s="147">
        <v>0</v>
      </c>
      <c r="U757" s="147">
        <v>6893770.4299999997</v>
      </c>
    </row>
    <row r="758" spans="2:21" x14ac:dyDescent="0.3">
      <c r="B758" s="37"/>
      <c r="C758" s="13"/>
      <c r="D758" s="283"/>
      <c r="E758" s="283"/>
      <c r="G758" s="37"/>
      <c r="H758" s="13"/>
      <c r="I758" s="283"/>
      <c r="J758" s="283"/>
      <c r="L758" s="37"/>
      <c r="M758" s="13"/>
      <c r="N758" s="283"/>
      <c r="O758" s="283"/>
      <c r="Q758" s="195">
        <v>31060005</v>
      </c>
      <c r="R758" s="196"/>
      <c r="S758" s="200" t="s">
        <v>1008</v>
      </c>
      <c r="T758" s="292">
        <f>SUM(T759)-SUM(U759)</f>
        <v>43806072</v>
      </c>
      <c r="U758" s="194">
        <v>0</v>
      </c>
    </row>
    <row r="759" spans="2:21" x14ac:dyDescent="0.3">
      <c r="B759" s="37"/>
      <c r="C759" s="13"/>
      <c r="D759" s="283"/>
      <c r="E759" s="283"/>
      <c r="G759" s="37"/>
      <c r="H759" s="13"/>
      <c r="I759" s="283"/>
      <c r="J759" s="283"/>
      <c r="L759" s="37"/>
      <c r="M759" s="13"/>
      <c r="N759" s="283"/>
      <c r="O759" s="283"/>
      <c r="Q759" s="195"/>
      <c r="R759" s="128" t="s">
        <v>2138</v>
      </c>
      <c r="S759" s="14" t="s">
        <v>7</v>
      </c>
      <c r="T759" s="202">
        <v>43806072</v>
      </c>
      <c r="U759" s="202">
        <v>0</v>
      </c>
    </row>
    <row r="760" spans="2:21" x14ac:dyDescent="0.3">
      <c r="B760" s="37"/>
      <c r="C760" s="13"/>
      <c r="D760" s="283"/>
      <c r="E760" s="283"/>
      <c r="G760" s="37"/>
      <c r="H760" s="13"/>
      <c r="I760" s="283"/>
      <c r="J760" s="283"/>
      <c r="L760" s="37"/>
      <c r="M760" s="13"/>
      <c r="N760" s="283"/>
      <c r="O760" s="283"/>
      <c r="Q760" s="195">
        <v>31060006</v>
      </c>
      <c r="R760" s="196"/>
      <c r="S760" s="200" t="s">
        <v>997</v>
      </c>
      <c r="T760" s="292">
        <f>SUM(T761:T763)-SUM(U761:U763)</f>
        <v>11257513.800000001</v>
      </c>
      <c r="U760" s="194">
        <v>0</v>
      </c>
    </row>
    <row r="761" spans="2:21" x14ac:dyDescent="0.3">
      <c r="B761" s="37"/>
      <c r="C761" s="13"/>
      <c r="D761" s="283"/>
      <c r="E761" s="283"/>
      <c r="G761" s="37"/>
      <c r="H761" s="13"/>
      <c r="I761" s="283"/>
      <c r="J761" s="283"/>
      <c r="L761" s="37"/>
      <c r="M761" s="13"/>
      <c r="N761" s="283"/>
      <c r="O761" s="283"/>
      <c r="Q761" s="37"/>
      <c r="R761" s="128">
        <v>310034</v>
      </c>
      <c r="S761" s="14" t="s">
        <v>850</v>
      </c>
      <c r="T761" s="147">
        <v>44317.8</v>
      </c>
      <c r="U761" s="147">
        <v>0</v>
      </c>
    </row>
    <row r="762" spans="2:21" x14ac:dyDescent="0.3">
      <c r="B762" s="37"/>
      <c r="C762" s="13"/>
      <c r="D762" s="283"/>
      <c r="E762" s="283"/>
      <c r="G762" s="37"/>
      <c r="H762" s="13"/>
      <c r="I762" s="283"/>
      <c r="J762" s="283"/>
      <c r="L762" s="37"/>
      <c r="M762" s="13"/>
      <c r="N762" s="283"/>
      <c r="O762" s="283"/>
      <c r="Q762" s="37"/>
      <c r="R762" s="128">
        <v>310042</v>
      </c>
      <c r="S762" s="14" t="s">
        <v>863</v>
      </c>
      <c r="T762" s="147">
        <f>11205897</f>
        <v>11205897</v>
      </c>
      <c r="U762" s="147">
        <v>0</v>
      </c>
    </row>
    <row r="763" spans="2:21" x14ac:dyDescent="0.3">
      <c r="B763" s="37"/>
      <c r="C763" s="13"/>
      <c r="D763" s="283"/>
      <c r="E763" s="283"/>
      <c r="G763" s="37"/>
      <c r="H763" s="13"/>
      <c r="I763" s="283"/>
      <c r="J763" s="283"/>
      <c r="L763" s="37"/>
      <c r="M763" s="13"/>
      <c r="N763" s="283"/>
      <c r="O763" s="283"/>
      <c r="Q763" s="37"/>
      <c r="R763" s="128">
        <v>310045</v>
      </c>
      <c r="S763" s="14" t="s">
        <v>1930</v>
      </c>
      <c r="T763" s="147">
        <v>7299</v>
      </c>
      <c r="U763" s="147">
        <v>0</v>
      </c>
    </row>
    <row r="764" spans="2:21" x14ac:dyDescent="0.3">
      <c r="B764" s="37"/>
      <c r="C764" s="13"/>
      <c r="D764" s="283"/>
      <c r="E764" s="283"/>
      <c r="G764" s="37"/>
      <c r="H764" s="13"/>
      <c r="I764" s="283"/>
      <c r="J764" s="283"/>
      <c r="L764" s="37"/>
      <c r="M764" s="13"/>
      <c r="N764" s="283"/>
      <c r="O764" s="283"/>
      <c r="Q764" s="37"/>
      <c r="R764" s="128"/>
      <c r="S764" s="15"/>
      <c r="T764" s="147"/>
      <c r="U764" s="147"/>
    </row>
    <row r="765" spans="2:21" x14ac:dyDescent="0.3">
      <c r="B765" s="37"/>
      <c r="C765" s="13"/>
      <c r="D765" s="283"/>
      <c r="E765" s="283"/>
      <c r="G765" s="37"/>
      <c r="H765" s="13"/>
      <c r="I765" s="283"/>
      <c r="J765" s="283"/>
      <c r="K765">
        <v>3107</v>
      </c>
      <c r="L765" s="195">
        <v>3107</v>
      </c>
      <c r="M765" s="197" t="s">
        <v>895</v>
      </c>
      <c r="N765" s="288">
        <f>T765+T766+T781+T788+T800+T821+T827</f>
        <v>9337172.8300000001</v>
      </c>
      <c r="O765" s="288">
        <v>0</v>
      </c>
      <c r="Q765" s="195">
        <v>31070001</v>
      </c>
      <c r="R765" s="196"/>
      <c r="S765" s="200" t="s">
        <v>998</v>
      </c>
      <c r="T765" s="194">
        <v>0</v>
      </c>
      <c r="U765" s="194">
        <v>0</v>
      </c>
    </row>
    <row r="766" spans="2:21" x14ac:dyDescent="0.3">
      <c r="B766" s="37"/>
      <c r="C766" s="13"/>
      <c r="D766" s="283"/>
      <c r="E766" s="283"/>
      <c r="G766" s="37"/>
      <c r="H766" s="13"/>
      <c r="I766" s="283"/>
      <c r="J766" s="283"/>
      <c r="L766" s="37"/>
      <c r="M766" s="13"/>
      <c r="N766" s="283"/>
      <c r="O766" s="283"/>
      <c r="Q766" s="195">
        <v>31070002</v>
      </c>
      <c r="R766" s="196"/>
      <c r="S766" s="200" t="s">
        <v>1000</v>
      </c>
      <c r="T766" s="292">
        <f>SUM(T767:T780)-SUM(U767:U780)</f>
        <v>611369</v>
      </c>
      <c r="U766" s="194">
        <v>0</v>
      </c>
    </row>
    <row r="767" spans="2:21" x14ac:dyDescent="0.3">
      <c r="B767" s="37"/>
      <c r="C767" s="13"/>
      <c r="D767" s="283"/>
      <c r="E767" s="283"/>
      <c r="G767" s="37"/>
      <c r="H767" s="13"/>
      <c r="I767" s="283"/>
      <c r="J767" s="283"/>
      <c r="L767" s="37"/>
      <c r="M767" s="13"/>
      <c r="N767" s="283"/>
      <c r="O767" s="283"/>
      <c r="Q767" s="37"/>
      <c r="R767" s="128">
        <v>120014</v>
      </c>
      <c r="S767" s="14" t="s">
        <v>51</v>
      </c>
      <c r="T767" s="147">
        <v>8488</v>
      </c>
      <c r="U767" s="147">
        <v>0</v>
      </c>
    </row>
    <row r="768" spans="2:21" x14ac:dyDescent="0.3">
      <c r="B768" s="37"/>
      <c r="C768" s="13"/>
      <c r="D768" s="283"/>
      <c r="E768" s="283"/>
      <c r="G768" s="37"/>
      <c r="H768" s="13"/>
      <c r="I768" s="283"/>
      <c r="J768" s="283"/>
      <c r="L768" s="37"/>
      <c r="M768" s="13"/>
      <c r="N768" s="283"/>
      <c r="O768" s="283"/>
      <c r="Q768" s="37"/>
      <c r="R768" s="128">
        <v>120045</v>
      </c>
      <c r="S768" s="14" t="s">
        <v>103</v>
      </c>
      <c r="T768" s="147">
        <v>228281</v>
      </c>
      <c r="U768" s="147">
        <v>0</v>
      </c>
    </row>
    <row r="769" spans="2:21" x14ac:dyDescent="0.3">
      <c r="B769" s="37"/>
      <c r="C769" s="13"/>
      <c r="D769" s="283"/>
      <c r="E769" s="283"/>
      <c r="G769" s="37"/>
      <c r="H769" s="13"/>
      <c r="I769" s="283"/>
      <c r="J769" s="283"/>
      <c r="L769" s="37"/>
      <c r="M769" s="13"/>
      <c r="N769" s="283"/>
      <c r="O769" s="283"/>
      <c r="Q769" s="37"/>
      <c r="R769" s="128">
        <v>120048</v>
      </c>
      <c r="S769" s="14" t="s">
        <v>108</v>
      </c>
      <c r="T769" s="147">
        <v>45347</v>
      </c>
      <c r="U769" s="147">
        <v>0</v>
      </c>
    </row>
    <row r="770" spans="2:21" x14ac:dyDescent="0.3">
      <c r="B770" s="37"/>
      <c r="C770" s="13"/>
      <c r="D770" s="283"/>
      <c r="E770" s="283"/>
      <c r="G770" s="37"/>
      <c r="H770" s="13"/>
      <c r="I770" s="283"/>
      <c r="J770" s="283"/>
      <c r="L770" s="37"/>
      <c r="M770" s="13"/>
      <c r="N770" s="283"/>
      <c r="O770" s="283"/>
      <c r="Q770" s="37"/>
      <c r="R770" s="128">
        <v>120067</v>
      </c>
      <c r="S770" s="14" t="s">
        <v>129</v>
      </c>
      <c r="T770" s="147">
        <v>75815</v>
      </c>
      <c r="U770" s="147">
        <v>0</v>
      </c>
    </row>
    <row r="771" spans="2:21" x14ac:dyDescent="0.3">
      <c r="B771" s="37"/>
      <c r="C771" s="13"/>
      <c r="D771" s="283"/>
      <c r="E771" s="283"/>
      <c r="G771" s="37"/>
      <c r="H771" s="13"/>
      <c r="I771" s="283"/>
      <c r="J771" s="283"/>
      <c r="L771" s="37"/>
      <c r="M771" s="13"/>
      <c r="N771" s="283"/>
      <c r="O771" s="283"/>
      <c r="Q771" s="37"/>
      <c r="R771" s="128">
        <v>120076</v>
      </c>
      <c r="S771" s="14" t="s">
        <v>139</v>
      </c>
      <c r="T771" s="147">
        <v>39233</v>
      </c>
      <c r="U771" s="147">
        <v>0</v>
      </c>
    </row>
    <row r="772" spans="2:21" x14ac:dyDescent="0.3">
      <c r="B772" s="37"/>
      <c r="C772" s="13"/>
      <c r="D772" s="283"/>
      <c r="E772" s="283"/>
      <c r="G772" s="37"/>
      <c r="H772" s="13"/>
      <c r="I772" s="283"/>
      <c r="J772" s="283"/>
      <c r="L772" s="37"/>
      <c r="M772" s="13"/>
      <c r="N772" s="283"/>
      <c r="O772" s="283"/>
      <c r="Q772" s="37"/>
      <c r="R772" s="128">
        <v>120088</v>
      </c>
      <c r="S772" s="14" t="s">
        <v>149</v>
      </c>
      <c r="T772" s="147">
        <v>24370</v>
      </c>
      <c r="U772" s="147">
        <v>0</v>
      </c>
    </row>
    <row r="773" spans="2:21" x14ac:dyDescent="0.3">
      <c r="B773" s="37"/>
      <c r="C773" s="13"/>
      <c r="D773" s="283"/>
      <c r="E773" s="283"/>
      <c r="G773" s="37"/>
      <c r="H773" s="13"/>
      <c r="I773" s="283"/>
      <c r="J773" s="283"/>
      <c r="L773" s="37"/>
      <c r="M773" s="13"/>
      <c r="N773" s="283"/>
      <c r="O773" s="283"/>
      <c r="Q773" s="37"/>
      <c r="R773" s="128">
        <v>120094</v>
      </c>
      <c r="S773" s="14" t="s">
        <v>155</v>
      </c>
      <c r="T773" s="147">
        <v>0</v>
      </c>
      <c r="U773" s="147">
        <v>8784</v>
      </c>
    </row>
    <row r="774" spans="2:21" x14ac:dyDescent="0.3">
      <c r="B774" s="37"/>
      <c r="C774" s="13"/>
      <c r="D774" s="283"/>
      <c r="E774" s="283"/>
      <c r="G774" s="37"/>
      <c r="H774" s="13"/>
      <c r="I774" s="283"/>
      <c r="J774" s="283"/>
      <c r="L774" s="37"/>
      <c r="M774" s="13"/>
      <c r="N774" s="283"/>
      <c r="O774" s="283"/>
      <c r="Q774" s="37"/>
      <c r="R774" s="128">
        <v>120100</v>
      </c>
      <c r="S774" s="14" t="s">
        <v>161</v>
      </c>
      <c r="T774" s="147">
        <v>14040</v>
      </c>
      <c r="U774" s="147">
        <v>0</v>
      </c>
    </row>
    <row r="775" spans="2:21" x14ac:dyDescent="0.3">
      <c r="B775" s="37"/>
      <c r="C775" s="13"/>
      <c r="D775" s="283"/>
      <c r="E775" s="283"/>
      <c r="G775" s="37"/>
      <c r="H775" s="13"/>
      <c r="I775" s="283"/>
      <c r="J775" s="283"/>
      <c r="L775" s="37"/>
      <c r="M775" s="13"/>
      <c r="N775" s="283"/>
      <c r="O775" s="283"/>
      <c r="Q775" s="37"/>
      <c r="R775" s="128">
        <v>120134</v>
      </c>
      <c r="S775" s="14" t="s">
        <v>1913</v>
      </c>
      <c r="T775" s="147">
        <v>6282</v>
      </c>
      <c r="U775" s="147">
        <v>0</v>
      </c>
    </row>
    <row r="776" spans="2:21" x14ac:dyDescent="0.3">
      <c r="B776" s="37"/>
      <c r="C776" s="13"/>
      <c r="D776" s="283"/>
      <c r="E776" s="283"/>
      <c r="G776" s="37"/>
      <c r="H776" s="13"/>
      <c r="I776" s="283"/>
      <c r="J776" s="283"/>
      <c r="L776" s="37"/>
      <c r="M776" s="13"/>
      <c r="N776" s="283"/>
      <c r="O776" s="283"/>
      <c r="Q776" s="37"/>
      <c r="R776" s="128">
        <v>120140</v>
      </c>
      <c r="S776" s="14" t="s">
        <v>1919</v>
      </c>
      <c r="T776" s="147">
        <v>68224</v>
      </c>
      <c r="U776" s="147">
        <v>0</v>
      </c>
    </row>
    <row r="777" spans="2:21" x14ac:dyDescent="0.3">
      <c r="B777" s="37"/>
      <c r="C777" s="13"/>
      <c r="D777" s="283"/>
      <c r="E777" s="283"/>
      <c r="G777" s="37"/>
      <c r="H777" s="13"/>
      <c r="I777" s="283"/>
      <c r="J777" s="283"/>
      <c r="L777" s="37"/>
      <c r="M777" s="13"/>
      <c r="N777" s="283"/>
      <c r="O777" s="283"/>
      <c r="Q777" s="37"/>
      <c r="R777" s="128">
        <v>120160</v>
      </c>
      <c r="S777" s="14" t="s">
        <v>3299</v>
      </c>
      <c r="T777" s="147">
        <v>895</v>
      </c>
      <c r="U777" s="147">
        <v>0</v>
      </c>
    </row>
    <row r="778" spans="2:21" x14ac:dyDescent="0.3">
      <c r="B778" s="37"/>
      <c r="C778" s="13"/>
      <c r="D778" s="283"/>
      <c r="E778" s="283"/>
      <c r="G778" s="37"/>
      <c r="H778" s="13"/>
      <c r="I778" s="283"/>
      <c r="J778" s="283"/>
      <c r="L778" s="37"/>
      <c r="M778" s="13"/>
      <c r="N778" s="283"/>
      <c r="O778" s="283"/>
      <c r="Q778" s="37"/>
      <c r="R778" s="128">
        <v>120160</v>
      </c>
      <c r="S778" s="14" t="s">
        <v>3300</v>
      </c>
      <c r="T778" s="147">
        <v>9750</v>
      </c>
      <c r="U778" s="147">
        <v>0</v>
      </c>
    </row>
    <row r="779" spans="2:21" x14ac:dyDescent="0.3">
      <c r="B779" s="37"/>
      <c r="C779" s="13"/>
      <c r="D779" s="283"/>
      <c r="E779" s="283"/>
      <c r="G779" s="37"/>
      <c r="H779" s="13"/>
      <c r="I779" s="283"/>
      <c r="J779" s="283"/>
      <c r="L779" s="37"/>
      <c r="M779" s="13"/>
      <c r="N779" s="283"/>
      <c r="O779" s="283"/>
      <c r="Q779" s="37"/>
      <c r="R779" s="128">
        <v>120165</v>
      </c>
      <c r="S779" s="14" t="s">
        <v>2237</v>
      </c>
      <c r="T779" s="147">
        <v>69391</v>
      </c>
      <c r="U779" s="147">
        <v>0</v>
      </c>
    </row>
    <row r="780" spans="2:21" x14ac:dyDescent="0.3">
      <c r="B780" s="37"/>
      <c r="C780" s="13"/>
      <c r="D780" s="283"/>
      <c r="E780" s="283"/>
      <c r="G780" s="37"/>
      <c r="H780" s="13"/>
      <c r="I780" s="283"/>
      <c r="J780" s="283"/>
      <c r="L780" s="37"/>
      <c r="M780" s="13"/>
      <c r="N780" s="283"/>
      <c r="O780" s="283"/>
      <c r="Q780" s="37"/>
      <c r="R780" s="128" t="s">
        <v>2185</v>
      </c>
      <c r="S780" s="14" t="s">
        <v>2184</v>
      </c>
      <c r="T780" s="147">
        <v>30037</v>
      </c>
      <c r="U780" s="147">
        <v>0</v>
      </c>
    </row>
    <row r="781" spans="2:21" x14ac:dyDescent="0.3">
      <c r="B781" s="37"/>
      <c r="C781" s="13"/>
      <c r="D781" s="283"/>
      <c r="E781" s="283"/>
      <c r="G781" s="37"/>
      <c r="H781" s="13"/>
      <c r="I781" s="283"/>
      <c r="J781" s="283"/>
      <c r="L781" s="37"/>
      <c r="M781" s="13"/>
      <c r="N781" s="283"/>
      <c r="O781" s="283"/>
      <c r="Q781" s="195">
        <v>31070003</v>
      </c>
      <c r="R781" s="196"/>
      <c r="S781" s="200" t="s">
        <v>1004</v>
      </c>
      <c r="T781" s="292">
        <f>SUM(T782:T787)-SUM(U782:U787)</f>
        <v>979787</v>
      </c>
      <c r="U781" s="194">
        <v>0</v>
      </c>
    </row>
    <row r="782" spans="2:21" x14ac:dyDescent="0.3">
      <c r="B782" s="37"/>
      <c r="C782" s="13"/>
      <c r="D782" s="283"/>
      <c r="E782" s="283"/>
      <c r="G782" s="37"/>
      <c r="H782" s="13"/>
      <c r="I782" s="283"/>
      <c r="J782" s="283"/>
      <c r="L782" s="37"/>
      <c r="M782" s="13"/>
      <c r="N782" s="283"/>
      <c r="O782" s="283"/>
      <c r="Q782" s="37"/>
      <c r="R782" s="128">
        <v>120071</v>
      </c>
      <c r="S782" s="14" t="s">
        <v>133</v>
      </c>
      <c r="T782" s="147">
        <v>648</v>
      </c>
      <c r="U782" s="147">
        <v>0</v>
      </c>
    </row>
    <row r="783" spans="2:21" x14ac:dyDescent="0.3">
      <c r="B783" s="37"/>
      <c r="C783" s="13"/>
      <c r="D783" s="283"/>
      <c r="E783" s="283"/>
      <c r="G783" s="37"/>
      <c r="H783" s="13"/>
      <c r="I783" s="283"/>
      <c r="J783" s="283"/>
      <c r="L783" s="37"/>
      <c r="M783" s="13"/>
      <c r="N783" s="283"/>
      <c r="O783" s="283"/>
      <c r="Q783" s="37"/>
      <c r="R783" s="128">
        <v>120084</v>
      </c>
      <c r="S783" s="14" t="s">
        <v>2338</v>
      </c>
      <c r="T783" s="147">
        <v>255294</v>
      </c>
      <c r="U783" s="147">
        <v>0</v>
      </c>
    </row>
    <row r="784" spans="2:21" x14ac:dyDescent="0.3">
      <c r="B784" s="37"/>
      <c r="C784" s="13"/>
      <c r="D784" s="283"/>
      <c r="E784" s="283"/>
      <c r="G784" s="37"/>
      <c r="H784" s="13"/>
      <c r="I784" s="283"/>
      <c r="J784" s="283"/>
      <c r="L784" s="37"/>
      <c r="M784" s="13"/>
      <c r="N784" s="283"/>
      <c r="O784" s="283"/>
      <c r="Q784" s="37"/>
      <c r="R784" s="128">
        <v>120094</v>
      </c>
      <c r="S784" s="14" t="s">
        <v>155</v>
      </c>
      <c r="T784" s="147">
        <v>0</v>
      </c>
      <c r="U784" s="147">
        <v>16883</v>
      </c>
    </row>
    <row r="785" spans="2:21" x14ac:dyDescent="0.3">
      <c r="B785" s="37"/>
      <c r="C785" s="13"/>
      <c r="D785" s="283"/>
      <c r="E785" s="283"/>
      <c r="G785" s="37"/>
      <c r="H785" s="13"/>
      <c r="I785" s="283"/>
      <c r="J785" s="283"/>
      <c r="L785" s="37"/>
      <c r="M785" s="13"/>
      <c r="N785" s="283"/>
      <c r="O785" s="283"/>
      <c r="Q785" s="37"/>
      <c r="R785" s="128">
        <v>120095</v>
      </c>
      <c r="S785" s="14" t="s">
        <v>156</v>
      </c>
      <c r="T785" s="147">
        <v>588405</v>
      </c>
      <c r="U785" s="147">
        <v>0</v>
      </c>
    </row>
    <row r="786" spans="2:21" x14ac:dyDescent="0.3">
      <c r="B786" s="37"/>
      <c r="C786" s="13"/>
      <c r="D786" s="283"/>
      <c r="E786" s="283"/>
      <c r="G786" s="37"/>
      <c r="H786" s="13"/>
      <c r="I786" s="283"/>
      <c r="J786" s="283"/>
      <c r="L786" s="37"/>
      <c r="M786" s="13"/>
      <c r="N786" s="283"/>
      <c r="O786" s="283"/>
      <c r="Q786" s="37"/>
      <c r="R786" s="128">
        <v>120140</v>
      </c>
      <c r="S786" s="14" t="s">
        <v>1919</v>
      </c>
      <c r="T786" s="147">
        <v>73632</v>
      </c>
      <c r="U786" s="147">
        <v>0</v>
      </c>
    </row>
    <row r="787" spans="2:21" x14ac:dyDescent="0.3">
      <c r="B787" s="37"/>
      <c r="C787" s="13"/>
      <c r="D787" s="283"/>
      <c r="E787" s="283"/>
      <c r="G787" s="37"/>
      <c r="H787" s="13"/>
      <c r="I787" s="283"/>
      <c r="J787" s="283"/>
      <c r="L787" s="37"/>
      <c r="M787" s="13"/>
      <c r="N787" s="283"/>
      <c r="O787" s="283"/>
      <c r="Q787" s="37"/>
      <c r="R787" s="128">
        <v>120165</v>
      </c>
      <c r="S787" s="14" t="s">
        <v>2237</v>
      </c>
      <c r="T787" s="147">
        <v>78691</v>
      </c>
      <c r="U787" s="147">
        <v>0</v>
      </c>
    </row>
    <row r="788" spans="2:21" x14ac:dyDescent="0.3">
      <c r="B788" s="37"/>
      <c r="C788" s="13"/>
      <c r="D788" s="283"/>
      <c r="E788" s="283"/>
      <c r="G788" s="37"/>
      <c r="H788" s="13"/>
      <c r="I788" s="283"/>
      <c r="J788" s="283"/>
      <c r="L788" s="37"/>
      <c r="M788" s="13"/>
      <c r="N788" s="283"/>
      <c r="O788" s="283"/>
      <c r="Q788" s="195">
        <v>31070004</v>
      </c>
      <c r="R788" s="196"/>
      <c r="S788" s="200" t="s">
        <v>1005</v>
      </c>
      <c r="T788" s="292">
        <f>SUM(T789:T799)-SUM(U789:U799)</f>
        <v>1119561.6000000001</v>
      </c>
      <c r="U788" s="194">
        <v>0</v>
      </c>
    </row>
    <row r="789" spans="2:21" x14ac:dyDescent="0.3">
      <c r="B789" s="37"/>
      <c r="C789" s="13"/>
      <c r="D789" s="283"/>
      <c r="E789" s="283"/>
      <c r="G789" s="37"/>
      <c r="H789" s="13"/>
      <c r="I789" s="283"/>
      <c r="J789" s="283"/>
      <c r="L789" s="37"/>
      <c r="M789" s="13"/>
      <c r="N789" s="283"/>
      <c r="O789" s="283"/>
      <c r="Q789" s="37"/>
      <c r="R789" s="128">
        <v>120011</v>
      </c>
      <c r="S789" s="14" t="s">
        <v>53</v>
      </c>
      <c r="T789" s="147">
        <v>2696</v>
      </c>
      <c r="U789" s="147">
        <v>0</v>
      </c>
    </row>
    <row r="790" spans="2:21" x14ac:dyDescent="0.3">
      <c r="B790" s="37"/>
      <c r="C790" s="13"/>
      <c r="D790" s="283"/>
      <c r="E790" s="283"/>
      <c r="G790" s="37"/>
      <c r="H790" s="13"/>
      <c r="I790" s="283"/>
      <c r="J790" s="283"/>
      <c r="L790" s="37"/>
      <c r="M790" s="13"/>
      <c r="N790" s="283"/>
      <c r="O790" s="283"/>
      <c r="Q790" s="37"/>
      <c r="R790" s="128">
        <v>120018</v>
      </c>
      <c r="S790" s="14" t="s">
        <v>2334</v>
      </c>
      <c r="T790" s="147">
        <v>8711</v>
      </c>
      <c r="U790" s="147">
        <v>0</v>
      </c>
    </row>
    <row r="791" spans="2:21" x14ac:dyDescent="0.3">
      <c r="B791" s="37"/>
      <c r="C791" s="13"/>
      <c r="D791" s="283"/>
      <c r="E791" s="283"/>
      <c r="G791" s="37"/>
      <c r="H791" s="13"/>
      <c r="I791" s="283"/>
      <c r="J791" s="283"/>
      <c r="L791" s="37"/>
      <c r="M791" s="13"/>
      <c r="N791" s="283"/>
      <c r="O791" s="283"/>
      <c r="Q791" s="37"/>
      <c r="R791" s="128">
        <v>120019</v>
      </c>
      <c r="S791" s="14" t="s">
        <v>2335</v>
      </c>
      <c r="T791" s="147">
        <v>34660.6</v>
      </c>
      <c r="U791" s="147">
        <v>0</v>
      </c>
    </row>
    <row r="792" spans="2:21" x14ac:dyDescent="0.3">
      <c r="B792" s="37"/>
      <c r="C792" s="13"/>
      <c r="D792" s="283"/>
      <c r="E792" s="283"/>
      <c r="G792" s="37"/>
      <c r="H792" s="13"/>
      <c r="I792" s="283"/>
      <c r="J792" s="283"/>
      <c r="L792" s="37"/>
      <c r="M792" s="13"/>
      <c r="N792" s="283"/>
      <c r="O792" s="283"/>
      <c r="Q792" s="37"/>
      <c r="R792" s="128">
        <v>120048</v>
      </c>
      <c r="S792" s="14" t="s">
        <v>108</v>
      </c>
      <c r="T792" s="147">
        <v>209074</v>
      </c>
      <c r="U792" s="147">
        <v>0</v>
      </c>
    </row>
    <row r="793" spans="2:21" x14ac:dyDescent="0.3">
      <c r="B793" s="37"/>
      <c r="C793" s="13"/>
      <c r="D793" s="283"/>
      <c r="E793" s="283"/>
      <c r="G793" s="37"/>
      <c r="H793" s="13"/>
      <c r="I793" s="283"/>
      <c r="J793" s="283"/>
      <c r="L793" s="37"/>
      <c r="M793" s="13"/>
      <c r="N793" s="283"/>
      <c r="O793" s="283"/>
      <c r="Q793" s="37"/>
      <c r="R793" s="128">
        <v>120072</v>
      </c>
      <c r="S793" s="14" t="s">
        <v>134</v>
      </c>
      <c r="T793" s="147">
        <v>2256</v>
      </c>
      <c r="U793" s="147">
        <v>0</v>
      </c>
    </row>
    <row r="794" spans="2:21" x14ac:dyDescent="0.3">
      <c r="B794" s="37"/>
      <c r="C794" s="13"/>
      <c r="D794" s="283"/>
      <c r="E794" s="283"/>
      <c r="G794" s="37"/>
      <c r="H794" s="13"/>
      <c r="I794" s="283"/>
      <c r="J794" s="283"/>
      <c r="L794" s="37"/>
      <c r="M794" s="13"/>
      <c r="N794" s="283"/>
      <c r="O794" s="283"/>
      <c r="Q794" s="37"/>
      <c r="R794" s="128">
        <v>120075</v>
      </c>
      <c r="S794" s="14" t="s">
        <v>138</v>
      </c>
      <c r="T794" s="147">
        <v>373663</v>
      </c>
      <c r="U794" s="147">
        <v>0</v>
      </c>
    </row>
    <row r="795" spans="2:21" x14ac:dyDescent="0.3">
      <c r="B795" s="37"/>
      <c r="C795" s="13"/>
      <c r="D795" s="283"/>
      <c r="E795" s="283"/>
      <c r="G795" s="37"/>
      <c r="H795" s="13"/>
      <c r="I795" s="283"/>
      <c r="J795" s="283"/>
      <c r="L795" s="37"/>
      <c r="M795" s="13"/>
      <c r="N795" s="283"/>
      <c r="O795" s="283"/>
      <c r="Q795" s="37"/>
      <c r="R795" s="128">
        <v>120076</v>
      </c>
      <c r="S795" s="14" t="s">
        <v>139</v>
      </c>
      <c r="T795" s="147">
        <v>55321</v>
      </c>
      <c r="U795" s="147">
        <v>0</v>
      </c>
    </row>
    <row r="796" spans="2:21" x14ac:dyDescent="0.3">
      <c r="B796" s="37"/>
      <c r="C796" s="13"/>
      <c r="D796" s="283"/>
      <c r="E796" s="283"/>
      <c r="G796" s="37"/>
      <c r="H796" s="13"/>
      <c r="I796" s="283"/>
      <c r="J796" s="283"/>
      <c r="L796" s="37"/>
      <c r="M796" s="13"/>
      <c r="N796" s="283"/>
      <c r="O796" s="283"/>
      <c r="Q796" s="37"/>
      <c r="R796" s="128">
        <v>120080</v>
      </c>
      <c r="S796" s="14" t="s">
        <v>142</v>
      </c>
      <c r="T796" s="147">
        <v>195886</v>
      </c>
      <c r="U796" s="147">
        <v>0</v>
      </c>
    </row>
    <row r="797" spans="2:21" x14ac:dyDescent="0.3">
      <c r="B797" s="37"/>
      <c r="C797" s="13"/>
      <c r="D797" s="283"/>
      <c r="E797" s="283"/>
      <c r="G797" s="37"/>
      <c r="H797" s="13"/>
      <c r="I797" s="283"/>
      <c r="J797" s="283"/>
      <c r="L797" s="37"/>
      <c r="M797" s="13"/>
      <c r="N797" s="283"/>
      <c r="O797" s="283"/>
      <c r="Q797" s="37"/>
      <c r="R797" s="128">
        <v>120081</v>
      </c>
      <c r="S797" s="14" t="s">
        <v>143</v>
      </c>
      <c r="T797" s="147">
        <v>163368</v>
      </c>
      <c r="U797" s="147">
        <v>0</v>
      </c>
    </row>
    <row r="798" spans="2:21" x14ac:dyDescent="0.3">
      <c r="B798" s="37"/>
      <c r="C798" s="13"/>
      <c r="D798" s="283"/>
      <c r="E798" s="283"/>
      <c r="G798" s="37"/>
      <c r="H798" s="13"/>
      <c r="I798" s="283"/>
      <c r="J798" s="283"/>
      <c r="L798" s="37"/>
      <c r="M798" s="13"/>
      <c r="N798" s="283"/>
      <c r="O798" s="283"/>
      <c r="Q798" s="37"/>
      <c r="R798" s="128">
        <v>120154</v>
      </c>
      <c r="S798" s="14" t="s">
        <v>3263</v>
      </c>
      <c r="T798" s="147">
        <v>67030</v>
      </c>
      <c r="U798" s="147">
        <v>0</v>
      </c>
    </row>
    <row r="799" spans="2:21" x14ac:dyDescent="0.3">
      <c r="B799" s="37"/>
      <c r="C799" s="13"/>
      <c r="D799" s="283"/>
      <c r="E799" s="283"/>
      <c r="G799" s="37"/>
      <c r="H799" s="13"/>
      <c r="I799" s="283"/>
      <c r="J799" s="283"/>
      <c r="L799" s="37"/>
      <c r="M799" s="13"/>
      <c r="N799" s="283"/>
      <c r="O799" s="283"/>
      <c r="Q799" s="37"/>
      <c r="R799" s="128">
        <v>120155</v>
      </c>
      <c r="S799" s="14" t="s">
        <v>3264</v>
      </c>
      <c r="T799" s="147">
        <v>6896</v>
      </c>
      <c r="U799" s="147">
        <v>0</v>
      </c>
    </row>
    <row r="800" spans="2:21" x14ac:dyDescent="0.3">
      <c r="B800" s="37"/>
      <c r="C800" s="13"/>
      <c r="D800" s="283"/>
      <c r="E800" s="283"/>
      <c r="G800" s="37"/>
      <c r="H800" s="13"/>
      <c r="I800" s="283"/>
      <c r="J800" s="283"/>
      <c r="L800" s="37"/>
      <c r="M800" s="13"/>
      <c r="N800" s="283"/>
      <c r="O800" s="283"/>
      <c r="Q800" s="195">
        <v>31070005</v>
      </c>
      <c r="R800" s="196"/>
      <c r="S800" s="200" t="s">
        <v>1006</v>
      </c>
      <c r="T800" s="292">
        <f>SUM(T801:T820)-SUM(U801:U820)</f>
        <v>2574042.33</v>
      </c>
      <c r="U800" s="194">
        <v>0</v>
      </c>
    </row>
    <row r="801" spans="2:21" x14ac:dyDescent="0.3">
      <c r="B801" s="37"/>
      <c r="C801" s="13"/>
      <c r="D801" s="283"/>
      <c r="E801" s="283"/>
      <c r="G801" s="37"/>
      <c r="H801" s="13"/>
      <c r="I801" s="283"/>
      <c r="J801" s="283"/>
      <c r="L801" s="37"/>
      <c r="M801" s="13"/>
      <c r="N801" s="283"/>
      <c r="O801" s="283"/>
      <c r="Q801" s="37"/>
      <c r="R801" s="128">
        <v>120008</v>
      </c>
      <c r="S801" s="14" t="s">
        <v>48</v>
      </c>
      <c r="T801" s="147">
        <v>17968</v>
      </c>
      <c r="U801" s="147">
        <v>0</v>
      </c>
    </row>
    <row r="802" spans="2:21" x14ac:dyDescent="0.3">
      <c r="B802" s="37"/>
      <c r="C802" s="13"/>
      <c r="D802" s="283"/>
      <c r="E802" s="283"/>
      <c r="G802" s="37"/>
      <c r="H802" s="13"/>
      <c r="I802" s="283"/>
      <c r="J802" s="283"/>
      <c r="L802" s="37"/>
      <c r="M802" s="13"/>
      <c r="N802" s="283"/>
      <c r="O802" s="283"/>
      <c r="Q802" s="37"/>
      <c r="R802" s="128">
        <v>120018</v>
      </c>
      <c r="S802" s="14" t="s">
        <v>2334</v>
      </c>
      <c r="T802" s="147">
        <v>15389</v>
      </c>
      <c r="U802" s="147">
        <v>0</v>
      </c>
    </row>
    <row r="803" spans="2:21" x14ac:dyDescent="0.3">
      <c r="B803" s="37"/>
      <c r="C803" s="13"/>
      <c r="D803" s="283"/>
      <c r="E803" s="283"/>
      <c r="G803" s="37"/>
      <c r="H803" s="13"/>
      <c r="I803" s="283"/>
      <c r="J803" s="283"/>
      <c r="L803" s="37"/>
      <c r="M803" s="13"/>
      <c r="N803" s="283"/>
      <c r="O803" s="283"/>
      <c r="Q803" s="37"/>
      <c r="R803" s="128">
        <v>120029</v>
      </c>
      <c r="S803" s="14" t="s">
        <v>86</v>
      </c>
      <c r="T803" s="147">
        <v>17967.400000000001</v>
      </c>
      <c r="U803" s="147">
        <v>0</v>
      </c>
    </row>
    <row r="804" spans="2:21" x14ac:dyDescent="0.3">
      <c r="B804" s="37"/>
      <c r="C804" s="13"/>
      <c r="D804" s="283"/>
      <c r="E804" s="283"/>
      <c r="G804" s="37"/>
      <c r="H804" s="13"/>
      <c r="I804" s="283"/>
      <c r="J804" s="283"/>
      <c r="L804" s="37"/>
      <c r="M804" s="13"/>
      <c r="N804" s="283"/>
      <c r="O804" s="283"/>
      <c r="Q804" s="37"/>
      <c r="R804" s="128">
        <v>120066</v>
      </c>
      <c r="S804" s="14" t="s">
        <v>128</v>
      </c>
      <c r="T804" s="147">
        <v>104624</v>
      </c>
      <c r="U804" s="147">
        <v>0</v>
      </c>
    </row>
    <row r="805" spans="2:21" x14ac:dyDescent="0.3">
      <c r="B805" s="37"/>
      <c r="C805" s="13"/>
      <c r="D805" s="283"/>
      <c r="E805" s="283"/>
      <c r="G805" s="37"/>
      <c r="H805" s="13"/>
      <c r="I805" s="283"/>
      <c r="J805" s="283"/>
      <c r="L805" s="37"/>
      <c r="M805" s="13"/>
      <c r="N805" s="283"/>
      <c r="O805" s="283"/>
      <c r="Q805" s="37"/>
      <c r="R805" s="128">
        <v>120072</v>
      </c>
      <c r="S805" s="14" t="s">
        <v>134</v>
      </c>
      <c r="T805" s="147">
        <v>3757</v>
      </c>
      <c r="U805" s="147">
        <v>0</v>
      </c>
    </row>
    <row r="806" spans="2:21" x14ac:dyDescent="0.3">
      <c r="B806" s="37"/>
      <c r="C806" s="13"/>
      <c r="D806" s="283"/>
      <c r="E806" s="283"/>
      <c r="G806" s="37"/>
      <c r="H806" s="13"/>
      <c r="I806" s="283"/>
      <c r="J806" s="283"/>
      <c r="L806" s="37"/>
      <c r="M806" s="13"/>
      <c r="N806" s="283"/>
      <c r="O806" s="283"/>
      <c r="Q806" s="37"/>
      <c r="R806" s="128">
        <v>120078</v>
      </c>
      <c r="S806" s="14" t="s">
        <v>140</v>
      </c>
      <c r="T806" s="147">
        <v>45912</v>
      </c>
      <c r="U806" s="147">
        <v>0</v>
      </c>
    </row>
    <row r="807" spans="2:21" x14ac:dyDescent="0.3">
      <c r="B807" s="37"/>
      <c r="C807" s="13"/>
      <c r="D807" s="283"/>
      <c r="E807" s="283"/>
      <c r="G807" s="37"/>
      <c r="H807" s="13"/>
      <c r="I807" s="283"/>
      <c r="J807" s="283"/>
      <c r="L807" s="37"/>
      <c r="M807" s="13"/>
      <c r="N807" s="283"/>
      <c r="O807" s="283"/>
      <c r="Q807" s="37"/>
      <c r="R807" s="128">
        <v>120080</v>
      </c>
      <c r="S807" s="14" t="s">
        <v>142</v>
      </c>
      <c r="T807" s="147">
        <v>217228</v>
      </c>
      <c r="U807" s="147">
        <v>0</v>
      </c>
    </row>
    <row r="808" spans="2:21" x14ac:dyDescent="0.3">
      <c r="B808" s="37"/>
      <c r="C808" s="13"/>
      <c r="D808" s="283"/>
      <c r="E808" s="283"/>
      <c r="G808" s="37"/>
      <c r="H808" s="13"/>
      <c r="I808" s="283"/>
      <c r="J808" s="283"/>
      <c r="L808" s="37"/>
      <c r="M808" s="13"/>
      <c r="N808" s="283"/>
      <c r="O808" s="283"/>
      <c r="Q808" s="37"/>
      <c r="R808" s="128">
        <v>120083</v>
      </c>
      <c r="S808" s="14" t="s">
        <v>3302</v>
      </c>
      <c r="T808" s="147">
        <v>2761</v>
      </c>
      <c r="U808" s="147">
        <v>0</v>
      </c>
    </row>
    <row r="809" spans="2:21" x14ac:dyDescent="0.3">
      <c r="B809" s="37"/>
      <c r="C809" s="13"/>
      <c r="D809" s="283"/>
      <c r="E809" s="283"/>
      <c r="G809" s="37"/>
      <c r="H809" s="13"/>
      <c r="I809" s="283"/>
      <c r="J809" s="283"/>
      <c r="L809" s="37"/>
      <c r="M809" s="13"/>
      <c r="N809" s="283"/>
      <c r="O809" s="283"/>
      <c r="Q809" s="37"/>
      <c r="R809" s="128">
        <v>120088</v>
      </c>
      <c r="S809" s="14" t="s">
        <v>149</v>
      </c>
      <c r="T809" s="147">
        <v>11850</v>
      </c>
      <c r="U809" s="147">
        <v>0</v>
      </c>
    </row>
    <row r="810" spans="2:21" x14ac:dyDescent="0.3">
      <c r="B810" s="37"/>
      <c r="C810" s="13"/>
      <c r="D810" s="283"/>
      <c r="E810" s="283"/>
      <c r="G810" s="37"/>
      <c r="H810" s="13"/>
      <c r="I810" s="283"/>
      <c r="J810" s="283"/>
      <c r="L810" s="37"/>
      <c r="M810" s="13"/>
      <c r="N810" s="283"/>
      <c r="O810" s="283"/>
      <c r="Q810" s="37"/>
      <c r="R810" s="128">
        <v>120096</v>
      </c>
      <c r="S810" s="14" t="s">
        <v>157</v>
      </c>
      <c r="T810" s="147">
        <v>29827</v>
      </c>
      <c r="U810" s="147">
        <v>0</v>
      </c>
    </row>
    <row r="811" spans="2:21" x14ac:dyDescent="0.3">
      <c r="B811" s="37"/>
      <c r="C811" s="13"/>
      <c r="D811" s="283"/>
      <c r="E811" s="283"/>
      <c r="G811" s="37"/>
      <c r="H811" s="13"/>
      <c r="I811" s="283"/>
      <c r="J811" s="283"/>
      <c r="L811" s="37"/>
      <c r="M811" s="13"/>
      <c r="N811" s="283"/>
      <c r="O811" s="283"/>
      <c r="Q811" s="37"/>
      <c r="R811" s="128">
        <v>120110</v>
      </c>
      <c r="S811" s="14" t="s">
        <v>171</v>
      </c>
      <c r="T811" s="147">
        <v>46345</v>
      </c>
      <c r="U811" s="147">
        <v>0</v>
      </c>
    </row>
    <row r="812" spans="2:21" x14ac:dyDescent="0.3">
      <c r="B812" s="37"/>
      <c r="C812" s="13"/>
      <c r="D812" s="283"/>
      <c r="E812" s="283"/>
      <c r="G812" s="37"/>
      <c r="H812" s="13"/>
      <c r="I812" s="283"/>
      <c r="J812" s="283"/>
      <c r="L812" s="37"/>
      <c r="M812" s="13"/>
      <c r="N812" s="283"/>
      <c r="O812" s="283"/>
      <c r="Q812" s="37"/>
      <c r="R812" s="128">
        <v>120117</v>
      </c>
      <c r="S812" s="14" t="s">
        <v>179</v>
      </c>
      <c r="T812" s="147">
        <v>14259</v>
      </c>
      <c r="U812" s="147">
        <v>0</v>
      </c>
    </row>
    <row r="813" spans="2:21" x14ac:dyDescent="0.3">
      <c r="B813" s="37"/>
      <c r="C813" s="13"/>
      <c r="D813" s="283"/>
      <c r="E813" s="283"/>
      <c r="G813" s="37"/>
      <c r="H813" s="13"/>
      <c r="I813" s="283"/>
      <c r="J813" s="283"/>
      <c r="L813" s="37"/>
      <c r="M813" s="13"/>
      <c r="N813" s="283"/>
      <c r="O813" s="283"/>
      <c r="Q813" s="37"/>
      <c r="R813" s="128">
        <v>120124</v>
      </c>
      <c r="S813" s="14" t="s">
        <v>188</v>
      </c>
      <c r="T813" s="147">
        <v>380703</v>
      </c>
      <c r="U813" s="147">
        <v>0</v>
      </c>
    </row>
    <row r="814" spans="2:21" x14ac:dyDescent="0.3">
      <c r="B814" s="37"/>
      <c r="C814" s="13"/>
      <c r="D814" s="283"/>
      <c r="E814" s="283"/>
      <c r="G814" s="37"/>
      <c r="H814" s="13"/>
      <c r="I814" s="283"/>
      <c r="J814" s="283"/>
      <c r="L814" s="37"/>
      <c r="M814" s="13"/>
      <c r="N814" s="283"/>
      <c r="O814" s="283"/>
      <c r="Q814" s="37"/>
      <c r="R814" s="128">
        <v>120127</v>
      </c>
      <c r="S814" s="14" t="s">
        <v>863</v>
      </c>
      <c r="T814" s="147">
        <v>253146.10000000003</v>
      </c>
      <c r="U814" s="147">
        <v>0</v>
      </c>
    </row>
    <row r="815" spans="2:21" x14ac:dyDescent="0.3">
      <c r="B815" s="37"/>
      <c r="C815" s="13"/>
      <c r="D815" s="283"/>
      <c r="E815" s="283"/>
      <c r="G815" s="37"/>
      <c r="H815" s="13"/>
      <c r="I815" s="283"/>
      <c r="J815" s="283"/>
      <c r="L815" s="37"/>
      <c r="M815" s="13"/>
      <c r="N815" s="283"/>
      <c r="O815" s="283"/>
      <c r="Q815" s="37"/>
      <c r="R815" s="128">
        <v>120147</v>
      </c>
      <c r="S815" s="14" t="s">
        <v>1926</v>
      </c>
      <c r="T815" s="147">
        <v>1020000</v>
      </c>
      <c r="U815" s="147">
        <v>0</v>
      </c>
    </row>
    <row r="816" spans="2:21" x14ac:dyDescent="0.3">
      <c r="B816" s="37"/>
      <c r="C816" s="13"/>
      <c r="D816" s="283"/>
      <c r="E816" s="283"/>
      <c r="G816" s="37"/>
      <c r="H816" s="13"/>
      <c r="I816" s="283"/>
      <c r="J816" s="283"/>
      <c r="L816" s="37"/>
      <c r="M816" s="13"/>
      <c r="N816" s="283"/>
      <c r="O816" s="283"/>
      <c r="Q816" s="37"/>
      <c r="R816" s="128">
        <v>120148</v>
      </c>
      <c r="S816" s="14" t="s">
        <v>1927</v>
      </c>
      <c r="T816" s="147">
        <v>65625</v>
      </c>
      <c r="U816" s="147">
        <v>0</v>
      </c>
    </row>
    <row r="817" spans="2:21" x14ac:dyDescent="0.3">
      <c r="B817" s="37"/>
      <c r="C817" s="13"/>
      <c r="D817" s="283"/>
      <c r="E817" s="283"/>
      <c r="G817" s="37"/>
      <c r="H817" s="13"/>
      <c r="I817" s="283"/>
      <c r="J817" s="283"/>
      <c r="L817" s="37"/>
      <c r="M817" s="13"/>
      <c r="N817" s="283"/>
      <c r="O817" s="283"/>
      <c r="Q817" s="37"/>
      <c r="R817" s="128">
        <v>120165</v>
      </c>
      <c r="S817" s="14" t="s">
        <v>2237</v>
      </c>
      <c r="T817" s="147">
        <v>292766</v>
      </c>
      <c r="U817" s="147">
        <v>0</v>
      </c>
    </row>
    <row r="818" spans="2:21" x14ac:dyDescent="0.3">
      <c r="B818" s="37"/>
      <c r="C818" s="13"/>
      <c r="D818" s="283"/>
      <c r="E818" s="283"/>
      <c r="G818" s="37"/>
      <c r="H818" s="13"/>
      <c r="I818" s="283"/>
      <c r="J818" s="283"/>
      <c r="L818" s="37"/>
      <c r="M818" s="13"/>
      <c r="N818" s="283"/>
      <c r="O818" s="283"/>
      <c r="Q818" s="37"/>
      <c r="R818" s="128">
        <v>310039</v>
      </c>
      <c r="S818" s="14" t="s">
        <v>181</v>
      </c>
      <c r="T818" s="147">
        <v>24520</v>
      </c>
      <c r="U818" s="147">
        <v>0</v>
      </c>
    </row>
    <row r="819" spans="2:21" x14ac:dyDescent="0.3">
      <c r="B819" s="37"/>
      <c r="C819" s="13"/>
      <c r="D819" s="283"/>
      <c r="E819" s="283"/>
      <c r="G819" s="37"/>
      <c r="H819" s="13"/>
      <c r="I819" s="283"/>
      <c r="J819" s="283"/>
      <c r="L819" s="37"/>
      <c r="M819" s="13"/>
      <c r="N819" s="283"/>
      <c r="O819" s="283"/>
      <c r="Q819" s="37"/>
      <c r="R819" s="128">
        <v>310045</v>
      </c>
      <c r="S819" s="14" t="s">
        <v>1930</v>
      </c>
      <c r="T819" s="147">
        <v>308.75</v>
      </c>
      <c r="U819" s="147">
        <v>0</v>
      </c>
    </row>
    <row r="820" spans="2:21" x14ac:dyDescent="0.3">
      <c r="B820" s="37"/>
      <c r="C820" s="13"/>
      <c r="D820" s="283"/>
      <c r="E820" s="283"/>
      <c r="G820" s="37"/>
      <c r="H820" s="13"/>
      <c r="I820" s="283"/>
      <c r="J820" s="283"/>
      <c r="L820" s="37"/>
      <c r="M820" s="13"/>
      <c r="N820" s="283"/>
      <c r="O820" s="283"/>
      <c r="Q820" s="37"/>
      <c r="R820" s="128">
        <v>310076</v>
      </c>
      <c r="S820" s="14" t="s">
        <v>3301</v>
      </c>
      <c r="T820" s="147">
        <v>9086.08</v>
      </c>
      <c r="U820" s="147">
        <v>0</v>
      </c>
    </row>
    <row r="821" spans="2:21" x14ac:dyDescent="0.3">
      <c r="B821" s="37"/>
      <c r="C821" s="13"/>
      <c r="D821" s="283"/>
      <c r="E821" s="283"/>
      <c r="G821" s="37"/>
      <c r="H821" s="13"/>
      <c r="I821" s="283"/>
      <c r="J821" s="283"/>
      <c r="L821" s="37"/>
      <c r="M821" s="13"/>
      <c r="N821" s="283"/>
      <c r="O821" s="283"/>
      <c r="Q821" s="195">
        <v>31070006</v>
      </c>
      <c r="R821" s="196"/>
      <c r="S821" s="200" t="s">
        <v>1007</v>
      </c>
      <c r="T821" s="292">
        <f>SUM(T822:T826)-SUM(U822:U826)</f>
        <v>718817</v>
      </c>
      <c r="U821" s="194">
        <v>0</v>
      </c>
    </row>
    <row r="822" spans="2:21" x14ac:dyDescent="0.3">
      <c r="B822" s="37"/>
      <c r="C822" s="13"/>
      <c r="D822" s="283"/>
      <c r="E822" s="283"/>
      <c r="G822" s="37"/>
      <c r="H822" s="13"/>
      <c r="I822" s="283"/>
      <c r="J822" s="283"/>
      <c r="L822" s="37"/>
      <c r="M822" s="13"/>
      <c r="N822" s="283"/>
      <c r="O822" s="283"/>
      <c r="Q822" s="37"/>
      <c r="R822" s="128">
        <v>120011</v>
      </c>
      <c r="S822" s="14" t="s">
        <v>53</v>
      </c>
      <c r="T822" s="147">
        <v>6952</v>
      </c>
      <c r="U822" s="147">
        <v>0</v>
      </c>
    </row>
    <row r="823" spans="2:21" x14ac:dyDescent="0.3">
      <c r="B823" s="37"/>
      <c r="C823" s="13"/>
      <c r="D823" s="283"/>
      <c r="E823" s="283"/>
      <c r="G823" s="37"/>
      <c r="H823" s="13"/>
      <c r="I823" s="283"/>
      <c r="J823" s="283"/>
      <c r="L823" s="37"/>
      <c r="M823" s="13"/>
      <c r="N823" s="283"/>
      <c r="O823" s="283"/>
      <c r="Q823" s="37"/>
      <c r="R823" s="128">
        <v>120045</v>
      </c>
      <c r="S823" s="14" t="s">
        <v>103</v>
      </c>
      <c r="T823" s="147">
        <v>471782</v>
      </c>
      <c r="U823" s="147">
        <v>0</v>
      </c>
    </row>
    <row r="824" spans="2:21" x14ac:dyDescent="0.3">
      <c r="B824" s="37"/>
      <c r="C824" s="13"/>
      <c r="D824" s="283"/>
      <c r="E824" s="283"/>
      <c r="G824" s="37"/>
      <c r="H824" s="13"/>
      <c r="I824" s="283"/>
      <c r="J824" s="283"/>
      <c r="L824" s="37"/>
      <c r="M824" s="13"/>
      <c r="N824" s="283"/>
      <c r="O824" s="283"/>
      <c r="Q824" s="37"/>
      <c r="R824" s="128">
        <v>120067</v>
      </c>
      <c r="S824" s="14" t="s">
        <v>129</v>
      </c>
      <c r="T824" s="147">
        <v>81504</v>
      </c>
      <c r="U824" s="147">
        <v>0</v>
      </c>
    </row>
    <row r="825" spans="2:21" x14ac:dyDescent="0.3">
      <c r="B825" s="37"/>
      <c r="C825" s="13"/>
      <c r="D825" s="283"/>
      <c r="E825" s="283"/>
      <c r="G825" s="37"/>
      <c r="H825" s="13"/>
      <c r="I825" s="283"/>
      <c r="J825" s="283"/>
      <c r="L825" s="37"/>
      <c r="M825" s="13"/>
      <c r="N825" s="283"/>
      <c r="O825" s="283"/>
      <c r="Q825" s="37"/>
      <c r="R825" s="128">
        <v>120077</v>
      </c>
      <c r="S825" s="14" t="s">
        <v>2337</v>
      </c>
      <c r="T825" s="147">
        <v>95623</v>
      </c>
      <c r="U825" s="147">
        <v>0</v>
      </c>
    </row>
    <row r="826" spans="2:21" x14ac:dyDescent="0.3">
      <c r="B826" s="37"/>
      <c r="C826" s="13"/>
      <c r="D826" s="283"/>
      <c r="E826" s="283"/>
      <c r="G826" s="37"/>
      <c r="H826" s="13"/>
      <c r="I826" s="283"/>
      <c r="J826" s="283"/>
      <c r="L826" s="37"/>
      <c r="M826" s="13"/>
      <c r="N826" s="283"/>
      <c r="O826" s="283"/>
      <c r="Q826" s="37"/>
      <c r="R826" s="128">
        <v>120080</v>
      </c>
      <c r="S826" s="14" t="s">
        <v>142</v>
      </c>
      <c r="T826" s="147">
        <v>62956</v>
      </c>
      <c r="U826" s="147">
        <v>0</v>
      </c>
    </row>
    <row r="827" spans="2:21" x14ac:dyDescent="0.3">
      <c r="B827" s="37"/>
      <c r="C827" s="13"/>
      <c r="D827" s="283"/>
      <c r="E827" s="283"/>
      <c r="G827" s="37"/>
      <c r="H827" s="13"/>
      <c r="I827" s="283"/>
      <c r="J827" s="283"/>
      <c r="L827" s="37"/>
      <c r="M827" s="13"/>
      <c r="N827" s="283"/>
      <c r="O827" s="283"/>
      <c r="Q827" s="195">
        <v>31070007</v>
      </c>
      <c r="R827" s="196"/>
      <c r="S827" s="200" t="s">
        <v>1003</v>
      </c>
      <c r="T827" s="292">
        <f>SUM(T828:T831)-SUM(U828:U831)</f>
        <v>3333595.9</v>
      </c>
      <c r="U827" s="194">
        <v>0</v>
      </c>
    </row>
    <row r="828" spans="2:21" x14ac:dyDescent="0.3">
      <c r="B828" s="37"/>
      <c r="C828" s="13"/>
      <c r="D828" s="283"/>
      <c r="E828" s="283"/>
      <c r="G828" s="37"/>
      <c r="H828" s="13"/>
      <c r="I828" s="283"/>
      <c r="J828" s="283"/>
      <c r="L828" s="37"/>
      <c r="M828" s="13"/>
      <c r="N828" s="283"/>
      <c r="O828" s="283"/>
      <c r="Q828" s="37"/>
      <c r="R828" s="128">
        <v>310020</v>
      </c>
      <c r="S828" s="14" t="s">
        <v>107</v>
      </c>
      <c r="T828" s="147">
        <v>725768.58</v>
      </c>
      <c r="U828" s="147">
        <v>0</v>
      </c>
    </row>
    <row r="829" spans="2:21" x14ac:dyDescent="0.3">
      <c r="B829" s="37"/>
      <c r="C829" s="13"/>
      <c r="D829" s="283"/>
      <c r="E829" s="283"/>
      <c r="G829" s="37"/>
      <c r="H829" s="13"/>
      <c r="I829" s="283"/>
      <c r="J829" s="283"/>
      <c r="L829" s="37"/>
      <c r="M829" s="13"/>
      <c r="N829" s="283"/>
      <c r="O829" s="283"/>
      <c r="Q829" s="37"/>
      <c r="R829" s="128">
        <v>310077</v>
      </c>
      <c r="S829" s="14" t="s">
        <v>3303</v>
      </c>
      <c r="T829" s="147">
        <v>54921.020000000004</v>
      </c>
      <c r="U829" s="147">
        <v>0</v>
      </c>
    </row>
    <row r="830" spans="2:21" x14ac:dyDescent="0.3">
      <c r="B830" s="37"/>
      <c r="C830" s="13"/>
      <c r="D830" s="283"/>
      <c r="E830" s="283"/>
      <c r="G830" s="37"/>
      <c r="H830" s="13"/>
      <c r="I830" s="283"/>
      <c r="J830" s="283"/>
      <c r="L830" s="37"/>
      <c r="M830" s="13"/>
      <c r="N830" s="283"/>
      <c r="O830" s="283"/>
      <c r="Q830" s="37"/>
      <c r="R830" s="128">
        <v>310042</v>
      </c>
      <c r="S830" s="14" t="s">
        <v>863</v>
      </c>
      <c r="T830" s="147">
        <v>2550816.2999999998</v>
      </c>
      <c r="U830" s="147">
        <v>0</v>
      </c>
    </row>
    <row r="831" spans="2:21" x14ac:dyDescent="0.3">
      <c r="B831" s="37"/>
      <c r="C831" s="13"/>
      <c r="D831" s="283"/>
      <c r="E831" s="283"/>
      <c r="G831" s="37"/>
      <c r="H831" s="13"/>
      <c r="I831" s="283"/>
      <c r="J831" s="283"/>
      <c r="L831" s="37"/>
      <c r="M831" s="13"/>
      <c r="N831" s="283"/>
      <c r="O831" s="283"/>
      <c r="Q831" s="37"/>
      <c r="R831" s="128">
        <v>310045</v>
      </c>
      <c r="S831" s="14" t="s">
        <v>1930</v>
      </c>
      <c r="T831" s="147">
        <v>2090</v>
      </c>
      <c r="U831" s="147">
        <v>0</v>
      </c>
    </row>
    <row r="832" spans="2:21" x14ac:dyDescent="0.3">
      <c r="B832" s="37"/>
      <c r="C832" s="13"/>
      <c r="D832" s="283"/>
      <c r="E832" s="283"/>
      <c r="G832" s="37"/>
      <c r="H832" s="13"/>
      <c r="I832" s="283"/>
      <c r="J832" s="283"/>
      <c r="L832" s="37"/>
      <c r="M832" s="13"/>
      <c r="N832" s="283"/>
      <c r="O832" s="283"/>
      <c r="Q832" s="37"/>
      <c r="R832" s="128"/>
      <c r="S832" s="15"/>
      <c r="T832" s="147"/>
      <c r="U832" s="147"/>
    </row>
    <row r="833" spans="2:21" x14ac:dyDescent="0.3">
      <c r="B833" s="37"/>
      <c r="C833" s="13"/>
      <c r="D833" s="283"/>
      <c r="E833" s="283"/>
      <c r="G833" s="37"/>
      <c r="H833" s="13"/>
      <c r="I833" s="283"/>
      <c r="J833" s="283"/>
      <c r="K833">
        <v>3108</v>
      </c>
      <c r="L833" s="195">
        <v>3108</v>
      </c>
      <c r="M833" s="197" t="s">
        <v>2030</v>
      </c>
      <c r="N833" s="288">
        <f>(+T833+T834+T835+T836+T837+T838+T839+T840+T841+T842+T843+T844)</f>
        <v>0</v>
      </c>
      <c r="O833" s="288">
        <v>0</v>
      </c>
      <c r="Q833" s="195">
        <v>31080001</v>
      </c>
      <c r="R833" s="196"/>
      <c r="S833" s="200" t="s">
        <v>982</v>
      </c>
      <c r="T833" s="194">
        <v>0</v>
      </c>
      <c r="U833" s="194">
        <v>0</v>
      </c>
    </row>
    <row r="834" spans="2:21" x14ac:dyDescent="0.3">
      <c r="B834" s="37"/>
      <c r="C834" s="13"/>
      <c r="D834" s="283"/>
      <c r="E834" s="283"/>
      <c r="G834" s="37"/>
      <c r="H834" s="13"/>
      <c r="I834" s="283"/>
      <c r="J834" s="283"/>
      <c r="L834" s="37"/>
      <c r="M834" s="13"/>
      <c r="N834" s="283"/>
      <c r="O834" s="283"/>
      <c r="Q834" s="195">
        <v>31080002</v>
      </c>
      <c r="R834" s="196"/>
      <c r="S834" s="200" t="s">
        <v>983</v>
      </c>
      <c r="T834" s="194">
        <v>0</v>
      </c>
      <c r="U834" s="194">
        <v>0</v>
      </c>
    </row>
    <row r="835" spans="2:21" x14ac:dyDescent="0.3">
      <c r="B835" s="37"/>
      <c r="C835" s="13"/>
      <c r="D835" s="283"/>
      <c r="E835" s="283"/>
      <c r="G835" s="37"/>
      <c r="H835" s="13"/>
      <c r="I835" s="283"/>
      <c r="J835" s="283"/>
      <c r="L835" s="37"/>
      <c r="M835" s="13"/>
      <c r="N835" s="283"/>
      <c r="O835" s="283"/>
      <c r="Q835" s="195">
        <v>31080003</v>
      </c>
      <c r="R835" s="196"/>
      <c r="S835" s="200" t="s">
        <v>984</v>
      </c>
      <c r="T835" s="194">
        <v>0</v>
      </c>
      <c r="U835" s="194">
        <v>0</v>
      </c>
    </row>
    <row r="836" spans="2:21" x14ac:dyDescent="0.3">
      <c r="B836" s="37"/>
      <c r="C836" s="13"/>
      <c r="D836" s="283"/>
      <c r="E836" s="283"/>
      <c r="G836" s="37"/>
      <c r="H836" s="13"/>
      <c r="I836" s="283"/>
      <c r="J836" s="283"/>
      <c r="L836" s="37"/>
      <c r="M836" s="13"/>
      <c r="N836" s="283"/>
      <c r="O836" s="283"/>
      <c r="Q836" s="195">
        <v>31080004</v>
      </c>
      <c r="R836" s="196"/>
      <c r="S836" s="200" t="s">
        <v>985</v>
      </c>
      <c r="T836" s="194">
        <v>0</v>
      </c>
      <c r="U836" s="194">
        <v>0</v>
      </c>
    </row>
    <row r="837" spans="2:21" x14ac:dyDescent="0.3">
      <c r="B837" s="37"/>
      <c r="C837" s="13"/>
      <c r="D837" s="283"/>
      <c r="E837" s="283"/>
      <c r="G837" s="37"/>
      <c r="H837" s="13"/>
      <c r="I837" s="283"/>
      <c r="J837" s="283"/>
      <c r="L837" s="37"/>
      <c r="M837" s="13"/>
      <c r="N837" s="283"/>
      <c r="O837" s="283"/>
      <c r="Q837" s="195">
        <v>31080005</v>
      </c>
      <c r="R837" s="196"/>
      <c r="S837" s="200" t="s">
        <v>986</v>
      </c>
      <c r="T837" s="194">
        <v>0</v>
      </c>
      <c r="U837" s="194">
        <v>0</v>
      </c>
    </row>
    <row r="838" spans="2:21" x14ac:dyDescent="0.3">
      <c r="B838" s="37"/>
      <c r="C838" s="13"/>
      <c r="D838" s="283"/>
      <c r="E838" s="283"/>
      <c r="G838" s="37"/>
      <c r="H838" s="13"/>
      <c r="I838" s="283"/>
      <c r="J838" s="283"/>
      <c r="L838" s="37"/>
      <c r="M838" s="13"/>
      <c r="N838" s="283"/>
      <c r="O838" s="283"/>
      <c r="Q838" s="195">
        <v>31080006</v>
      </c>
      <c r="R838" s="196"/>
      <c r="S838" s="200" t="s">
        <v>987</v>
      </c>
      <c r="T838" s="194">
        <v>0</v>
      </c>
      <c r="U838" s="194">
        <v>0</v>
      </c>
    </row>
    <row r="839" spans="2:21" x14ac:dyDescent="0.3">
      <c r="B839" s="37"/>
      <c r="C839" s="13"/>
      <c r="D839" s="283"/>
      <c r="E839" s="283"/>
      <c r="G839" s="37"/>
      <c r="H839" s="13"/>
      <c r="I839" s="283"/>
      <c r="J839" s="283"/>
      <c r="L839" s="37"/>
      <c r="M839" s="13"/>
      <c r="N839" s="283"/>
      <c r="O839" s="283"/>
      <c r="Q839" s="195">
        <v>31080007</v>
      </c>
      <c r="R839" s="196"/>
      <c r="S839" s="200" t="s">
        <v>988</v>
      </c>
      <c r="T839" s="194">
        <v>0</v>
      </c>
      <c r="U839" s="194">
        <v>0</v>
      </c>
    </row>
    <row r="840" spans="2:21" x14ac:dyDescent="0.3">
      <c r="B840" s="37"/>
      <c r="C840" s="13"/>
      <c r="D840" s="283"/>
      <c r="E840" s="283"/>
      <c r="G840" s="37"/>
      <c r="H840" s="13"/>
      <c r="I840" s="283"/>
      <c r="J840" s="283"/>
      <c r="L840" s="37"/>
      <c r="M840" s="13"/>
      <c r="N840" s="283"/>
      <c r="O840" s="283"/>
      <c r="Q840" s="195">
        <v>31080008</v>
      </c>
      <c r="R840" s="196"/>
      <c r="S840" s="200" t="s">
        <v>991</v>
      </c>
      <c r="T840" s="194">
        <v>0</v>
      </c>
      <c r="U840" s="194">
        <v>0</v>
      </c>
    </row>
    <row r="841" spans="2:21" x14ac:dyDescent="0.3">
      <c r="B841" s="37"/>
      <c r="C841" s="13"/>
      <c r="D841" s="283"/>
      <c r="E841" s="283"/>
      <c r="G841" s="37"/>
      <c r="H841" s="13"/>
      <c r="I841" s="283"/>
      <c r="J841" s="283"/>
      <c r="L841" s="37"/>
      <c r="M841" s="13"/>
      <c r="N841" s="283"/>
      <c r="O841" s="283"/>
      <c r="Q841" s="195">
        <v>31080009</v>
      </c>
      <c r="R841" s="196"/>
      <c r="S841" s="200" t="s">
        <v>989</v>
      </c>
      <c r="T841" s="194">
        <v>0</v>
      </c>
      <c r="U841" s="194">
        <v>0</v>
      </c>
    </row>
    <row r="842" spans="2:21" x14ac:dyDescent="0.3">
      <c r="B842" s="37"/>
      <c r="C842" s="13"/>
      <c r="D842" s="283"/>
      <c r="E842" s="283"/>
      <c r="G842" s="37"/>
      <c r="H842" s="13"/>
      <c r="I842" s="283"/>
      <c r="J842" s="283"/>
      <c r="L842" s="37"/>
      <c r="M842" s="13"/>
      <c r="N842" s="283"/>
      <c r="O842" s="283"/>
      <c r="Q842" s="195">
        <v>31080010</v>
      </c>
      <c r="R842" s="196"/>
      <c r="S842" s="200" t="s">
        <v>992</v>
      </c>
      <c r="T842" s="194">
        <v>0</v>
      </c>
      <c r="U842" s="194">
        <v>0</v>
      </c>
    </row>
    <row r="843" spans="2:21" x14ac:dyDescent="0.3">
      <c r="B843" s="37"/>
      <c r="C843" s="13"/>
      <c r="D843" s="283"/>
      <c r="E843" s="283"/>
      <c r="G843" s="37"/>
      <c r="H843" s="13"/>
      <c r="I843" s="283"/>
      <c r="J843" s="283"/>
      <c r="L843" s="37"/>
      <c r="M843" s="13"/>
      <c r="N843" s="283"/>
      <c r="O843" s="283"/>
      <c r="Q843" s="195">
        <v>31080011</v>
      </c>
      <c r="R843" s="196"/>
      <c r="S843" s="200" t="s">
        <v>2059</v>
      </c>
      <c r="T843" s="194">
        <v>0</v>
      </c>
      <c r="U843" s="194">
        <v>0</v>
      </c>
    </row>
    <row r="844" spans="2:21" x14ac:dyDescent="0.3">
      <c r="B844" s="37"/>
      <c r="C844" s="13"/>
      <c r="D844" s="283"/>
      <c r="E844" s="283"/>
      <c r="G844" s="37"/>
      <c r="H844" s="13"/>
      <c r="I844" s="283"/>
      <c r="J844" s="283"/>
      <c r="L844" s="37"/>
      <c r="M844" s="13"/>
      <c r="N844" s="283"/>
      <c r="O844" s="283"/>
      <c r="Q844" s="195">
        <v>31080012</v>
      </c>
      <c r="R844" s="196"/>
      <c r="S844" s="200" t="s">
        <v>990</v>
      </c>
      <c r="T844" s="194">
        <v>0</v>
      </c>
      <c r="U844" s="194">
        <v>0</v>
      </c>
    </row>
    <row r="845" spans="2:21" x14ac:dyDescent="0.3">
      <c r="B845" s="37"/>
      <c r="C845" s="13"/>
      <c r="D845" s="283"/>
      <c r="E845" s="283"/>
      <c r="G845" s="37"/>
      <c r="H845" s="13"/>
      <c r="I845" s="283"/>
      <c r="J845" s="283"/>
      <c r="L845" s="37"/>
      <c r="M845" s="13"/>
      <c r="N845" s="283"/>
      <c r="O845" s="283"/>
      <c r="Q845" s="37"/>
      <c r="R845" s="128"/>
      <c r="S845" s="13"/>
      <c r="T845" s="147"/>
      <c r="U845" s="147"/>
    </row>
    <row r="846" spans="2:21" s="338" customFormat="1" x14ac:dyDescent="0.3">
      <c r="B846" s="335"/>
      <c r="C846" s="336"/>
      <c r="D846" s="337"/>
      <c r="E846" s="337"/>
      <c r="G846" s="335"/>
      <c r="H846" s="336"/>
      <c r="I846" s="337"/>
      <c r="J846" s="337"/>
      <c r="K846" s="338">
        <v>3109</v>
      </c>
      <c r="L846" s="339">
        <v>3109</v>
      </c>
      <c r="M846" s="341" t="s">
        <v>899</v>
      </c>
      <c r="N846" s="343">
        <f>T846+T847+T888</f>
        <v>135944</v>
      </c>
      <c r="O846" s="343">
        <v>0</v>
      </c>
      <c r="Q846" s="339">
        <v>31090001</v>
      </c>
      <c r="R846" s="340"/>
      <c r="S846" s="341" t="s">
        <v>899</v>
      </c>
      <c r="T846" s="342">
        <v>0</v>
      </c>
      <c r="U846" s="342">
        <v>0</v>
      </c>
    </row>
    <row r="847" spans="2:21" x14ac:dyDescent="0.3">
      <c r="B847" s="37"/>
      <c r="C847" s="13"/>
      <c r="D847" s="283"/>
      <c r="E847" s="283"/>
      <c r="G847" s="37"/>
      <c r="H847" s="13"/>
      <c r="I847" s="283"/>
      <c r="J847" s="283"/>
      <c r="L847" s="37"/>
      <c r="M847" s="13"/>
      <c r="N847" s="283"/>
      <c r="O847" s="283"/>
      <c r="Q847" s="348">
        <v>31090002</v>
      </c>
      <c r="R847" s="196"/>
      <c r="S847" s="197" t="s">
        <v>1019</v>
      </c>
      <c r="T847" s="194">
        <f>SUM(T848:T887)-SUM(U848:U887)</f>
        <v>102944</v>
      </c>
      <c r="U847" s="194">
        <v>0</v>
      </c>
    </row>
    <row r="848" spans="2:21" x14ac:dyDescent="0.3">
      <c r="B848" s="37"/>
      <c r="C848" s="13"/>
      <c r="D848" s="283"/>
      <c r="E848" s="283"/>
      <c r="G848" s="37"/>
      <c r="H848" s="13"/>
      <c r="I848" s="283"/>
      <c r="J848" s="283"/>
      <c r="L848" s="37"/>
      <c r="M848" s="13"/>
      <c r="N848" s="283"/>
      <c r="O848" s="283"/>
      <c r="Q848" s="37"/>
      <c r="R848" s="128" t="s">
        <v>1931</v>
      </c>
      <c r="S848" s="13" t="s">
        <v>1932</v>
      </c>
      <c r="T848" s="147">
        <v>5000</v>
      </c>
      <c r="U848" s="147">
        <v>0</v>
      </c>
    </row>
    <row r="849" spans="2:21" x14ac:dyDescent="0.3">
      <c r="B849" s="37"/>
      <c r="C849" s="13"/>
      <c r="D849" s="283"/>
      <c r="E849" s="283"/>
      <c r="G849" s="37"/>
      <c r="H849" s="13"/>
      <c r="I849" s="283"/>
      <c r="J849" s="283"/>
      <c r="L849" s="37"/>
      <c r="M849" s="13"/>
      <c r="N849" s="283"/>
      <c r="O849" s="283"/>
      <c r="Q849" s="37"/>
      <c r="R849" s="128" t="s">
        <v>1934</v>
      </c>
      <c r="S849" s="13" t="s">
        <v>2196</v>
      </c>
      <c r="T849" s="147">
        <v>5000</v>
      </c>
      <c r="U849" s="147">
        <v>0</v>
      </c>
    </row>
    <row r="850" spans="2:21" x14ac:dyDescent="0.3">
      <c r="B850" s="37"/>
      <c r="C850" s="13"/>
      <c r="D850" s="283"/>
      <c r="E850" s="283"/>
      <c r="G850" s="37"/>
      <c r="H850" s="13"/>
      <c r="I850" s="283"/>
      <c r="J850" s="283"/>
      <c r="L850" s="37"/>
      <c r="M850" s="13"/>
      <c r="N850" s="283"/>
      <c r="O850" s="283"/>
      <c r="Q850" s="37"/>
      <c r="R850" s="128" t="s">
        <v>2138</v>
      </c>
      <c r="S850" s="13" t="s">
        <v>7</v>
      </c>
      <c r="T850" s="147">
        <v>49950</v>
      </c>
      <c r="U850" s="147">
        <v>0</v>
      </c>
    </row>
    <row r="851" spans="2:21" x14ac:dyDescent="0.3">
      <c r="B851" s="37"/>
      <c r="C851" s="13"/>
      <c r="D851" s="283"/>
      <c r="E851" s="283"/>
      <c r="G851" s="37"/>
      <c r="H851" s="13"/>
      <c r="I851" s="283"/>
      <c r="J851" s="283"/>
      <c r="L851" s="37"/>
      <c r="M851" s="13"/>
      <c r="N851" s="283"/>
      <c r="O851" s="283"/>
      <c r="Q851" s="37"/>
      <c r="R851" s="128" t="s">
        <v>2154</v>
      </c>
      <c r="S851" s="13" t="s">
        <v>2155</v>
      </c>
      <c r="T851" s="147">
        <v>25000</v>
      </c>
      <c r="U851" s="147">
        <v>0</v>
      </c>
    </row>
    <row r="852" spans="2:21" x14ac:dyDescent="0.3">
      <c r="B852" s="37"/>
      <c r="C852" s="13"/>
      <c r="D852" s="283"/>
      <c r="E852" s="283"/>
      <c r="G852" s="37"/>
      <c r="H852" s="13"/>
      <c r="I852" s="283"/>
      <c r="J852" s="283"/>
      <c r="L852" s="37"/>
      <c r="M852" s="13"/>
      <c r="N852" s="283"/>
      <c r="O852" s="283"/>
      <c r="Q852" s="37"/>
      <c r="R852" s="128" t="s">
        <v>2156</v>
      </c>
      <c r="S852" s="13" t="s">
        <v>2157</v>
      </c>
      <c r="T852" s="147">
        <v>0</v>
      </c>
      <c r="U852" s="147">
        <v>150306</v>
      </c>
    </row>
    <row r="853" spans="2:21" x14ac:dyDescent="0.3">
      <c r="B853" s="37"/>
      <c r="C853" s="13"/>
      <c r="D853" s="283"/>
      <c r="E853" s="283"/>
      <c r="G853" s="37"/>
      <c r="H853" s="13"/>
      <c r="I853" s="283"/>
      <c r="J853" s="283"/>
      <c r="L853" s="37"/>
      <c r="M853" s="13"/>
      <c r="N853" s="283"/>
      <c r="O853" s="283"/>
      <c r="Q853" s="37"/>
      <c r="R853" s="128" t="s">
        <v>2199</v>
      </c>
      <c r="S853" s="13" t="s">
        <v>2200</v>
      </c>
      <c r="T853" s="147">
        <v>4000</v>
      </c>
      <c r="U853" s="147">
        <v>0</v>
      </c>
    </row>
    <row r="854" spans="2:21" x14ac:dyDescent="0.3">
      <c r="B854" s="37"/>
      <c r="C854" s="13"/>
      <c r="D854" s="283"/>
      <c r="E854" s="283"/>
      <c r="G854" s="37"/>
      <c r="H854" s="13"/>
      <c r="I854" s="283"/>
      <c r="J854" s="283"/>
      <c r="L854" s="37"/>
      <c r="M854" s="13"/>
      <c r="N854" s="283"/>
      <c r="O854" s="283"/>
      <c r="Q854" s="37"/>
      <c r="R854" s="128" t="s">
        <v>2201</v>
      </c>
      <c r="S854" s="13" t="s">
        <v>2202</v>
      </c>
      <c r="T854" s="147">
        <v>4000</v>
      </c>
      <c r="U854" s="147">
        <v>0</v>
      </c>
    </row>
    <row r="855" spans="2:21" x14ac:dyDescent="0.3">
      <c r="B855" s="37"/>
      <c r="C855" s="13"/>
      <c r="D855" s="283"/>
      <c r="E855" s="283"/>
      <c r="G855" s="37"/>
      <c r="H855" s="13"/>
      <c r="I855" s="283"/>
      <c r="J855" s="283"/>
      <c r="L855" s="37"/>
      <c r="M855" s="13"/>
      <c r="N855" s="283"/>
      <c r="O855" s="283"/>
      <c r="Q855" s="37"/>
      <c r="R855" s="128" t="s">
        <v>2205</v>
      </c>
      <c r="S855" s="13" t="s">
        <v>2206</v>
      </c>
      <c r="T855" s="147">
        <v>8000</v>
      </c>
      <c r="U855" s="147">
        <v>0</v>
      </c>
    </row>
    <row r="856" spans="2:21" x14ac:dyDescent="0.3">
      <c r="B856" s="37"/>
      <c r="C856" s="13"/>
      <c r="D856" s="283"/>
      <c r="E856" s="283"/>
      <c r="G856" s="37"/>
      <c r="H856" s="13"/>
      <c r="I856" s="283"/>
      <c r="J856" s="283"/>
      <c r="L856" s="37"/>
      <c r="M856" s="13"/>
      <c r="N856" s="283"/>
      <c r="O856" s="283"/>
      <c r="Q856" s="37"/>
      <c r="R856" s="128" t="s">
        <v>2207</v>
      </c>
      <c r="S856" s="13" t="s">
        <v>2208</v>
      </c>
      <c r="T856" s="147">
        <v>9000</v>
      </c>
      <c r="U856" s="147">
        <v>0</v>
      </c>
    </row>
    <row r="857" spans="2:21" x14ac:dyDescent="0.3">
      <c r="B857" s="37"/>
      <c r="C857" s="13"/>
      <c r="D857" s="283"/>
      <c r="E857" s="283"/>
      <c r="G857" s="37"/>
      <c r="H857" s="13"/>
      <c r="I857" s="283"/>
      <c r="J857" s="283"/>
      <c r="L857" s="37"/>
      <c r="M857" s="13"/>
      <c r="N857" s="283"/>
      <c r="O857" s="283"/>
      <c r="Q857" s="37"/>
      <c r="R857" s="128" t="s">
        <v>2209</v>
      </c>
      <c r="S857" s="13" t="s">
        <v>2210</v>
      </c>
      <c r="T857" s="147">
        <v>8000</v>
      </c>
      <c r="U857" s="147">
        <v>0</v>
      </c>
    </row>
    <row r="858" spans="2:21" x14ac:dyDescent="0.3">
      <c r="B858" s="37"/>
      <c r="C858" s="13"/>
      <c r="D858" s="283"/>
      <c r="E858" s="283"/>
      <c r="G858" s="37"/>
      <c r="H858" s="13"/>
      <c r="I858" s="283"/>
      <c r="J858" s="283"/>
      <c r="L858" s="37"/>
      <c r="M858" s="13"/>
      <c r="N858" s="283"/>
      <c r="O858" s="283"/>
      <c r="Q858" s="37"/>
      <c r="R858" s="128" t="s">
        <v>2340</v>
      </c>
      <c r="S858" s="13" t="s">
        <v>2159</v>
      </c>
      <c r="T858" s="147">
        <v>4000</v>
      </c>
      <c r="U858" s="147">
        <v>0</v>
      </c>
    </row>
    <row r="859" spans="2:21" x14ac:dyDescent="0.3">
      <c r="B859" s="37"/>
      <c r="C859" s="13"/>
      <c r="D859" s="283"/>
      <c r="E859" s="283"/>
      <c r="G859" s="37"/>
      <c r="H859" s="13"/>
      <c r="I859" s="283"/>
      <c r="J859" s="283"/>
      <c r="L859" s="37"/>
      <c r="M859" s="13"/>
      <c r="N859" s="283"/>
      <c r="O859" s="283"/>
      <c r="Q859" s="37"/>
      <c r="R859" s="128" t="s">
        <v>2160</v>
      </c>
      <c r="S859" s="13" t="s">
        <v>2161</v>
      </c>
      <c r="T859" s="147">
        <v>3000</v>
      </c>
      <c r="U859" s="147">
        <v>0</v>
      </c>
    </row>
    <row r="860" spans="2:21" x14ac:dyDescent="0.3">
      <c r="B860" s="37"/>
      <c r="C860" s="13"/>
      <c r="D860" s="283"/>
      <c r="E860" s="283"/>
      <c r="G860" s="37"/>
      <c r="H860" s="13"/>
      <c r="I860" s="283"/>
      <c r="J860" s="283"/>
      <c r="L860" s="37"/>
      <c r="M860" s="13"/>
      <c r="N860" s="283"/>
      <c r="O860" s="283"/>
      <c r="Q860" s="37"/>
      <c r="R860" s="128" t="s">
        <v>2162</v>
      </c>
      <c r="S860" s="13" t="s">
        <v>2163</v>
      </c>
      <c r="T860" s="147">
        <v>7000</v>
      </c>
      <c r="U860" s="147">
        <v>0</v>
      </c>
    </row>
    <row r="861" spans="2:21" x14ac:dyDescent="0.3">
      <c r="B861" s="37"/>
      <c r="C861" s="13"/>
      <c r="D861" s="283"/>
      <c r="E861" s="283"/>
      <c r="G861" s="37"/>
      <c r="H861" s="13"/>
      <c r="I861" s="283"/>
      <c r="J861" s="283"/>
      <c r="L861" s="37"/>
      <c r="M861" s="13"/>
      <c r="N861" s="283"/>
      <c r="O861" s="283"/>
      <c r="Q861" s="37"/>
      <c r="R861" s="128" t="s">
        <v>2165</v>
      </c>
      <c r="S861" s="13" t="s">
        <v>2166</v>
      </c>
      <c r="T861" s="147">
        <v>5000</v>
      </c>
      <c r="U861" s="147">
        <v>0</v>
      </c>
    </row>
    <row r="862" spans="2:21" x14ac:dyDescent="0.3">
      <c r="B862" s="37"/>
      <c r="C862" s="13"/>
      <c r="D862" s="283"/>
      <c r="E862" s="283"/>
      <c r="G862" s="37"/>
      <c r="H862" s="13"/>
      <c r="I862" s="283"/>
      <c r="J862" s="283"/>
      <c r="L862" s="37"/>
      <c r="M862" s="13"/>
      <c r="N862" s="283"/>
      <c r="O862" s="283"/>
      <c r="Q862" s="37"/>
      <c r="R862" s="128" t="s">
        <v>2168</v>
      </c>
      <c r="S862" s="13" t="s">
        <v>2169</v>
      </c>
      <c r="T862" s="147">
        <v>5000</v>
      </c>
      <c r="U862" s="147">
        <v>0</v>
      </c>
    </row>
    <row r="863" spans="2:21" x14ac:dyDescent="0.3">
      <c r="B863" s="37"/>
      <c r="C863" s="13"/>
      <c r="D863" s="283"/>
      <c r="E863" s="283"/>
      <c r="G863" s="37"/>
      <c r="H863" s="13"/>
      <c r="I863" s="283"/>
      <c r="J863" s="283"/>
      <c r="L863" s="37"/>
      <c r="M863" s="13"/>
      <c r="N863" s="283"/>
      <c r="O863" s="283"/>
      <c r="Q863" s="37"/>
      <c r="R863" s="128" t="s">
        <v>3313</v>
      </c>
      <c r="S863" s="13" t="s">
        <v>2211</v>
      </c>
      <c r="T863" s="147">
        <v>3000</v>
      </c>
      <c r="U863" s="147">
        <v>0</v>
      </c>
    </row>
    <row r="864" spans="2:21" x14ac:dyDescent="0.3">
      <c r="B864" s="37"/>
      <c r="C864" s="13"/>
      <c r="D864" s="283"/>
      <c r="E864" s="283"/>
      <c r="G864" s="37"/>
      <c r="H864" s="13"/>
      <c r="I864" s="283"/>
      <c r="J864" s="283"/>
      <c r="L864" s="37"/>
      <c r="M864" s="13"/>
      <c r="N864" s="283"/>
      <c r="O864" s="283"/>
      <c r="Q864" s="37"/>
      <c r="R864" s="128" t="s">
        <v>2212</v>
      </c>
      <c r="S864" s="13" t="s">
        <v>2213</v>
      </c>
      <c r="T864" s="147">
        <v>6000</v>
      </c>
      <c r="U864" s="147">
        <v>0</v>
      </c>
    </row>
    <row r="865" spans="2:21" x14ac:dyDescent="0.3">
      <c r="B865" s="37"/>
      <c r="C865" s="13"/>
      <c r="D865" s="283"/>
      <c r="E865" s="283"/>
      <c r="G865" s="37"/>
      <c r="H865" s="13"/>
      <c r="I865" s="283"/>
      <c r="J865" s="283"/>
      <c r="L865" s="37"/>
      <c r="M865" s="13"/>
      <c r="N865" s="283"/>
      <c r="O865" s="283"/>
      <c r="Q865" s="37"/>
      <c r="R865" s="128" t="s">
        <v>2214</v>
      </c>
      <c r="S865" s="13" t="s">
        <v>2215</v>
      </c>
      <c r="T865" s="147">
        <v>9000</v>
      </c>
      <c r="U865" s="147">
        <v>0</v>
      </c>
    </row>
    <row r="866" spans="2:21" x14ac:dyDescent="0.3">
      <c r="B866" s="37"/>
      <c r="C866" s="13"/>
      <c r="D866" s="283"/>
      <c r="E866" s="283"/>
      <c r="G866" s="37"/>
      <c r="H866" s="13"/>
      <c r="I866" s="283"/>
      <c r="J866" s="283"/>
      <c r="L866" s="37"/>
      <c r="M866" s="13"/>
      <c r="N866" s="283"/>
      <c r="O866" s="283"/>
      <c r="Q866" s="37"/>
      <c r="R866" s="128" t="s">
        <v>1985</v>
      </c>
      <c r="S866" s="13" t="s">
        <v>2197</v>
      </c>
      <c r="T866" s="147">
        <v>9000</v>
      </c>
      <c r="U866" s="147">
        <v>0</v>
      </c>
    </row>
    <row r="867" spans="2:21" x14ac:dyDescent="0.3">
      <c r="B867" s="37"/>
      <c r="C867" s="13"/>
      <c r="D867" s="283"/>
      <c r="E867" s="283"/>
      <c r="G867" s="37"/>
      <c r="H867" s="13"/>
      <c r="I867" s="283"/>
      <c r="J867" s="283"/>
      <c r="L867" s="37"/>
      <c r="M867" s="13"/>
      <c r="N867" s="283"/>
      <c r="O867" s="283"/>
      <c r="Q867" s="37"/>
      <c r="R867" s="128" t="s">
        <v>1895</v>
      </c>
      <c r="S867" s="13" t="s">
        <v>2174</v>
      </c>
      <c r="T867" s="147">
        <v>4000</v>
      </c>
      <c r="U867" s="147">
        <v>0</v>
      </c>
    </row>
    <row r="868" spans="2:21" x14ac:dyDescent="0.3">
      <c r="B868" s="37"/>
      <c r="C868" s="13"/>
      <c r="D868" s="283"/>
      <c r="E868" s="283"/>
      <c r="G868" s="37"/>
      <c r="H868" s="13"/>
      <c r="I868" s="283"/>
      <c r="J868" s="283"/>
      <c r="L868" s="37"/>
      <c r="M868" s="13"/>
      <c r="N868" s="283"/>
      <c r="O868" s="283"/>
      <c r="Q868" s="37"/>
      <c r="R868" s="128" t="s">
        <v>2177</v>
      </c>
      <c r="S868" s="13" t="s">
        <v>2341</v>
      </c>
      <c r="T868" s="147">
        <v>4000</v>
      </c>
      <c r="U868" s="147">
        <v>0</v>
      </c>
    </row>
    <row r="869" spans="2:21" x14ac:dyDescent="0.3">
      <c r="B869" s="37"/>
      <c r="C869" s="13"/>
      <c r="D869" s="283"/>
      <c r="E869" s="283"/>
      <c r="G869" s="37"/>
      <c r="H869" s="13"/>
      <c r="I869" s="283"/>
      <c r="J869" s="283"/>
      <c r="L869" s="37"/>
      <c r="M869" s="13"/>
      <c r="N869" s="283"/>
      <c r="O869" s="283"/>
      <c r="Q869" s="37"/>
      <c r="R869" s="128" t="s">
        <v>2183</v>
      </c>
      <c r="S869" s="13" t="s">
        <v>2182</v>
      </c>
      <c r="T869" s="147">
        <v>8000</v>
      </c>
      <c r="U869" s="147">
        <v>0</v>
      </c>
    </row>
    <row r="870" spans="2:21" x14ac:dyDescent="0.3">
      <c r="B870" s="37"/>
      <c r="C870" s="13"/>
      <c r="D870" s="283"/>
      <c r="E870" s="283"/>
      <c r="G870" s="37"/>
      <c r="H870" s="13"/>
      <c r="I870" s="283"/>
      <c r="J870" s="283"/>
      <c r="L870" s="37"/>
      <c r="M870" s="13"/>
      <c r="N870" s="283"/>
      <c r="O870" s="283"/>
      <c r="Q870" s="37"/>
      <c r="R870" s="128" t="s">
        <v>2185</v>
      </c>
      <c r="S870" s="13" t="s">
        <v>2184</v>
      </c>
      <c r="T870" s="147">
        <v>4000</v>
      </c>
      <c r="U870" s="147">
        <v>0</v>
      </c>
    </row>
    <row r="871" spans="2:21" x14ac:dyDescent="0.3">
      <c r="B871" s="37"/>
      <c r="C871" s="13"/>
      <c r="D871" s="283"/>
      <c r="E871" s="283"/>
      <c r="G871" s="37"/>
      <c r="H871" s="13"/>
      <c r="I871" s="283"/>
      <c r="J871" s="283"/>
      <c r="L871" s="37"/>
      <c r="M871" s="13"/>
      <c r="N871" s="283"/>
      <c r="O871" s="283"/>
      <c r="Q871" s="37"/>
      <c r="R871" s="128" t="s">
        <v>2187</v>
      </c>
      <c r="S871" s="13" t="s">
        <v>2186</v>
      </c>
      <c r="T871" s="147">
        <v>9000</v>
      </c>
      <c r="U871" s="147">
        <v>0</v>
      </c>
    </row>
    <row r="872" spans="2:21" x14ac:dyDescent="0.3">
      <c r="B872" s="37"/>
      <c r="C872" s="13"/>
      <c r="D872" s="283"/>
      <c r="E872" s="283"/>
      <c r="G872" s="37"/>
      <c r="H872" s="13"/>
      <c r="I872" s="283"/>
      <c r="J872" s="283"/>
      <c r="L872" s="37"/>
      <c r="M872" s="13"/>
      <c r="N872" s="283"/>
      <c r="O872" s="283"/>
      <c r="Q872" s="37"/>
      <c r="R872" s="128" t="s">
        <v>2342</v>
      </c>
      <c r="S872" s="13" t="s">
        <v>2188</v>
      </c>
      <c r="T872" s="147">
        <v>5000</v>
      </c>
      <c r="U872" s="147">
        <v>0</v>
      </c>
    </row>
    <row r="873" spans="2:21" x14ac:dyDescent="0.3">
      <c r="B873" s="37"/>
      <c r="C873" s="13"/>
      <c r="D873" s="283"/>
      <c r="E873" s="283"/>
      <c r="G873" s="37"/>
      <c r="H873" s="13"/>
      <c r="I873" s="283"/>
      <c r="J873" s="283"/>
      <c r="L873" s="37"/>
      <c r="M873" s="13"/>
      <c r="N873" s="283"/>
      <c r="O873" s="283"/>
      <c r="Q873" s="37"/>
      <c r="R873" s="128" t="s">
        <v>2190</v>
      </c>
      <c r="S873" s="13" t="s">
        <v>2189</v>
      </c>
      <c r="T873" s="147">
        <v>6000</v>
      </c>
      <c r="U873" s="147">
        <v>0</v>
      </c>
    </row>
    <row r="874" spans="2:21" x14ac:dyDescent="0.3">
      <c r="B874" s="37"/>
      <c r="C874" s="13"/>
      <c r="D874" s="283"/>
      <c r="E874" s="283"/>
      <c r="G874" s="37"/>
      <c r="H874" s="13"/>
      <c r="I874" s="283"/>
      <c r="J874" s="283"/>
      <c r="L874" s="37"/>
      <c r="M874" s="13"/>
      <c r="N874" s="283"/>
      <c r="O874" s="283"/>
      <c r="Q874" s="37"/>
      <c r="R874" s="128" t="s">
        <v>2192</v>
      </c>
      <c r="S874" s="13" t="s">
        <v>2191</v>
      </c>
      <c r="T874" s="147">
        <v>4000</v>
      </c>
      <c r="U874" s="147">
        <v>0</v>
      </c>
    </row>
    <row r="875" spans="2:21" x14ac:dyDescent="0.3">
      <c r="B875" s="37"/>
      <c r="C875" s="13"/>
      <c r="D875" s="283"/>
      <c r="E875" s="283"/>
      <c r="G875" s="37"/>
      <c r="H875" s="13"/>
      <c r="I875" s="283"/>
      <c r="J875" s="283"/>
      <c r="L875" s="37"/>
      <c r="M875" s="13"/>
      <c r="N875" s="283"/>
      <c r="O875" s="283"/>
      <c r="Q875" s="37"/>
      <c r="R875" s="128" t="s">
        <v>1896</v>
      </c>
      <c r="S875" s="13" t="s">
        <v>2193</v>
      </c>
      <c r="T875" s="147">
        <v>2000</v>
      </c>
      <c r="U875" s="147">
        <v>0</v>
      </c>
    </row>
    <row r="876" spans="2:21" x14ac:dyDescent="0.3">
      <c r="B876" s="37"/>
      <c r="C876" s="13"/>
      <c r="D876" s="283"/>
      <c r="E876" s="283"/>
      <c r="G876" s="37"/>
      <c r="H876" s="13"/>
      <c r="I876" s="283"/>
      <c r="J876" s="283"/>
      <c r="L876" s="37"/>
      <c r="M876" s="13"/>
      <c r="N876" s="283"/>
      <c r="O876" s="283"/>
      <c r="Q876" s="37"/>
      <c r="R876" s="128" t="s">
        <v>3291</v>
      </c>
      <c r="S876" s="13" t="s">
        <v>2171</v>
      </c>
      <c r="T876" s="147">
        <v>4000</v>
      </c>
      <c r="U876" s="147">
        <v>0</v>
      </c>
    </row>
    <row r="877" spans="2:21" x14ac:dyDescent="0.3">
      <c r="B877" s="37"/>
      <c r="C877" s="13"/>
      <c r="D877" s="283"/>
      <c r="E877" s="283"/>
      <c r="G877" s="37"/>
      <c r="H877" s="13"/>
      <c r="I877" s="283"/>
      <c r="J877" s="283"/>
      <c r="L877" s="37"/>
      <c r="M877" s="13"/>
      <c r="N877" s="283"/>
      <c r="O877" s="283"/>
      <c r="Q877" s="37"/>
      <c r="R877" s="128" t="s">
        <v>1898</v>
      </c>
      <c r="S877" s="13" t="s">
        <v>2218</v>
      </c>
      <c r="T877" s="147">
        <v>2000</v>
      </c>
      <c r="U877" s="147">
        <v>0</v>
      </c>
    </row>
    <row r="878" spans="2:21" x14ac:dyDescent="0.3">
      <c r="B878" s="37"/>
      <c r="C878" s="13"/>
      <c r="D878" s="283"/>
      <c r="E878" s="283"/>
      <c r="G878" s="37"/>
      <c r="H878" s="13"/>
      <c r="I878" s="283"/>
      <c r="J878" s="283"/>
      <c r="L878" s="37"/>
      <c r="M878" s="13"/>
      <c r="N878" s="283"/>
      <c r="O878" s="283"/>
      <c r="Q878" s="37"/>
      <c r="R878" s="128" t="s">
        <v>2219</v>
      </c>
      <c r="S878" s="13" t="s">
        <v>2220</v>
      </c>
      <c r="T878" s="147">
        <v>5000</v>
      </c>
      <c r="U878" s="147">
        <v>0</v>
      </c>
    </row>
    <row r="879" spans="2:21" x14ac:dyDescent="0.3">
      <c r="B879" s="37"/>
      <c r="C879" s="13"/>
      <c r="D879" s="283"/>
      <c r="E879" s="283"/>
      <c r="G879" s="37"/>
      <c r="H879" s="13"/>
      <c r="I879" s="283"/>
      <c r="J879" s="283"/>
      <c r="L879" s="37"/>
      <c r="M879" s="13"/>
      <c r="N879" s="283"/>
      <c r="O879" s="283"/>
      <c r="Q879" s="37"/>
      <c r="R879" s="128" t="s">
        <v>2221</v>
      </c>
      <c r="S879" s="13" t="s">
        <v>2222</v>
      </c>
      <c r="T879" s="147">
        <v>5000</v>
      </c>
      <c r="U879" s="147">
        <v>0</v>
      </c>
    </row>
    <row r="880" spans="2:21" x14ac:dyDescent="0.3">
      <c r="B880" s="37"/>
      <c r="C880" s="13"/>
      <c r="D880" s="283"/>
      <c r="E880" s="283"/>
      <c r="G880" s="37"/>
      <c r="H880" s="13"/>
      <c r="I880" s="283"/>
      <c r="J880" s="283"/>
      <c r="L880" s="37"/>
      <c r="M880" s="13"/>
      <c r="N880" s="283"/>
      <c r="O880" s="283"/>
      <c r="Q880" s="37"/>
      <c r="R880" s="128" t="s">
        <v>2223</v>
      </c>
      <c r="S880" s="13" t="s">
        <v>2224</v>
      </c>
      <c r="T880" s="147">
        <v>4000</v>
      </c>
      <c r="U880" s="147">
        <v>0</v>
      </c>
    </row>
    <row r="881" spans="2:21" x14ac:dyDescent="0.3">
      <c r="B881" s="37"/>
      <c r="C881" s="13"/>
      <c r="D881" s="283"/>
      <c r="E881" s="283"/>
      <c r="G881" s="37"/>
      <c r="H881" s="13"/>
      <c r="I881" s="283"/>
      <c r="J881" s="283"/>
      <c r="L881" s="37"/>
      <c r="M881" s="13"/>
      <c r="N881" s="283"/>
      <c r="O881" s="283"/>
      <c r="Q881" s="37"/>
      <c r="R881" s="128" t="s">
        <v>2226</v>
      </c>
      <c r="S881" s="13" t="s">
        <v>2227</v>
      </c>
      <c r="T881" s="147">
        <v>5000</v>
      </c>
      <c r="U881" s="147">
        <v>0</v>
      </c>
    </row>
    <row r="882" spans="2:21" x14ac:dyDescent="0.3">
      <c r="B882" s="37"/>
      <c r="C882" s="13"/>
      <c r="D882" s="283"/>
      <c r="E882" s="283"/>
      <c r="G882" s="37"/>
      <c r="H882" s="13"/>
      <c r="I882" s="283"/>
      <c r="J882" s="283"/>
      <c r="L882" s="37"/>
      <c r="M882" s="13"/>
      <c r="N882" s="283"/>
      <c r="O882" s="283"/>
      <c r="Q882" s="37"/>
      <c r="R882" s="128" t="s">
        <v>2228</v>
      </c>
      <c r="S882" s="13" t="s">
        <v>1990</v>
      </c>
      <c r="T882" s="147">
        <v>0</v>
      </c>
      <c r="U882" s="147">
        <v>200</v>
      </c>
    </row>
    <row r="883" spans="2:21" x14ac:dyDescent="0.3">
      <c r="B883" s="37"/>
      <c r="C883" s="13"/>
      <c r="D883" s="283"/>
      <c r="E883" s="283"/>
      <c r="G883" s="37"/>
      <c r="H883" s="13"/>
      <c r="I883" s="283"/>
      <c r="J883" s="283"/>
      <c r="L883" s="37"/>
      <c r="M883" s="13"/>
      <c r="N883" s="283"/>
      <c r="O883" s="283"/>
      <c r="Q883" s="37"/>
      <c r="R883" s="128" t="s">
        <v>2229</v>
      </c>
      <c r="S883" s="13" t="s">
        <v>1987</v>
      </c>
      <c r="T883" s="147">
        <v>2000</v>
      </c>
      <c r="U883" s="147">
        <v>0</v>
      </c>
    </row>
    <row r="884" spans="2:21" x14ac:dyDescent="0.3">
      <c r="B884" s="37"/>
      <c r="C884" s="13"/>
      <c r="D884" s="283"/>
      <c r="E884" s="283"/>
      <c r="G884" s="37"/>
      <c r="H884" s="13"/>
      <c r="I884" s="283"/>
      <c r="J884" s="283"/>
      <c r="L884" s="37"/>
      <c r="M884" s="13"/>
      <c r="N884" s="283"/>
      <c r="O884" s="283"/>
      <c r="Q884" s="37"/>
      <c r="R884" s="128" t="s">
        <v>2230</v>
      </c>
      <c r="S884" s="13" t="s">
        <v>2231</v>
      </c>
      <c r="T884" s="147">
        <v>4500</v>
      </c>
      <c r="U884" s="147">
        <v>0</v>
      </c>
    </row>
    <row r="885" spans="2:21" x14ac:dyDescent="0.3">
      <c r="B885" s="37"/>
      <c r="C885" s="13"/>
      <c r="D885" s="283"/>
      <c r="E885" s="283"/>
      <c r="G885" s="37"/>
      <c r="H885" s="13"/>
      <c r="I885" s="283"/>
      <c r="J885" s="283"/>
      <c r="L885" s="37"/>
      <c r="M885" s="13"/>
      <c r="N885" s="283"/>
      <c r="O885" s="283"/>
      <c r="Q885" s="37"/>
      <c r="R885" s="128" t="s">
        <v>2232</v>
      </c>
      <c r="S885" s="13" t="s">
        <v>1988</v>
      </c>
      <c r="T885" s="147">
        <v>3000</v>
      </c>
      <c r="U885" s="147">
        <v>0</v>
      </c>
    </row>
    <row r="886" spans="2:21" x14ac:dyDescent="0.3">
      <c r="B886" s="37"/>
      <c r="C886" s="13"/>
      <c r="D886" s="283"/>
      <c r="E886" s="283"/>
      <c r="G886" s="37"/>
      <c r="H886" s="13"/>
      <c r="I886" s="283"/>
      <c r="J886" s="283"/>
      <c r="L886" s="37"/>
      <c r="M886" s="13"/>
      <c r="N886" s="283"/>
      <c r="O886" s="283"/>
      <c r="Q886" s="37"/>
      <c r="R886" s="128" t="s">
        <v>2233</v>
      </c>
      <c r="S886" s="13" t="s">
        <v>1989</v>
      </c>
      <c r="T886" s="147">
        <v>2000</v>
      </c>
      <c r="U886" s="147">
        <v>0</v>
      </c>
    </row>
    <row r="887" spans="2:21" x14ac:dyDescent="0.3">
      <c r="B887" s="37"/>
      <c r="C887" s="13"/>
      <c r="D887" s="283"/>
      <c r="E887" s="283"/>
      <c r="G887" s="37"/>
      <c r="H887" s="13"/>
      <c r="I887" s="283"/>
      <c r="J887" s="283"/>
      <c r="L887" s="37"/>
      <c r="M887" s="13"/>
      <c r="N887" s="283"/>
      <c r="O887" s="283"/>
      <c r="Q887" s="37"/>
      <c r="R887" s="128" t="s">
        <v>2234</v>
      </c>
      <c r="S887" s="13" t="s">
        <v>2235</v>
      </c>
      <c r="T887" s="147">
        <v>2000</v>
      </c>
      <c r="U887" s="147">
        <v>0</v>
      </c>
    </row>
    <row r="888" spans="2:21" s="338" customFormat="1" x14ac:dyDescent="0.3">
      <c r="B888" s="335"/>
      <c r="C888" s="336"/>
      <c r="D888" s="337"/>
      <c r="E888" s="337"/>
      <c r="G888" s="335"/>
      <c r="H888" s="336"/>
      <c r="I888" s="337"/>
      <c r="J888" s="337"/>
      <c r="L888" s="335"/>
      <c r="M888" s="336"/>
      <c r="N888" s="337"/>
      <c r="O888" s="337"/>
      <c r="Q888" s="339">
        <v>31090003</v>
      </c>
      <c r="R888" s="340"/>
      <c r="S888" s="341" t="s">
        <v>1020</v>
      </c>
      <c r="T888" s="342">
        <f>SUM(T889:T918)-SUM(U889:U918)</f>
        <v>33000</v>
      </c>
      <c r="U888" s="342">
        <v>0</v>
      </c>
    </row>
    <row r="889" spans="2:21" x14ac:dyDescent="0.3">
      <c r="B889" s="37"/>
      <c r="C889" s="13"/>
      <c r="D889" s="283"/>
      <c r="E889" s="283"/>
      <c r="G889" s="37"/>
      <c r="H889" s="13"/>
      <c r="I889" s="283"/>
      <c r="J889" s="283"/>
      <c r="L889" s="37"/>
      <c r="M889" s="13"/>
      <c r="N889" s="283"/>
      <c r="O889" s="283"/>
      <c r="Q889" s="37"/>
      <c r="R889" s="128" t="s">
        <v>1931</v>
      </c>
      <c r="S889" s="13" t="s">
        <v>1932</v>
      </c>
      <c r="T889" s="147">
        <v>1000</v>
      </c>
      <c r="U889" s="147">
        <v>0</v>
      </c>
    </row>
    <row r="890" spans="2:21" x14ac:dyDescent="0.3">
      <c r="B890" s="37"/>
      <c r="C890" s="13"/>
      <c r="D890" s="283"/>
      <c r="E890" s="283"/>
      <c r="G890" s="37"/>
      <c r="H890" s="13"/>
      <c r="I890" s="283"/>
      <c r="J890" s="283"/>
      <c r="L890" s="37"/>
      <c r="M890" s="13"/>
      <c r="N890" s="283"/>
      <c r="O890" s="283"/>
      <c r="Q890" s="37"/>
      <c r="R890" s="128" t="s">
        <v>1934</v>
      </c>
      <c r="S890" s="13" t="s">
        <v>2196</v>
      </c>
      <c r="T890" s="147">
        <v>1000</v>
      </c>
      <c r="U890" s="147">
        <v>0</v>
      </c>
    </row>
    <row r="891" spans="2:21" x14ac:dyDescent="0.3">
      <c r="B891" s="37"/>
      <c r="C891" s="13"/>
      <c r="D891" s="283"/>
      <c r="E891" s="283"/>
      <c r="G891" s="37"/>
      <c r="H891" s="13"/>
      <c r="I891" s="283"/>
      <c r="J891" s="283"/>
      <c r="L891" s="37"/>
      <c r="M891" s="13"/>
      <c r="N891" s="283"/>
      <c r="O891" s="283"/>
      <c r="Q891" s="37"/>
      <c r="R891" s="128" t="s">
        <v>2199</v>
      </c>
      <c r="S891" s="13" t="s">
        <v>2200</v>
      </c>
      <c r="T891" s="147">
        <v>1000</v>
      </c>
      <c r="U891" s="147">
        <v>0</v>
      </c>
    </row>
    <row r="892" spans="2:21" x14ac:dyDescent="0.3">
      <c r="B892" s="37"/>
      <c r="C892" s="13"/>
      <c r="D892" s="283"/>
      <c r="E892" s="283"/>
      <c r="G892" s="37"/>
      <c r="H892" s="13"/>
      <c r="I892" s="283"/>
      <c r="J892" s="283"/>
      <c r="L892" s="37"/>
      <c r="M892" s="13"/>
      <c r="N892" s="283"/>
      <c r="O892" s="283"/>
      <c r="Q892" s="37"/>
      <c r="R892" s="128" t="s">
        <v>2201</v>
      </c>
      <c r="S892" s="13" t="s">
        <v>2202</v>
      </c>
      <c r="T892" s="147">
        <v>1000</v>
      </c>
      <c r="U892" s="147">
        <v>0</v>
      </c>
    </row>
    <row r="893" spans="2:21" x14ac:dyDescent="0.3">
      <c r="B893" s="37"/>
      <c r="C893" s="13"/>
      <c r="D893" s="283"/>
      <c r="E893" s="283"/>
      <c r="G893" s="37"/>
      <c r="H893" s="13"/>
      <c r="I893" s="283"/>
      <c r="J893" s="283"/>
      <c r="L893" s="37"/>
      <c r="M893" s="13"/>
      <c r="N893" s="283"/>
      <c r="O893" s="283"/>
      <c r="Q893" s="37"/>
      <c r="R893" s="128" t="s">
        <v>2205</v>
      </c>
      <c r="S893" s="13" t="s">
        <v>2206</v>
      </c>
      <c r="T893" s="147">
        <v>1000</v>
      </c>
      <c r="U893" s="147">
        <v>0</v>
      </c>
    </row>
    <row r="894" spans="2:21" x14ac:dyDescent="0.3">
      <c r="B894" s="37"/>
      <c r="C894" s="13"/>
      <c r="D894" s="283"/>
      <c r="E894" s="283"/>
      <c r="G894" s="37"/>
      <c r="H894" s="13"/>
      <c r="I894" s="283"/>
      <c r="J894" s="283"/>
      <c r="L894" s="37"/>
      <c r="M894" s="13"/>
      <c r="N894" s="283"/>
      <c r="O894" s="283"/>
      <c r="Q894" s="37"/>
      <c r="R894" s="128" t="s">
        <v>2207</v>
      </c>
      <c r="S894" s="13" t="s">
        <v>2208</v>
      </c>
      <c r="T894" s="147">
        <v>1000</v>
      </c>
      <c r="U894" s="147">
        <v>0</v>
      </c>
    </row>
    <row r="895" spans="2:21" x14ac:dyDescent="0.3">
      <c r="B895" s="37"/>
      <c r="C895" s="13"/>
      <c r="D895" s="283"/>
      <c r="E895" s="283"/>
      <c r="G895" s="37"/>
      <c r="H895" s="13"/>
      <c r="I895" s="283"/>
      <c r="J895" s="283"/>
      <c r="L895" s="37"/>
      <c r="M895" s="13"/>
      <c r="N895" s="283"/>
      <c r="O895" s="283"/>
      <c r="Q895" s="37"/>
      <c r="R895" s="128" t="s">
        <v>2209</v>
      </c>
      <c r="S895" s="13" t="s">
        <v>2210</v>
      </c>
      <c r="T895" s="147">
        <v>1000</v>
      </c>
      <c r="U895" s="147">
        <v>0</v>
      </c>
    </row>
    <row r="896" spans="2:21" x14ac:dyDescent="0.3">
      <c r="B896" s="37"/>
      <c r="C896" s="13"/>
      <c r="D896" s="283"/>
      <c r="E896" s="283"/>
      <c r="G896" s="37"/>
      <c r="H896" s="13"/>
      <c r="I896" s="283"/>
      <c r="J896" s="283"/>
      <c r="L896" s="37"/>
      <c r="M896" s="13"/>
      <c r="N896" s="283"/>
      <c r="O896" s="283"/>
      <c r="Q896" s="37"/>
      <c r="R896" s="128" t="s">
        <v>2340</v>
      </c>
      <c r="S896" s="13" t="s">
        <v>2159</v>
      </c>
      <c r="T896" s="147">
        <v>1000</v>
      </c>
      <c r="U896" s="147">
        <v>0</v>
      </c>
    </row>
    <row r="897" spans="2:21" x14ac:dyDescent="0.3">
      <c r="B897" s="37"/>
      <c r="C897" s="13"/>
      <c r="D897" s="283"/>
      <c r="E897" s="283"/>
      <c r="G897" s="37"/>
      <c r="H897" s="13"/>
      <c r="I897" s="283"/>
      <c r="J897" s="283"/>
      <c r="L897" s="37"/>
      <c r="M897" s="13"/>
      <c r="N897" s="283"/>
      <c r="O897" s="283"/>
      <c r="Q897" s="37"/>
      <c r="R897" s="128" t="s">
        <v>2160</v>
      </c>
      <c r="S897" s="13" t="s">
        <v>2161</v>
      </c>
      <c r="T897" s="147">
        <v>1000</v>
      </c>
      <c r="U897" s="147">
        <v>0</v>
      </c>
    </row>
    <row r="898" spans="2:21" x14ac:dyDescent="0.3">
      <c r="B898" s="37"/>
      <c r="C898" s="13"/>
      <c r="D898" s="283"/>
      <c r="E898" s="283"/>
      <c r="G898" s="37"/>
      <c r="H898" s="13"/>
      <c r="I898" s="283"/>
      <c r="J898" s="283"/>
      <c r="L898" s="37"/>
      <c r="M898" s="13"/>
      <c r="N898" s="283"/>
      <c r="O898" s="283"/>
      <c r="Q898" s="37"/>
      <c r="R898" s="128" t="s">
        <v>2162</v>
      </c>
      <c r="S898" s="13" t="s">
        <v>2163</v>
      </c>
      <c r="T898" s="147">
        <v>1000</v>
      </c>
      <c r="U898" s="147">
        <v>0</v>
      </c>
    </row>
    <row r="899" spans="2:21" x14ac:dyDescent="0.3">
      <c r="B899" s="37"/>
      <c r="C899" s="13"/>
      <c r="D899" s="283"/>
      <c r="E899" s="283"/>
      <c r="G899" s="37"/>
      <c r="H899" s="13"/>
      <c r="I899" s="283"/>
      <c r="J899" s="283"/>
      <c r="L899" s="37"/>
      <c r="M899" s="13"/>
      <c r="N899" s="283"/>
      <c r="O899" s="283"/>
      <c r="Q899" s="37"/>
      <c r="R899" s="128" t="s">
        <v>2165</v>
      </c>
      <c r="S899" s="13" t="s">
        <v>2166</v>
      </c>
      <c r="T899" s="147">
        <v>1000</v>
      </c>
      <c r="U899" s="147">
        <v>0</v>
      </c>
    </row>
    <row r="900" spans="2:21" x14ac:dyDescent="0.3">
      <c r="B900" s="37"/>
      <c r="C900" s="13"/>
      <c r="D900" s="283"/>
      <c r="E900" s="283"/>
      <c r="G900" s="37"/>
      <c r="H900" s="13"/>
      <c r="I900" s="283"/>
      <c r="J900" s="283"/>
      <c r="L900" s="37"/>
      <c r="M900" s="13"/>
      <c r="N900" s="283"/>
      <c r="O900" s="283"/>
      <c r="Q900" s="37"/>
      <c r="R900" s="128" t="s">
        <v>2168</v>
      </c>
      <c r="S900" s="13" t="s">
        <v>2169</v>
      </c>
      <c r="T900" s="147">
        <v>1000</v>
      </c>
      <c r="U900" s="147">
        <v>0</v>
      </c>
    </row>
    <row r="901" spans="2:21" x14ac:dyDescent="0.3">
      <c r="B901" s="37"/>
      <c r="C901" s="13"/>
      <c r="D901" s="283"/>
      <c r="E901" s="283"/>
      <c r="G901" s="37"/>
      <c r="H901" s="13"/>
      <c r="I901" s="283"/>
      <c r="J901" s="283"/>
      <c r="L901" s="37"/>
      <c r="M901" s="13"/>
      <c r="N901" s="283"/>
      <c r="O901" s="283"/>
      <c r="Q901" s="37"/>
      <c r="R901" s="128" t="s">
        <v>3313</v>
      </c>
      <c r="S901" s="13" t="s">
        <v>2211</v>
      </c>
      <c r="T901" s="147">
        <v>1000</v>
      </c>
      <c r="U901" s="147">
        <v>0</v>
      </c>
    </row>
    <row r="902" spans="2:21" x14ac:dyDescent="0.3">
      <c r="B902" s="37"/>
      <c r="C902" s="13"/>
      <c r="D902" s="283"/>
      <c r="E902" s="283"/>
      <c r="G902" s="37"/>
      <c r="H902" s="13"/>
      <c r="I902" s="283"/>
      <c r="J902" s="283"/>
      <c r="L902" s="37"/>
      <c r="M902" s="13"/>
      <c r="N902" s="283"/>
      <c r="O902" s="283"/>
      <c r="Q902" s="37"/>
      <c r="R902" s="128" t="s">
        <v>2212</v>
      </c>
      <c r="S902" s="13" t="s">
        <v>2213</v>
      </c>
      <c r="T902" s="147">
        <v>1000</v>
      </c>
      <c r="U902" s="147">
        <v>0</v>
      </c>
    </row>
    <row r="903" spans="2:21" x14ac:dyDescent="0.3">
      <c r="B903" s="37"/>
      <c r="C903" s="13"/>
      <c r="D903" s="283"/>
      <c r="E903" s="283"/>
      <c r="G903" s="37"/>
      <c r="H903" s="13"/>
      <c r="I903" s="283"/>
      <c r="J903" s="283"/>
      <c r="L903" s="37"/>
      <c r="M903" s="13"/>
      <c r="N903" s="283"/>
      <c r="O903" s="283"/>
      <c r="Q903" s="37"/>
      <c r="R903" s="128" t="s">
        <v>2214</v>
      </c>
      <c r="S903" s="13" t="s">
        <v>2215</v>
      </c>
      <c r="T903" s="147">
        <v>1000</v>
      </c>
      <c r="U903" s="147">
        <v>0</v>
      </c>
    </row>
    <row r="904" spans="2:21" x14ac:dyDescent="0.3">
      <c r="B904" s="37"/>
      <c r="C904" s="13"/>
      <c r="D904" s="283"/>
      <c r="E904" s="283"/>
      <c r="G904" s="37"/>
      <c r="H904" s="13"/>
      <c r="I904" s="283"/>
      <c r="J904" s="283"/>
      <c r="L904" s="37"/>
      <c r="M904" s="13"/>
      <c r="N904" s="283"/>
      <c r="O904" s="283"/>
      <c r="Q904" s="37"/>
      <c r="R904" s="128" t="s">
        <v>1985</v>
      </c>
      <c r="S904" s="13" t="s">
        <v>2197</v>
      </c>
      <c r="T904" s="147">
        <v>1000</v>
      </c>
      <c r="U904" s="147">
        <v>0</v>
      </c>
    </row>
    <row r="905" spans="2:21" x14ac:dyDescent="0.3">
      <c r="B905" s="37"/>
      <c r="C905" s="13"/>
      <c r="D905" s="283"/>
      <c r="E905" s="283"/>
      <c r="G905" s="37"/>
      <c r="H905" s="13"/>
      <c r="I905" s="283"/>
      <c r="J905" s="283"/>
      <c r="L905" s="37"/>
      <c r="M905" s="13"/>
      <c r="N905" s="283"/>
      <c r="O905" s="283"/>
      <c r="Q905" s="37"/>
      <c r="R905" s="128" t="s">
        <v>1895</v>
      </c>
      <c r="S905" s="13" t="s">
        <v>2174</v>
      </c>
      <c r="T905" s="147">
        <v>1000</v>
      </c>
      <c r="U905" s="147">
        <v>0</v>
      </c>
    </row>
    <row r="906" spans="2:21" x14ac:dyDescent="0.3">
      <c r="B906" s="37"/>
      <c r="C906" s="13"/>
      <c r="D906" s="283"/>
      <c r="E906" s="283"/>
      <c r="G906" s="37"/>
      <c r="H906" s="13"/>
      <c r="I906" s="283"/>
      <c r="J906" s="283"/>
      <c r="L906" s="37"/>
      <c r="M906" s="13"/>
      <c r="N906" s="283"/>
      <c r="O906" s="283"/>
      <c r="Q906" s="37"/>
      <c r="R906" s="128" t="s">
        <v>2177</v>
      </c>
      <c r="S906" s="13" t="s">
        <v>2341</v>
      </c>
      <c r="T906" s="147">
        <v>1000</v>
      </c>
      <c r="U906" s="147">
        <v>0</v>
      </c>
    </row>
    <row r="907" spans="2:21" x14ac:dyDescent="0.3">
      <c r="B907" s="37"/>
      <c r="C907" s="13"/>
      <c r="D907" s="283"/>
      <c r="E907" s="283"/>
      <c r="G907" s="37"/>
      <c r="H907" s="13"/>
      <c r="I907" s="283"/>
      <c r="J907" s="283"/>
      <c r="L907" s="37"/>
      <c r="M907" s="13"/>
      <c r="N907" s="283"/>
      <c r="O907" s="283"/>
      <c r="Q907" s="37"/>
      <c r="R907" s="128" t="s">
        <v>2183</v>
      </c>
      <c r="S907" s="13" t="s">
        <v>2182</v>
      </c>
      <c r="T907" s="147">
        <v>1000</v>
      </c>
      <c r="U907" s="147">
        <v>0</v>
      </c>
    </row>
    <row r="908" spans="2:21" x14ac:dyDescent="0.3">
      <c r="B908" s="37"/>
      <c r="C908" s="13"/>
      <c r="D908" s="283"/>
      <c r="E908" s="283"/>
      <c r="G908" s="37"/>
      <c r="H908" s="13"/>
      <c r="I908" s="283"/>
      <c r="J908" s="283"/>
      <c r="L908" s="37"/>
      <c r="M908" s="13"/>
      <c r="N908" s="283"/>
      <c r="O908" s="283"/>
      <c r="Q908" s="37"/>
      <c r="R908" s="128" t="s">
        <v>2185</v>
      </c>
      <c r="S908" s="13" t="s">
        <v>2184</v>
      </c>
      <c r="T908" s="147">
        <v>1000</v>
      </c>
      <c r="U908" s="147">
        <v>0</v>
      </c>
    </row>
    <row r="909" spans="2:21" x14ac:dyDescent="0.3">
      <c r="B909" s="37"/>
      <c r="C909" s="13"/>
      <c r="D909" s="283"/>
      <c r="E909" s="283"/>
      <c r="G909" s="37"/>
      <c r="H909" s="13"/>
      <c r="I909" s="283"/>
      <c r="J909" s="283"/>
      <c r="L909" s="37"/>
      <c r="M909" s="13"/>
      <c r="N909" s="283"/>
      <c r="O909" s="283"/>
      <c r="Q909" s="37"/>
      <c r="R909" s="128" t="s">
        <v>2187</v>
      </c>
      <c r="S909" s="13" t="s">
        <v>2186</v>
      </c>
      <c r="T909" s="147">
        <v>1000</v>
      </c>
      <c r="U909" s="147">
        <v>0</v>
      </c>
    </row>
    <row r="910" spans="2:21" x14ac:dyDescent="0.3">
      <c r="B910" s="37"/>
      <c r="C910" s="13"/>
      <c r="D910" s="283"/>
      <c r="E910" s="283"/>
      <c r="G910" s="37"/>
      <c r="H910" s="13"/>
      <c r="I910" s="283"/>
      <c r="J910" s="283"/>
      <c r="L910" s="37"/>
      <c r="M910" s="13"/>
      <c r="N910" s="283"/>
      <c r="O910" s="283"/>
      <c r="Q910" s="37"/>
      <c r="R910" s="128" t="s">
        <v>2342</v>
      </c>
      <c r="S910" s="13" t="s">
        <v>2188</v>
      </c>
      <c r="T910" s="147">
        <v>1000</v>
      </c>
      <c r="U910" s="147">
        <v>0</v>
      </c>
    </row>
    <row r="911" spans="2:21" x14ac:dyDescent="0.3">
      <c r="B911" s="37"/>
      <c r="C911" s="13"/>
      <c r="D911" s="283"/>
      <c r="E911" s="283"/>
      <c r="G911" s="37"/>
      <c r="H911" s="13"/>
      <c r="I911" s="283"/>
      <c r="J911" s="283"/>
      <c r="L911" s="37"/>
      <c r="M911" s="13"/>
      <c r="N911" s="283"/>
      <c r="O911" s="283"/>
      <c r="Q911" s="37"/>
      <c r="R911" s="128" t="s">
        <v>2190</v>
      </c>
      <c r="S911" s="13" t="s">
        <v>2189</v>
      </c>
      <c r="T911" s="147">
        <v>1000</v>
      </c>
      <c r="U911" s="147">
        <v>0</v>
      </c>
    </row>
    <row r="912" spans="2:21" x14ac:dyDescent="0.3">
      <c r="B912" s="37"/>
      <c r="C912" s="13"/>
      <c r="D912" s="283"/>
      <c r="E912" s="283"/>
      <c r="G912" s="37"/>
      <c r="H912" s="13"/>
      <c r="I912" s="283"/>
      <c r="J912" s="283"/>
      <c r="L912" s="37"/>
      <c r="M912" s="13"/>
      <c r="N912" s="283"/>
      <c r="O912" s="283"/>
      <c r="Q912" s="37"/>
      <c r="R912" s="128" t="s">
        <v>2192</v>
      </c>
      <c r="S912" s="13" t="s">
        <v>2191</v>
      </c>
      <c r="T912" s="147">
        <v>1000</v>
      </c>
      <c r="U912" s="147">
        <v>0</v>
      </c>
    </row>
    <row r="913" spans="2:21" x14ac:dyDescent="0.3">
      <c r="B913" s="37"/>
      <c r="C913" s="13"/>
      <c r="D913" s="283"/>
      <c r="E913" s="283"/>
      <c r="G913" s="37"/>
      <c r="H913" s="13"/>
      <c r="I913" s="283"/>
      <c r="J913" s="283"/>
      <c r="L913" s="37"/>
      <c r="M913" s="13"/>
      <c r="N913" s="283"/>
      <c r="O913" s="283"/>
      <c r="Q913" s="37"/>
      <c r="R913" s="128" t="s">
        <v>1896</v>
      </c>
      <c r="S913" s="13" t="s">
        <v>2193</v>
      </c>
      <c r="T913" s="147">
        <v>1000</v>
      </c>
      <c r="U913" s="147">
        <v>0</v>
      </c>
    </row>
    <row r="914" spans="2:21" x14ac:dyDescent="0.3">
      <c r="B914" s="37"/>
      <c r="C914" s="13"/>
      <c r="D914" s="283"/>
      <c r="E914" s="283"/>
      <c r="G914" s="37"/>
      <c r="H914" s="13"/>
      <c r="I914" s="283"/>
      <c r="J914" s="283"/>
      <c r="L914" s="37"/>
      <c r="M914" s="13"/>
      <c r="N914" s="283"/>
      <c r="O914" s="283"/>
      <c r="Q914" s="37"/>
      <c r="R914" s="128" t="s">
        <v>3291</v>
      </c>
      <c r="S914" s="13" t="s">
        <v>2171</v>
      </c>
      <c r="T914" s="147">
        <v>1000</v>
      </c>
      <c r="U914" s="147">
        <v>0</v>
      </c>
    </row>
    <row r="915" spans="2:21" x14ac:dyDescent="0.3">
      <c r="B915" s="37"/>
      <c r="C915" s="13"/>
      <c r="D915" s="283"/>
      <c r="E915" s="283"/>
      <c r="G915" s="37"/>
      <c r="H915" s="13"/>
      <c r="I915" s="283"/>
      <c r="J915" s="283"/>
      <c r="L915" s="37"/>
      <c r="M915" s="13"/>
      <c r="N915" s="283"/>
      <c r="O915" s="283"/>
      <c r="Q915" s="37"/>
      <c r="R915" s="128" t="s">
        <v>2219</v>
      </c>
      <c r="S915" s="13" t="s">
        <v>2220</v>
      </c>
      <c r="T915" s="147">
        <v>2000</v>
      </c>
      <c r="U915" s="147">
        <v>0</v>
      </c>
    </row>
    <row r="916" spans="2:21" x14ac:dyDescent="0.3">
      <c r="B916" s="37"/>
      <c r="C916" s="13"/>
      <c r="D916" s="283"/>
      <c r="E916" s="283"/>
      <c r="G916" s="37"/>
      <c r="H916" s="13"/>
      <c r="I916" s="283"/>
      <c r="J916" s="283"/>
      <c r="L916" s="37"/>
      <c r="M916" s="13"/>
      <c r="N916" s="283"/>
      <c r="O916" s="283"/>
      <c r="Q916" s="37"/>
      <c r="R916" s="128" t="s">
        <v>2221</v>
      </c>
      <c r="S916" s="13" t="s">
        <v>2222</v>
      </c>
      <c r="T916" s="147">
        <v>2000</v>
      </c>
      <c r="U916" s="147">
        <v>0</v>
      </c>
    </row>
    <row r="917" spans="2:21" x14ac:dyDescent="0.3">
      <c r="B917" s="37"/>
      <c r="C917" s="13"/>
      <c r="D917" s="283"/>
      <c r="E917" s="283"/>
      <c r="G917" s="37"/>
      <c r="H917" s="13"/>
      <c r="I917" s="283"/>
      <c r="J917" s="283"/>
      <c r="L917" s="37"/>
      <c r="M917" s="13"/>
      <c r="N917" s="283"/>
      <c r="O917" s="283"/>
      <c r="Q917" s="37"/>
      <c r="R917" s="128" t="s">
        <v>2226</v>
      </c>
      <c r="S917" s="13" t="s">
        <v>2227</v>
      </c>
      <c r="T917" s="147">
        <v>2000</v>
      </c>
      <c r="U917" s="147">
        <v>0</v>
      </c>
    </row>
    <row r="918" spans="2:21" x14ac:dyDescent="0.3">
      <c r="B918" s="37"/>
      <c r="C918" s="13"/>
      <c r="D918" s="283"/>
      <c r="E918" s="283"/>
      <c r="G918" s="37"/>
      <c r="H918" s="13"/>
      <c r="I918" s="283"/>
      <c r="J918" s="283"/>
      <c r="L918" s="37"/>
      <c r="M918" s="13"/>
      <c r="N918" s="283"/>
      <c r="O918" s="283"/>
      <c r="Q918" s="37"/>
      <c r="R918" s="128" t="s">
        <v>2230</v>
      </c>
      <c r="S918" s="13" t="s">
        <v>2231</v>
      </c>
      <c r="T918" s="147">
        <v>1000</v>
      </c>
      <c r="U918" s="147">
        <v>0</v>
      </c>
    </row>
    <row r="919" spans="2:21" x14ac:dyDescent="0.3">
      <c r="B919" s="37"/>
      <c r="C919" s="13"/>
      <c r="D919" s="283"/>
      <c r="E919" s="283"/>
      <c r="G919" s="37"/>
      <c r="H919" s="13"/>
      <c r="I919" s="283"/>
      <c r="J919" s="283"/>
      <c r="L919" s="37"/>
      <c r="M919" s="13"/>
      <c r="N919" s="283"/>
      <c r="O919" s="283"/>
      <c r="Q919" s="37"/>
      <c r="R919" s="128"/>
      <c r="S919" s="13"/>
      <c r="T919" s="147"/>
      <c r="U919" s="147"/>
    </row>
    <row r="920" spans="2:21" x14ac:dyDescent="0.3">
      <c r="B920" s="37"/>
      <c r="C920" s="13"/>
      <c r="D920" s="283"/>
      <c r="E920" s="283"/>
      <c r="G920" s="37"/>
      <c r="H920" s="13"/>
      <c r="I920" s="283"/>
      <c r="J920" s="283"/>
      <c r="K920">
        <v>3110</v>
      </c>
      <c r="L920" s="195">
        <v>3110</v>
      </c>
      <c r="M920" s="197" t="s">
        <v>896</v>
      </c>
      <c r="N920" s="288">
        <f>(T920+T922+T924+T926+T928+T930+T932+T934)</f>
        <v>82971736.669999987</v>
      </c>
      <c r="O920" s="288">
        <v>0</v>
      </c>
      <c r="Q920" s="195">
        <v>31100001</v>
      </c>
      <c r="R920" s="196"/>
      <c r="S920" s="197" t="s">
        <v>1009</v>
      </c>
      <c r="T920" s="194">
        <f>SUM(T921)-SUM(U921)</f>
        <v>6044889.2300000004</v>
      </c>
      <c r="U920" s="194">
        <v>0</v>
      </c>
    </row>
    <row r="921" spans="2:21" x14ac:dyDescent="0.3">
      <c r="B921" s="37"/>
      <c r="C921" s="13"/>
      <c r="D921" s="283"/>
      <c r="E921" s="283"/>
      <c r="G921" s="37"/>
      <c r="H921" s="13"/>
      <c r="I921" s="283"/>
      <c r="J921" s="283"/>
      <c r="L921" s="37"/>
      <c r="M921" s="13"/>
      <c r="N921" s="283"/>
      <c r="O921" s="283"/>
      <c r="Q921" s="37"/>
      <c r="R921" s="128" t="s">
        <v>2138</v>
      </c>
      <c r="S921" s="13" t="s">
        <v>7</v>
      </c>
      <c r="T921" s="147">
        <v>6044889.2300000004</v>
      </c>
      <c r="U921" s="147">
        <v>0</v>
      </c>
    </row>
    <row r="922" spans="2:21" x14ac:dyDescent="0.3">
      <c r="B922" s="37"/>
      <c r="C922" s="13"/>
      <c r="D922" s="283"/>
      <c r="E922" s="283"/>
      <c r="G922" s="37"/>
      <c r="H922" s="13"/>
      <c r="I922" s="283"/>
      <c r="J922" s="283"/>
      <c r="L922" s="37"/>
      <c r="M922" s="13"/>
      <c r="N922" s="283"/>
      <c r="O922" s="283"/>
      <c r="Q922" s="195">
        <v>31100002</v>
      </c>
      <c r="R922" s="196"/>
      <c r="S922" s="197" t="s">
        <v>1010</v>
      </c>
      <c r="T922" s="194">
        <f>SUM(T923)-SUM(U923)</f>
        <v>347632.09</v>
      </c>
      <c r="U922" s="194">
        <v>0</v>
      </c>
    </row>
    <row r="923" spans="2:21" x14ac:dyDescent="0.3">
      <c r="B923" s="37"/>
      <c r="C923" s="13"/>
      <c r="D923" s="283"/>
      <c r="E923" s="283"/>
      <c r="G923" s="37"/>
      <c r="H923" s="13"/>
      <c r="I923" s="283"/>
      <c r="J923" s="283"/>
      <c r="L923" s="37"/>
      <c r="M923" s="13"/>
      <c r="N923" s="283"/>
      <c r="O923" s="283"/>
      <c r="Q923" s="37"/>
      <c r="R923" s="128" t="s">
        <v>2138</v>
      </c>
      <c r="S923" s="13" t="s">
        <v>7</v>
      </c>
      <c r="T923" s="147">
        <v>347632.09</v>
      </c>
      <c r="U923" s="147">
        <v>0</v>
      </c>
    </row>
    <row r="924" spans="2:21" x14ac:dyDescent="0.3">
      <c r="B924" s="37"/>
      <c r="C924" s="13"/>
      <c r="D924" s="283"/>
      <c r="E924" s="283"/>
      <c r="G924" s="37"/>
      <c r="H924" s="13"/>
      <c r="I924" s="283"/>
      <c r="J924" s="283"/>
      <c r="L924" s="37"/>
      <c r="M924" s="13"/>
      <c r="N924" s="283"/>
      <c r="O924" s="283"/>
      <c r="Q924" s="195">
        <v>31100003</v>
      </c>
      <c r="R924" s="196"/>
      <c r="S924" s="200" t="s">
        <v>1011</v>
      </c>
      <c r="T924" s="194">
        <f>SUM(T925)-SUM(U925)</f>
        <v>204341.7</v>
      </c>
      <c r="U924" s="194">
        <v>0</v>
      </c>
    </row>
    <row r="925" spans="2:21" x14ac:dyDescent="0.3">
      <c r="B925" s="37"/>
      <c r="C925" s="13"/>
      <c r="D925" s="283"/>
      <c r="E925" s="283"/>
      <c r="G925" s="37"/>
      <c r="H925" s="13"/>
      <c r="I925" s="283"/>
      <c r="J925" s="283"/>
      <c r="L925" s="37"/>
      <c r="M925" s="13"/>
      <c r="N925" s="283"/>
      <c r="O925" s="283"/>
      <c r="Q925" s="37"/>
      <c r="R925" s="128" t="s">
        <v>2138</v>
      </c>
      <c r="S925" s="14" t="s">
        <v>7</v>
      </c>
      <c r="T925" s="147">
        <v>204341.7</v>
      </c>
      <c r="U925" s="147">
        <v>0</v>
      </c>
    </row>
    <row r="926" spans="2:21" x14ac:dyDescent="0.3">
      <c r="B926" s="37"/>
      <c r="C926" s="13"/>
      <c r="D926" s="283"/>
      <c r="E926" s="283"/>
      <c r="G926" s="37"/>
      <c r="H926" s="13"/>
      <c r="I926" s="283"/>
      <c r="J926" s="283"/>
      <c r="L926" s="37"/>
      <c r="M926" s="13"/>
      <c r="N926" s="283"/>
      <c r="O926" s="283"/>
      <c r="Q926" s="195">
        <v>31100004</v>
      </c>
      <c r="R926" s="196"/>
      <c r="S926" s="200" t="s">
        <v>1012</v>
      </c>
      <c r="T926" s="194">
        <f>SUM(T927)-SUM(U927)</f>
        <v>4301915.21</v>
      </c>
      <c r="U926" s="194">
        <v>0</v>
      </c>
    </row>
    <row r="927" spans="2:21" x14ac:dyDescent="0.3">
      <c r="B927" s="37"/>
      <c r="C927" s="13"/>
      <c r="D927" s="283"/>
      <c r="E927" s="283"/>
      <c r="G927" s="37"/>
      <c r="H927" s="13"/>
      <c r="I927" s="283"/>
      <c r="J927" s="283"/>
      <c r="L927" s="37"/>
      <c r="M927" s="13"/>
      <c r="N927" s="283"/>
      <c r="O927" s="283"/>
      <c r="Q927" s="37"/>
      <c r="R927" s="128" t="s">
        <v>2138</v>
      </c>
      <c r="S927" s="14" t="s">
        <v>7</v>
      </c>
      <c r="T927" s="147">
        <v>4301915.21</v>
      </c>
      <c r="U927" s="147">
        <v>0</v>
      </c>
    </row>
    <row r="928" spans="2:21" x14ac:dyDescent="0.3">
      <c r="B928" s="37"/>
      <c r="C928" s="13"/>
      <c r="D928" s="283"/>
      <c r="E928" s="283"/>
      <c r="G928" s="37"/>
      <c r="H928" s="13"/>
      <c r="I928" s="283"/>
      <c r="J928" s="283"/>
      <c r="L928" s="37"/>
      <c r="M928" s="13"/>
      <c r="N928" s="283"/>
      <c r="O928" s="283"/>
      <c r="Q928" s="195">
        <v>31100005</v>
      </c>
      <c r="R928" s="196"/>
      <c r="S928" s="197" t="s">
        <v>1013</v>
      </c>
      <c r="T928" s="194">
        <f>SUM(T929)-SUM(U929)</f>
        <v>34915745.789999999</v>
      </c>
      <c r="U928" s="194">
        <v>0</v>
      </c>
    </row>
    <row r="929" spans="1:21" x14ac:dyDescent="0.3">
      <c r="B929" s="37"/>
      <c r="C929" s="13"/>
      <c r="D929" s="283"/>
      <c r="E929" s="283"/>
      <c r="G929" s="37"/>
      <c r="H929" s="13"/>
      <c r="I929" s="283"/>
      <c r="J929" s="283"/>
      <c r="L929" s="37"/>
      <c r="M929" s="13"/>
      <c r="N929" s="283"/>
      <c r="O929" s="283"/>
      <c r="Q929" s="37"/>
      <c r="R929" s="128" t="s">
        <v>2138</v>
      </c>
      <c r="S929" s="13" t="s">
        <v>7</v>
      </c>
      <c r="T929" s="147">
        <v>34915745.789999999</v>
      </c>
      <c r="U929" s="147">
        <v>0</v>
      </c>
    </row>
    <row r="930" spans="1:21" x14ac:dyDescent="0.3">
      <c r="B930" s="37"/>
      <c r="C930" s="13"/>
      <c r="D930" s="283"/>
      <c r="E930" s="283"/>
      <c r="G930" s="37"/>
      <c r="H930" s="13"/>
      <c r="I930" s="283"/>
      <c r="J930" s="283"/>
      <c r="L930" s="37"/>
      <c r="M930" s="13"/>
      <c r="N930" s="283"/>
      <c r="O930" s="283"/>
      <c r="Q930" s="195">
        <v>31100006</v>
      </c>
      <c r="R930" s="196"/>
      <c r="S930" s="200" t="s">
        <v>1014</v>
      </c>
      <c r="T930" s="194">
        <f>SUM(T931)-SUM(U931)</f>
        <v>2673921.08</v>
      </c>
      <c r="U930" s="194">
        <v>0</v>
      </c>
    </row>
    <row r="931" spans="1:21" x14ac:dyDescent="0.3">
      <c r="B931" s="37"/>
      <c r="C931" s="13"/>
      <c r="D931" s="283"/>
      <c r="E931" s="283"/>
      <c r="G931" s="37"/>
      <c r="H931" s="13"/>
      <c r="I931" s="283"/>
      <c r="J931" s="283"/>
      <c r="L931" s="37"/>
      <c r="M931" s="13"/>
      <c r="N931" s="283"/>
      <c r="O931" s="283"/>
      <c r="Q931" s="37"/>
      <c r="R931" s="128" t="s">
        <v>2138</v>
      </c>
      <c r="S931" s="14" t="s">
        <v>7</v>
      </c>
      <c r="T931" s="147">
        <v>2673921.08</v>
      </c>
      <c r="U931" s="147">
        <v>0</v>
      </c>
    </row>
    <row r="932" spans="1:21" x14ac:dyDescent="0.3">
      <c r="B932" s="37"/>
      <c r="C932" s="13"/>
      <c r="D932" s="283"/>
      <c r="E932" s="283"/>
      <c r="G932" s="37"/>
      <c r="H932" s="13"/>
      <c r="I932" s="283"/>
      <c r="J932" s="283"/>
      <c r="L932" s="37"/>
      <c r="M932" s="13"/>
      <c r="N932" s="283"/>
      <c r="O932" s="283"/>
      <c r="Q932" s="195">
        <v>31100007</v>
      </c>
      <c r="R932" s="196"/>
      <c r="S932" s="200" t="s">
        <v>1016</v>
      </c>
      <c r="T932" s="194">
        <f>SUM(T933)-SUM(U933)</f>
        <v>13020192.43</v>
      </c>
      <c r="U932" s="194">
        <v>0</v>
      </c>
    </row>
    <row r="933" spans="1:21" x14ac:dyDescent="0.3">
      <c r="B933" s="37"/>
      <c r="C933" s="13"/>
      <c r="D933" s="283"/>
      <c r="E933" s="283"/>
      <c r="G933" s="37"/>
      <c r="H933" s="13"/>
      <c r="I933" s="283"/>
      <c r="J933" s="283"/>
      <c r="L933" s="37"/>
      <c r="M933" s="13"/>
      <c r="N933" s="283"/>
      <c r="O933" s="283"/>
      <c r="Q933" s="37"/>
      <c r="R933" s="128" t="s">
        <v>2138</v>
      </c>
      <c r="S933" s="14" t="s">
        <v>7</v>
      </c>
      <c r="T933" s="147">
        <v>13020192.43</v>
      </c>
      <c r="U933" s="147">
        <v>0</v>
      </c>
    </row>
    <row r="934" spans="1:21" x14ac:dyDescent="0.3">
      <c r="B934" s="37"/>
      <c r="C934" s="13"/>
      <c r="D934" s="283"/>
      <c r="E934" s="283"/>
      <c r="G934" s="37"/>
      <c r="H934" s="13"/>
      <c r="I934" s="283"/>
      <c r="J934" s="283"/>
      <c r="L934" s="37"/>
      <c r="M934" s="13"/>
      <c r="N934" s="283"/>
      <c r="O934" s="283"/>
      <c r="Q934" s="195">
        <v>31100008</v>
      </c>
      <c r="R934" s="196"/>
      <c r="S934" s="197" t="s">
        <v>1910</v>
      </c>
      <c r="T934" s="194">
        <f>SUM(T935)-SUM(U935)</f>
        <v>21463099.140000001</v>
      </c>
      <c r="U934" s="194">
        <v>0</v>
      </c>
    </row>
    <row r="935" spans="1:21" x14ac:dyDescent="0.3">
      <c r="B935" s="37"/>
      <c r="C935" s="13"/>
      <c r="D935" s="283"/>
      <c r="E935" s="283"/>
      <c r="G935" s="37"/>
      <c r="H935" s="13"/>
      <c r="I935" s="283"/>
      <c r="J935" s="283"/>
      <c r="L935" s="37"/>
      <c r="M935" s="13"/>
      <c r="N935" s="283"/>
      <c r="O935" s="283"/>
      <c r="Q935" s="37"/>
      <c r="R935" s="128" t="s">
        <v>2138</v>
      </c>
      <c r="S935" s="13" t="s">
        <v>7</v>
      </c>
      <c r="T935" s="147">
        <v>21463099.140000001</v>
      </c>
      <c r="U935" s="147">
        <v>0</v>
      </c>
    </row>
    <row r="936" spans="1:21" x14ac:dyDescent="0.3">
      <c r="B936" s="37"/>
      <c r="C936" s="13"/>
      <c r="D936" s="283"/>
      <c r="E936" s="283"/>
      <c r="G936" s="37"/>
      <c r="H936" s="13"/>
      <c r="I936" s="283"/>
      <c r="J936" s="283"/>
      <c r="K936">
        <v>3111</v>
      </c>
      <c r="L936" s="195">
        <v>3111</v>
      </c>
      <c r="M936" s="197" t="s">
        <v>897</v>
      </c>
      <c r="N936" s="288">
        <f>(T936+T938)</f>
        <v>864871530.03000009</v>
      </c>
      <c r="O936" s="288">
        <v>0</v>
      </c>
      <c r="Q936" s="195">
        <v>31110001</v>
      </c>
      <c r="R936" s="196"/>
      <c r="S936" s="200" t="s">
        <v>1017</v>
      </c>
      <c r="T936" s="194">
        <f>SUM(T937)-SUM(U937)</f>
        <v>617969.1</v>
      </c>
      <c r="U936" s="194">
        <v>0</v>
      </c>
    </row>
    <row r="937" spans="1:21" x14ac:dyDescent="0.3">
      <c r="B937" s="37"/>
      <c r="C937" s="13"/>
      <c r="D937" s="283"/>
      <c r="E937" s="283"/>
      <c r="G937" s="37"/>
      <c r="H937" s="13"/>
      <c r="I937" s="283"/>
      <c r="J937" s="283"/>
      <c r="L937" s="37"/>
      <c r="M937" s="13"/>
      <c r="N937" s="283"/>
      <c r="O937" s="283"/>
      <c r="Q937" s="37"/>
      <c r="R937" s="128" t="s">
        <v>2138</v>
      </c>
      <c r="S937" s="14" t="s">
        <v>7</v>
      </c>
      <c r="T937" s="147">
        <v>617969.1</v>
      </c>
      <c r="U937" s="147">
        <v>0</v>
      </c>
    </row>
    <row r="938" spans="1:21" x14ac:dyDescent="0.3">
      <c r="B938" s="37"/>
      <c r="C938" s="13"/>
      <c r="D938" s="283"/>
      <c r="E938" s="283"/>
      <c r="G938" s="37"/>
      <c r="H938" s="13"/>
      <c r="I938" s="283"/>
      <c r="J938" s="283"/>
      <c r="L938" s="37"/>
      <c r="M938" s="13"/>
      <c r="N938" s="283"/>
      <c r="O938" s="283"/>
      <c r="Q938" s="195">
        <v>31110002</v>
      </c>
      <c r="R938" s="196"/>
      <c r="S938" s="200" t="s">
        <v>1015</v>
      </c>
      <c r="T938" s="194">
        <f>SUM(T939)-SUM(U939)</f>
        <v>864253560.93000007</v>
      </c>
      <c r="U938" s="194">
        <v>0</v>
      </c>
    </row>
    <row r="939" spans="1:21" x14ac:dyDescent="0.3">
      <c r="B939" s="37"/>
      <c r="C939" s="13"/>
      <c r="D939" s="283"/>
      <c r="E939" s="283"/>
      <c r="G939" s="37"/>
      <c r="H939" s="13"/>
      <c r="I939" s="283"/>
      <c r="J939" s="283"/>
      <c r="L939" s="37"/>
      <c r="M939" s="13"/>
      <c r="N939" s="283"/>
      <c r="O939" s="283"/>
      <c r="Q939" s="37"/>
      <c r="R939" s="128" t="s">
        <v>2138</v>
      </c>
      <c r="S939" s="13" t="s">
        <v>7</v>
      </c>
      <c r="T939" s="147">
        <v>864253560.93000007</v>
      </c>
      <c r="U939" s="147">
        <v>0</v>
      </c>
    </row>
    <row r="940" spans="1:21" x14ac:dyDescent="0.3">
      <c r="B940" s="37"/>
      <c r="C940" s="13"/>
      <c r="D940" s="283"/>
      <c r="E940" s="283"/>
      <c r="G940" s="37"/>
      <c r="H940" s="282"/>
      <c r="I940" s="283"/>
      <c r="J940" s="283"/>
      <c r="K940">
        <v>3112</v>
      </c>
      <c r="L940" s="195">
        <v>3112</v>
      </c>
      <c r="M940" s="197" t="s">
        <v>898</v>
      </c>
      <c r="N940" s="288">
        <f>T940</f>
        <v>0</v>
      </c>
      <c r="O940" s="288">
        <v>0</v>
      </c>
      <c r="Q940" s="195">
        <v>32030001</v>
      </c>
      <c r="R940" s="196"/>
      <c r="S940" s="200" t="s">
        <v>1018</v>
      </c>
      <c r="T940" s="194">
        <v>0</v>
      </c>
      <c r="U940" s="194">
        <v>0</v>
      </c>
    </row>
    <row r="941" spans="1:21" x14ac:dyDescent="0.3">
      <c r="B941" s="39"/>
      <c r="C941" s="16"/>
      <c r="D941" s="285"/>
      <c r="E941" s="285"/>
      <c r="G941" s="39"/>
      <c r="H941" s="284"/>
      <c r="I941" s="285"/>
      <c r="J941" s="285"/>
      <c r="L941" s="39"/>
      <c r="M941" s="16"/>
      <c r="N941" s="285"/>
      <c r="O941" s="285"/>
      <c r="Q941" s="39"/>
      <c r="R941" s="130"/>
      <c r="S941" s="16"/>
      <c r="T941" s="149"/>
      <c r="U941" s="149"/>
    </row>
    <row r="943" spans="1:21" x14ac:dyDescent="0.3">
      <c r="A943">
        <v>4</v>
      </c>
      <c r="B943" s="207">
        <v>4</v>
      </c>
      <c r="C943" s="208" t="s">
        <v>2061</v>
      </c>
      <c r="D943" s="299">
        <v>0</v>
      </c>
      <c r="E943" s="299">
        <f>J943</f>
        <v>3502667498</v>
      </c>
      <c r="F943">
        <v>40</v>
      </c>
      <c r="G943" s="207">
        <v>40</v>
      </c>
      <c r="H943" s="208" t="s">
        <v>2062</v>
      </c>
      <c r="I943" s="299">
        <v>0</v>
      </c>
      <c r="J943" s="299">
        <f>O943+O974</f>
        <v>3502667498</v>
      </c>
      <c r="K943">
        <v>4001</v>
      </c>
      <c r="L943" s="207">
        <v>4001</v>
      </c>
      <c r="M943" s="298" t="s">
        <v>901</v>
      </c>
      <c r="N943" s="299">
        <v>0</v>
      </c>
      <c r="O943" s="299">
        <f>(U943+U944+U947+U950+U951+U954+U957+U958+U960+U963+U964+U966+U972+U969)-(T943+T944+T947+T950+T951+T954+T957+T958+T960+T963+T964+T966+T969+T972)</f>
        <v>40633497</v>
      </c>
      <c r="Q943" s="207">
        <v>40010001</v>
      </c>
      <c r="R943" s="207"/>
      <c r="S943" s="208" t="s">
        <v>901</v>
      </c>
      <c r="T943" s="209">
        <v>0</v>
      </c>
      <c r="U943" s="209">
        <v>0</v>
      </c>
    </row>
    <row r="944" spans="1:21" x14ac:dyDescent="0.3">
      <c r="B944" s="41"/>
      <c r="C944" s="17"/>
      <c r="D944" s="294"/>
      <c r="E944" s="294"/>
      <c r="G944" s="41"/>
      <c r="H944" s="17"/>
      <c r="I944" s="294"/>
      <c r="J944" s="294"/>
      <c r="L944" s="41"/>
      <c r="M944" s="296"/>
      <c r="N944" s="294"/>
      <c r="O944" s="294"/>
      <c r="Q944" s="203">
        <v>40010002</v>
      </c>
      <c r="R944" s="204"/>
      <c r="S944" s="205" t="s">
        <v>1021</v>
      </c>
      <c r="T944" s="206">
        <v>0</v>
      </c>
      <c r="U944" s="206">
        <f>SUM(U945:U946)-SUM(T945:T946)</f>
        <v>8200182</v>
      </c>
    </row>
    <row r="945" spans="2:21" x14ac:dyDescent="0.3">
      <c r="B945" s="41"/>
      <c r="C945" s="17"/>
      <c r="D945" s="294"/>
      <c r="E945" s="294"/>
      <c r="G945" s="41"/>
      <c r="H945" s="17"/>
      <c r="I945" s="294"/>
      <c r="J945" s="294"/>
      <c r="L945" s="41"/>
      <c r="M945" s="296"/>
      <c r="N945" s="294"/>
      <c r="O945" s="294"/>
      <c r="Q945" s="41"/>
      <c r="R945" s="131" t="s">
        <v>2138</v>
      </c>
      <c r="S945" s="17" t="s">
        <v>7</v>
      </c>
      <c r="T945" s="150">
        <v>0</v>
      </c>
      <c r="U945" s="150">
        <v>8193449</v>
      </c>
    </row>
    <row r="946" spans="2:21" x14ac:dyDescent="0.3">
      <c r="B946" s="41"/>
      <c r="C946" s="17"/>
      <c r="D946" s="294"/>
      <c r="E946" s="294"/>
      <c r="G946" s="41"/>
      <c r="H946" s="17"/>
      <c r="I946" s="294"/>
      <c r="J946" s="294"/>
      <c r="L946" s="41"/>
      <c r="M946" s="296"/>
      <c r="N946" s="294"/>
      <c r="O946" s="294"/>
      <c r="Q946" s="41"/>
      <c r="R946" s="131" t="s">
        <v>2152</v>
      </c>
      <c r="S946" s="17" t="s">
        <v>2153</v>
      </c>
      <c r="T946" s="150">
        <v>0</v>
      </c>
      <c r="U946" s="150">
        <v>6733</v>
      </c>
    </row>
    <row r="947" spans="2:21" x14ac:dyDescent="0.3">
      <c r="B947" s="41"/>
      <c r="C947" s="17"/>
      <c r="D947" s="294"/>
      <c r="E947" s="294"/>
      <c r="G947" s="41"/>
      <c r="H947" s="17"/>
      <c r="I947" s="294"/>
      <c r="J947" s="294"/>
      <c r="L947" s="41"/>
      <c r="M947" s="296"/>
      <c r="N947" s="294"/>
      <c r="O947" s="294"/>
      <c r="Q947" s="203">
        <v>40010003</v>
      </c>
      <c r="R947" s="204"/>
      <c r="S947" s="205" t="s">
        <v>1022</v>
      </c>
      <c r="T947" s="206">
        <v>0</v>
      </c>
      <c r="U947" s="206">
        <f>SUM(U948:U949)-SUM(T948:T949)</f>
        <v>61251903</v>
      </c>
    </row>
    <row r="948" spans="2:21" x14ac:dyDescent="0.3">
      <c r="B948" s="41"/>
      <c r="C948" s="17"/>
      <c r="D948" s="294"/>
      <c r="E948" s="294"/>
      <c r="G948" s="41"/>
      <c r="H948" s="17"/>
      <c r="I948" s="294"/>
      <c r="J948" s="294"/>
      <c r="L948" s="41"/>
      <c r="M948" s="296"/>
      <c r="N948" s="294"/>
      <c r="O948" s="294"/>
      <c r="Q948" s="41"/>
      <c r="R948" s="131" t="s">
        <v>2138</v>
      </c>
      <c r="S948" s="17" t="s">
        <v>7</v>
      </c>
      <c r="T948" s="150">
        <v>0</v>
      </c>
      <c r="U948" s="150">
        <v>25363399</v>
      </c>
    </row>
    <row r="949" spans="2:21" x14ac:dyDescent="0.3">
      <c r="B949" s="41"/>
      <c r="C949" s="17"/>
      <c r="D949" s="294"/>
      <c r="E949" s="294"/>
      <c r="G949" s="41"/>
      <c r="H949" s="17"/>
      <c r="I949" s="294"/>
      <c r="J949" s="294"/>
      <c r="L949" s="41"/>
      <c r="M949" s="296"/>
      <c r="N949" s="294"/>
      <c r="O949" s="294"/>
      <c r="Q949" s="41"/>
      <c r="R949" s="131" t="s">
        <v>2152</v>
      </c>
      <c r="S949" s="17" t="s">
        <v>2153</v>
      </c>
      <c r="T949" s="150">
        <v>0</v>
      </c>
      <c r="U949" s="150">
        <v>35888504</v>
      </c>
    </row>
    <row r="950" spans="2:21" x14ac:dyDescent="0.3">
      <c r="B950" s="41"/>
      <c r="C950" s="17"/>
      <c r="D950" s="294"/>
      <c r="E950" s="294"/>
      <c r="G950" s="41"/>
      <c r="H950" s="17"/>
      <c r="I950" s="294"/>
      <c r="J950" s="294"/>
      <c r="L950" s="41"/>
      <c r="M950" s="296"/>
      <c r="N950" s="294"/>
      <c r="O950" s="294"/>
      <c r="Q950" s="203">
        <v>40010004</v>
      </c>
      <c r="R950" s="204"/>
      <c r="S950" s="205" t="s">
        <v>1023</v>
      </c>
      <c r="T950" s="206">
        <v>0</v>
      </c>
      <c r="U950" s="206">
        <v>0</v>
      </c>
    </row>
    <row r="951" spans="2:21" x14ac:dyDescent="0.3">
      <c r="B951" s="41"/>
      <c r="C951" s="17"/>
      <c r="D951" s="294"/>
      <c r="E951" s="294"/>
      <c r="G951" s="41"/>
      <c r="H951" s="17"/>
      <c r="I951" s="294"/>
      <c r="J951" s="294"/>
      <c r="L951" s="41"/>
      <c r="M951" s="296"/>
      <c r="N951" s="294"/>
      <c r="O951" s="294"/>
      <c r="Q951" s="203">
        <v>40010005</v>
      </c>
      <c r="R951" s="204"/>
      <c r="S951" s="205" t="s">
        <v>1024</v>
      </c>
      <c r="T951" s="206">
        <f>SUM(T952:T953)-SUM(U952:U953)</f>
        <v>2776214</v>
      </c>
      <c r="U951" s="206">
        <v>0</v>
      </c>
    </row>
    <row r="952" spans="2:21" x14ac:dyDescent="0.3">
      <c r="B952" s="41"/>
      <c r="C952" s="17"/>
      <c r="D952" s="294"/>
      <c r="E952" s="294"/>
      <c r="G952" s="41"/>
      <c r="H952" s="17"/>
      <c r="I952" s="294"/>
      <c r="J952" s="294"/>
      <c r="L952" s="41"/>
      <c r="M952" s="296"/>
      <c r="N952" s="294"/>
      <c r="O952" s="294"/>
      <c r="Q952" s="41"/>
      <c r="R952" s="131" t="s">
        <v>2138</v>
      </c>
      <c r="S952" s="17" t="s">
        <v>7</v>
      </c>
      <c r="T952" s="150">
        <v>2774731</v>
      </c>
      <c r="U952" s="150">
        <v>0</v>
      </c>
    </row>
    <row r="953" spans="2:21" x14ac:dyDescent="0.3">
      <c r="B953" s="41"/>
      <c r="C953" s="17"/>
      <c r="D953" s="294"/>
      <c r="E953" s="294"/>
      <c r="G953" s="41"/>
      <c r="H953" s="17"/>
      <c r="I953" s="294"/>
      <c r="J953" s="294"/>
      <c r="L953" s="41"/>
      <c r="M953" s="296"/>
      <c r="N953" s="294"/>
      <c r="O953" s="294"/>
      <c r="Q953" s="41"/>
      <c r="R953" s="131" t="s">
        <v>2152</v>
      </c>
      <c r="S953" s="17" t="s">
        <v>2153</v>
      </c>
      <c r="T953" s="150">
        <v>1483</v>
      </c>
      <c r="U953" s="150">
        <v>0</v>
      </c>
    </row>
    <row r="954" spans="2:21" x14ac:dyDescent="0.3">
      <c r="B954" s="41"/>
      <c r="C954" s="17"/>
      <c r="D954" s="294"/>
      <c r="E954" s="294"/>
      <c r="G954" s="41"/>
      <c r="H954" s="17"/>
      <c r="I954" s="294"/>
      <c r="J954" s="294"/>
      <c r="L954" s="41"/>
      <c r="M954" s="296"/>
      <c r="N954" s="294"/>
      <c r="O954" s="294"/>
      <c r="Q954" s="203">
        <v>40010006</v>
      </c>
      <c r="R954" s="204"/>
      <c r="S954" s="205" t="s">
        <v>1025</v>
      </c>
      <c r="T954" s="206">
        <f>SUM(T955:T956)-SUM(U955:U956)</f>
        <v>15405187</v>
      </c>
      <c r="U954" s="206">
        <v>0</v>
      </c>
    </row>
    <row r="955" spans="2:21" x14ac:dyDescent="0.3">
      <c r="B955" s="41"/>
      <c r="C955" s="17"/>
      <c r="D955" s="294"/>
      <c r="E955" s="294"/>
      <c r="G955" s="41"/>
      <c r="H955" s="17"/>
      <c r="I955" s="294"/>
      <c r="J955" s="294"/>
      <c r="L955" s="41"/>
      <c r="M955" s="296"/>
      <c r="N955" s="294"/>
      <c r="O955" s="294"/>
      <c r="Q955" s="41"/>
      <c r="R955" s="131" t="s">
        <v>2138</v>
      </c>
      <c r="S955" s="17" t="s">
        <v>7</v>
      </c>
      <c r="T955" s="150">
        <v>8263602</v>
      </c>
      <c r="U955" s="150">
        <v>0</v>
      </c>
    </row>
    <row r="956" spans="2:21" x14ac:dyDescent="0.3">
      <c r="B956" s="41"/>
      <c r="C956" s="17"/>
      <c r="D956" s="294"/>
      <c r="E956" s="294"/>
      <c r="G956" s="41"/>
      <c r="H956" s="17"/>
      <c r="I956" s="294"/>
      <c r="J956" s="294"/>
      <c r="L956" s="41"/>
      <c r="M956" s="296"/>
      <c r="N956" s="294"/>
      <c r="O956" s="294"/>
      <c r="Q956" s="41"/>
      <c r="R956" s="131" t="s">
        <v>2152</v>
      </c>
      <c r="S956" s="17" t="s">
        <v>2153</v>
      </c>
      <c r="T956" s="150">
        <v>7141585</v>
      </c>
      <c r="U956" s="150">
        <v>0</v>
      </c>
    </row>
    <row r="957" spans="2:21" x14ac:dyDescent="0.3">
      <c r="B957" s="41"/>
      <c r="C957" s="17"/>
      <c r="D957" s="294"/>
      <c r="E957" s="294"/>
      <c r="G957" s="41"/>
      <c r="H957" s="17"/>
      <c r="I957" s="294"/>
      <c r="J957" s="294"/>
      <c r="L957" s="41"/>
      <c r="M957" s="296"/>
      <c r="N957" s="294"/>
      <c r="O957" s="294"/>
      <c r="Q957" s="203">
        <v>40010007</v>
      </c>
      <c r="R957" s="204"/>
      <c r="S957" s="205" t="s">
        <v>1026</v>
      </c>
      <c r="T957" s="206">
        <v>0</v>
      </c>
      <c r="U957" s="206">
        <v>0</v>
      </c>
    </row>
    <row r="958" spans="2:21" x14ac:dyDescent="0.3">
      <c r="B958" s="41"/>
      <c r="C958" s="17"/>
      <c r="D958" s="294"/>
      <c r="E958" s="294"/>
      <c r="G958" s="41"/>
      <c r="H958" s="17"/>
      <c r="I958" s="294"/>
      <c r="J958" s="294"/>
      <c r="L958" s="41"/>
      <c r="M958" s="296"/>
      <c r="N958" s="294"/>
      <c r="O958" s="294"/>
      <c r="Q958" s="203">
        <v>40010008</v>
      </c>
      <c r="R958" s="204"/>
      <c r="S958" s="205" t="s">
        <v>1027</v>
      </c>
      <c r="T958" s="206">
        <f>SUM(T959)-SUM(U959)</f>
        <v>8007</v>
      </c>
      <c r="U958" s="206">
        <v>0</v>
      </c>
    </row>
    <row r="959" spans="2:21" x14ac:dyDescent="0.3">
      <c r="B959" s="41"/>
      <c r="C959" s="17"/>
      <c r="D959" s="294"/>
      <c r="E959" s="294"/>
      <c r="G959" s="41"/>
      <c r="H959" s="17"/>
      <c r="I959" s="294"/>
      <c r="J959" s="294"/>
      <c r="L959" s="41"/>
      <c r="M959" s="296"/>
      <c r="N959" s="294"/>
      <c r="O959" s="294"/>
      <c r="Q959" s="41"/>
      <c r="R959" s="131" t="s">
        <v>2138</v>
      </c>
      <c r="S959" s="17" t="s">
        <v>7</v>
      </c>
      <c r="T959" s="150">
        <v>8007</v>
      </c>
      <c r="U959" s="150">
        <v>0</v>
      </c>
    </row>
    <row r="960" spans="2:21" x14ac:dyDescent="0.3">
      <c r="B960" s="41"/>
      <c r="C960" s="17"/>
      <c r="D960" s="294"/>
      <c r="E960" s="294"/>
      <c r="G960" s="41"/>
      <c r="H960" s="17"/>
      <c r="I960" s="294"/>
      <c r="J960" s="294"/>
      <c r="L960" s="41"/>
      <c r="M960" s="296"/>
      <c r="N960" s="294"/>
      <c r="O960" s="294"/>
      <c r="Q960" s="203">
        <v>40010009</v>
      </c>
      <c r="R960" s="204"/>
      <c r="S960" s="205" t="s">
        <v>1028</v>
      </c>
      <c r="T960" s="206">
        <f>SUM(T961:T962)-SUM(U961:U962)</f>
        <v>990198</v>
      </c>
      <c r="U960" s="206">
        <v>0</v>
      </c>
    </row>
    <row r="961" spans="2:21" x14ac:dyDescent="0.3">
      <c r="B961" s="41"/>
      <c r="C961" s="17"/>
      <c r="D961" s="294"/>
      <c r="E961" s="294"/>
      <c r="G961" s="41"/>
      <c r="H961" s="17"/>
      <c r="I961" s="294"/>
      <c r="J961" s="294"/>
      <c r="L961" s="41"/>
      <c r="M961" s="296"/>
      <c r="N961" s="294"/>
      <c r="O961" s="294"/>
      <c r="Q961" s="41"/>
      <c r="R961" s="131" t="s">
        <v>2138</v>
      </c>
      <c r="S961" s="17" t="s">
        <v>7</v>
      </c>
      <c r="T961" s="150">
        <v>195318</v>
      </c>
      <c r="U961" s="150">
        <v>0</v>
      </c>
    </row>
    <row r="962" spans="2:21" x14ac:dyDescent="0.3">
      <c r="B962" s="41"/>
      <c r="C962" s="17"/>
      <c r="D962" s="294"/>
      <c r="E962" s="294"/>
      <c r="G962" s="41"/>
      <c r="H962" s="17"/>
      <c r="I962" s="294"/>
      <c r="J962" s="294"/>
      <c r="L962" s="41"/>
      <c r="M962" s="296"/>
      <c r="N962" s="294"/>
      <c r="O962" s="294"/>
      <c r="Q962" s="41"/>
      <c r="R962" s="131" t="s">
        <v>2152</v>
      </c>
      <c r="S962" s="17" t="s">
        <v>2153</v>
      </c>
      <c r="T962" s="150">
        <v>794880</v>
      </c>
      <c r="U962" s="150">
        <v>0</v>
      </c>
    </row>
    <row r="963" spans="2:21" x14ac:dyDescent="0.3">
      <c r="B963" s="41"/>
      <c r="C963" s="17"/>
      <c r="D963" s="294"/>
      <c r="E963" s="294"/>
      <c r="G963" s="41"/>
      <c r="H963" s="17"/>
      <c r="I963" s="294"/>
      <c r="J963" s="294"/>
      <c r="L963" s="41"/>
      <c r="M963" s="296"/>
      <c r="N963" s="294"/>
      <c r="O963" s="294"/>
      <c r="Q963" s="203">
        <v>40010010</v>
      </c>
      <c r="R963" s="204"/>
      <c r="S963" s="205" t="s">
        <v>1029</v>
      </c>
      <c r="T963" s="206">
        <v>0</v>
      </c>
      <c r="U963" s="206">
        <v>0</v>
      </c>
    </row>
    <row r="964" spans="2:21" x14ac:dyDescent="0.3">
      <c r="B964" s="41"/>
      <c r="C964" s="17"/>
      <c r="D964" s="294"/>
      <c r="E964" s="294"/>
      <c r="G964" s="41"/>
      <c r="H964" s="17"/>
      <c r="I964" s="294"/>
      <c r="J964" s="294"/>
      <c r="L964" s="41"/>
      <c r="M964" s="296"/>
      <c r="N964" s="294"/>
      <c r="O964" s="294"/>
      <c r="Q964" s="203">
        <v>40010011</v>
      </c>
      <c r="R964" s="204"/>
      <c r="S964" s="205" t="s">
        <v>1030</v>
      </c>
      <c r="T964" s="206">
        <v>0</v>
      </c>
      <c r="U964" s="206">
        <f>SUM(U965)-SUM(T965)</f>
        <v>2737</v>
      </c>
    </row>
    <row r="965" spans="2:21" x14ac:dyDescent="0.3">
      <c r="B965" s="41"/>
      <c r="C965" s="17"/>
      <c r="D965" s="294"/>
      <c r="E965" s="294"/>
      <c r="G965" s="41"/>
      <c r="H965" s="17"/>
      <c r="I965" s="294"/>
      <c r="J965" s="294"/>
      <c r="L965" s="41"/>
      <c r="M965" s="296"/>
      <c r="N965" s="294"/>
      <c r="O965" s="294"/>
      <c r="Q965" s="41"/>
      <c r="R965" s="131" t="s">
        <v>2138</v>
      </c>
      <c r="S965" s="17" t="s">
        <v>7</v>
      </c>
      <c r="T965" s="150">
        <v>0</v>
      </c>
      <c r="U965" s="150">
        <v>2737</v>
      </c>
    </row>
    <row r="966" spans="2:21" x14ac:dyDescent="0.3">
      <c r="B966" s="41"/>
      <c r="C966" s="17"/>
      <c r="D966" s="294"/>
      <c r="E966" s="294"/>
      <c r="G966" s="41"/>
      <c r="H966" s="17"/>
      <c r="I966" s="294"/>
      <c r="J966" s="294"/>
      <c r="L966" s="41"/>
      <c r="M966" s="296"/>
      <c r="N966" s="294"/>
      <c r="O966" s="294"/>
      <c r="Q966" s="203">
        <v>40010012</v>
      </c>
      <c r="R966" s="204"/>
      <c r="S966" s="205" t="s">
        <v>1031</v>
      </c>
      <c r="T966" s="206">
        <v>0</v>
      </c>
      <c r="U966" s="206">
        <f>SUM(U967:U968)-SUM(T967:T968)</f>
        <v>195208</v>
      </c>
    </row>
    <row r="967" spans="2:21" x14ac:dyDescent="0.3">
      <c r="B967" s="41"/>
      <c r="C967" s="17"/>
      <c r="D967" s="294"/>
      <c r="E967" s="294"/>
      <c r="G967" s="41"/>
      <c r="H967" s="17"/>
      <c r="I967" s="294"/>
      <c r="J967" s="294"/>
      <c r="L967" s="41"/>
      <c r="M967" s="296"/>
      <c r="N967" s="294"/>
      <c r="O967" s="294"/>
      <c r="Q967" s="41"/>
      <c r="R967" s="131" t="s">
        <v>2138</v>
      </c>
      <c r="S967" s="17" t="s">
        <v>7</v>
      </c>
      <c r="T967" s="150">
        <v>0</v>
      </c>
      <c r="U967" s="150">
        <v>62728</v>
      </c>
    </row>
    <row r="968" spans="2:21" x14ac:dyDescent="0.3">
      <c r="B968" s="41"/>
      <c r="C968" s="17"/>
      <c r="D968" s="294"/>
      <c r="E968" s="294"/>
      <c r="G968" s="41"/>
      <c r="H968" s="17"/>
      <c r="I968" s="294"/>
      <c r="J968" s="294"/>
      <c r="L968" s="41"/>
      <c r="M968" s="296"/>
      <c r="N968" s="294"/>
      <c r="O968" s="294"/>
      <c r="Q968" s="41"/>
      <c r="R968" s="131" t="s">
        <v>2152</v>
      </c>
      <c r="S968" s="17" t="s">
        <v>2153</v>
      </c>
      <c r="T968" s="150">
        <v>0</v>
      </c>
      <c r="U968" s="150">
        <v>132480</v>
      </c>
    </row>
    <row r="969" spans="2:21" x14ac:dyDescent="0.3">
      <c r="B969" s="41"/>
      <c r="C969" s="17"/>
      <c r="D969" s="294"/>
      <c r="E969" s="294"/>
      <c r="G969" s="41"/>
      <c r="H969" s="17"/>
      <c r="I969" s="294"/>
      <c r="J969" s="294"/>
      <c r="L969" s="41"/>
      <c r="M969" s="296"/>
      <c r="N969" s="294"/>
      <c r="O969" s="294"/>
      <c r="Q969" s="203">
        <v>40010013</v>
      </c>
      <c r="R969" s="204"/>
      <c r="S969" s="205" t="s">
        <v>1032</v>
      </c>
      <c r="T969" s="206">
        <f>SUM(T970:T971)-SUM(U970:U971)</f>
        <v>9836927</v>
      </c>
      <c r="U969" s="206">
        <v>0</v>
      </c>
    </row>
    <row r="970" spans="2:21" x14ac:dyDescent="0.3">
      <c r="B970" s="41"/>
      <c r="C970" s="17"/>
      <c r="D970" s="294"/>
      <c r="E970" s="294"/>
      <c r="G970" s="41"/>
      <c r="H970" s="17"/>
      <c r="I970" s="294"/>
      <c r="J970" s="294"/>
      <c r="L970" s="41"/>
      <c r="M970" s="296"/>
      <c r="N970" s="294"/>
      <c r="O970" s="294"/>
      <c r="Q970" s="41"/>
      <c r="R970" s="131" t="s">
        <v>2138</v>
      </c>
      <c r="S970" s="17" t="s">
        <v>7</v>
      </c>
      <c r="T970" s="150">
        <v>4219222</v>
      </c>
      <c r="U970" s="150">
        <v>0</v>
      </c>
    </row>
    <row r="971" spans="2:21" x14ac:dyDescent="0.3">
      <c r="B971" s="41"/>
      <c r="C971" s="17"/>
      <c r="D971" s="294"/>
      <c r="E971" s="294"/>
      <c r="G971" s="41"/>
      <c r="H971" s="17"/>
      <c r="I971" s="294"/>
      <c r="J971" s="294"/>
      <c r="L971" s="41"/>
      <c r="M971" s="296"/>
      <c r="N971" s="294"/>
      <c r="O971" s="294"/>
      <c r="Q971" s="41"/>
      <c r="R971" s="131" t="s">
        <v>2152</v>
      </c>
      <c r="S971" s="17" t="s">
        <v>2153</v>
      </c>
      <c r="T971" s="150">
        <v>5617705</v>
      </c>
      <c r="U971" s="150">
        <v>0</v>
      </c>
    </row>
    <row r="972" spans="2:21" x14ac:dyDescent="0.3">
      <c r="B972" s="41"/>
      <c r="C972" s="17"/>
      <c r="D972" s="294"/>
      <c r="E972" s="294"/>
      <c r="G972" s="41"/>
      <c r="H972" s="17"/>
      <c r="I972" s="294"/>
      <c r="J972" s="294"/>
      <c r="L972" s="41"/>
      <c r="M972" s="296"/>
      <c r="N972" s="294"/>
      <c r="O972" s="294"/>
      <c r="Q972" s="203">
        <v>40010014</v>
      </c>
      <c r="R972" s="204"/>
      <c r="S972" s="205" t="s">
        <v>1033</v>
      </c>
      <c r="T972" s="206">
        <v>0</v>
      </c>
      <c r="U972" s="206">
        <v>0</v>
      </c>
    </row>
    <row r="973" spans="2:21" x14ac:dyDescent="0.3">
      <c r="B973" s="41"/>
      <c r="C973" s="17"/>
      <c r="D973" s="294"/>
      <c r="E973" s="294"/>
      <c r="G973" s="41"/>
      <c r="H973" s="17"/>
      <c r="I973" s="294"/>
      <c r="J973" s="294"/>
      <c r="L973" s="41"/>
      <c r="M973" s="296"/>
      <c r="N973" s="294"/>
      <c r="O973" s="294"/>
      <c r="Q973" s="41"/>
      <c r="R973" s="131"/>
      <c r="S973" s="17"/>
      <c r="T973" s="150"/>
      <c r="U973" s="150"/>
    </row>
    <row r="974" spans="2:21" x14ac:dyDescent="0.3">
      <c r="B974" s="41"/>
      <c r="C974" s="17"/>
      <c r="D974" s="294"/>
      <c r="E974" s="294"/>
      <c r="G974" s="41"/>
      <c r="H974" s="17"/>
      <c r="I974" s="294"/>
      <c r="J974" s="294"/>
      <c r="K974">
        <v>4002</v>
      </c>
      <c r="L974" s="203">
        <v>4002</v>
      </c>
      <c r="M974" s="300" t="s">
        <v>902</v>
      </c>
      <c r="N974" s="301">
        <v>0</v>
      </c>
      <c r="O974" s="301">
        <f>(+U974+U975+U1008+U1054+U1055+U1085+U1131+U1132+U1156+U1200+U1201+U1225+U1269+U1315)-(T974+T975+T1008+T1054+T1055+T1085+T1131+T1132+T1156+T1200+T1201+T1225+T1269+T1315)</f>
        <v>3462034001</v>
      </c>
      <c r="Q974" s="203">
        <v>40020001</v>
      </c>
      <c r="R974" s="204"/>
      <c r="S974" s="205" t="s">
        <v>902</v>
      </c>
      <c r="T974" s="206">
        <v>0</v>
      </c>
      <c r="U974" s="206">
        <v>0</v>
      </c>
    </row>
    <row r="975" spans="2:21" x14ac:dyDescent="0.3">
      <c r="B975" s="41"/>
      <c r="C975" s="17"/>
      <c r="D975" s="294"/>
      <c r="E975" s="294"/>
      <c r="G975" s="41"/>
      <c r="H975" s="17"/>
      <c r="I975" s="294"/>
      <c r="J975" s="294"/>
      <c r="L975" s="41"/>
      <c r="M975" s="296"/>
      <c r="N975" s="294"/>
      <c r="O975" s="294"/>
      <c r="Q975" s="203">
        <v>40020002</v>
      </c>
      <c r="R975" s="204"/>
      <c r="S975" s="205" t="s">
        <v>1034</v>
      </c>
      <c r="T975" s="206">
        <v>0</v>
      </c>
      <c r="U975" s="206">
        <f>SUM(U976:U1006)-SUM(T976:T1006)</f>
        <v>1273196195</v>
      </c>
    </row>
    <row r="976" spans="2:21" x14ac:dyDescent="0.3">
      <c r="B976" s="41"/>
      <c r="C976" s="17"/>
      <c r="D976" s="294"/>
      <c r="E976" s="294"/>
      <c r="G976" s="41"/>
      <c r="H976" s="17"/>
      <c r="I976" s="294"/>
      <c r="J976" s="294"/>
      <c r="L976" s="41"/>
      <c r="M976" s="296"/>
      <c r="N976" s="294"/>
      <c r="O976" s="294"/>
      <c r="Q976" s="41"/>
      <c r="R976" s="131" t="s">
        <v>1931</v>
      </c>
      <c r="S976" s="17" t="s">
        <v>1932</v>
      </c>
      <c r="T976" s="150">
        <v>0</v>
      </c>
      <c r="U976" s="150">
        <v>3382565</v>
      </c>
    </row>
    <row r="977" spans="2:21" x14ac:dyDescent="0.3">
      <c r="B977" s="41"/>
      <c r="C977" s="17"/>
      <c r="D977" s="294"/>
      <c r="E977" s="294"/>
      <c r="G977" s="41"/>
      <c r="H977" s="17"/>
      <c r="I977" s="294"/>
      <c r="J977" s="294"/>
      <c r="L977" s="41"/>
      <c r="M977" s="296"/>
      <c r="N977" s="294"/>
      <c r="O977" s="294"/>
      <c r="Q977" s="41"/>
      <c r="R977" s="131" t="s">
        <v>1934</v>
      </c>
      <c r="S977" s="17" t="s">
        <v>2196</v>
      </c>
      <c r="T977" s="150">
        <v>0</v>
      </c>
      <c r="U977" s="150">
        <v>1262273</v>
      </c>
    </row>
    <row r="978" spans="2:21" x14ac:dyDescent="0.3">
      <c r="B978" s="41"/>
      <c r="C978" s="17"/>
      <c r="D978" s="294"/>
      <c r="E978" s="294"/>
      <c r="G978" s="41"/>
      <c r="H978" s="17"/>
      <c r="I978" s="294"/>
      <c r="J978" s="294"/>
      <c r="L978" s="41"/>
      <c r="M978" s="296"/>
      <c r="N978" s="294"/>
      <c r="O978" s="294"/>
      <c r="Q978" s="41"/>
      <c r="R978" s="131" t="s">
        <v>2340</v>
      </c>
      <c r="S978" s="17" t="s">
        <v>2159</v>
      </c>
      <c r="T978" s="150">
        <v>0</v>
      </c>
      <c r="U978" s="150">
        <v>167084120</v>
      </c>
    </row>
    <row r="979" spans="2:21" x14ac:dyDescent="0.3">
      <c r="B979" s="41"/>
      <c r="C979" s="17"/>
      <c r="D979" s="294"/>
      <c r="E979" s="294"/>
      <c r="G979" s="41"/>
      <c r="H979" s="17"/>
      <c r="I979" s="294"/>
      <c r="J979" s="294"/>
      <c r="L979" s="41"/>
      <c r="M979" s="296"/>
      <c r="N979" s="294"/>
      <c r="O979" s="294"/>
      <c r="Q979" s="41"/>
      <c r="R979" s="131" t="s">
        <v>2160</v>
      </c>
      <c r="S979" s="17" t="s">
        <v>2161</v>
      </c>
      <c r="T979" s="150">
        <v>0</v>
      </c>
      <c r="U979" s="150">
        <v>37446598</v>
      </c>
    </row>
    <row r="980" spans="2:21" x14ac:dyDescent="0.3">
      <c r="B980" s="41"/>
      <c r="C980" s="17"/>
      <c r="D980" s="294"/>
      <c r="E980" s="294"/>
      <c r="G980" s="41"/>
      <c r="H980" s="17"/>
      <c r="I980" s="294"/>
      <c r="J980" s="294"/>
      <c r="L980" s="41"/>
      <c r="M980" s="296"/>
      <c r="N980" s="294"/>
      <c r="O980" s="294"/>
      <c r="Q980" s="41"/>
      <c r="R980" s="131" t="s">
        <v>2162</v>
      </c>
      <c r="S980" s="17" t="s">
        <v>2163</v>
      </c>
      <c r="T980" s="150">
        <v>0</v>
      </c>
      <c r="U980" s="150">
        <v>43622536</v>
      </c>
    </row>
    <row r="981" spans="2:21" x14ac:dyDescent="0.3">
      <c r="B981" s="41"/>
      <c r="C981" s="17"/>
      <c r="D981" s="294"/>
      <c r="E981" s="294"/>
      <c r="G981" s="41"/>
      <c r="H981" s="17"/>
      <c r="I981" s="294"/>
      <c r="J981" s="294"/>
      <c r="L981" s="41"/>
      <c r="M981" s="296"/>
      <c r="N981" s="294"/>
      <c r="O981" s="294"/>
      <c r="Q981" s="41"/>
      <c r="R981" s="131" t="s">
        <v>2165</v>
      </c>
      <c r="S981" s="17" t="s">
        <v>2166</v>
      </c>
      <c r="T981" s="150">
        <v>0</v>
      </c>
      <c r="U981" s="150">
        <v>68348726</v>
      </c>
    </row>
    <row r="982" spans="2:21" x14ac:dyDescent="0.3">
      <c r="B982" s="41"/>
      <c r="C982" s="17"/>
      <c r="D982" s="294"/>
      <c r="E982" s="294"/>
      <c r="G982" s="41"/>
      <c r="H982" s="17"/>
      <c r="I982" s="294"/>
      <c r="J982" s="294"/>
      <c r="L982" s="41"/>
      <c r="M982" s="296"/>
      <c r="N982" s="294"/>
      <c r="O982" s="294"/>
      <c r="Q982" s="41"/>
      <c r="R982" s="131" t="s">
        <v>2168</v>
      </c>
      <c r="S982" s="17" t="s">
        <v>2169</v>
      </c>
      <c r="T982" s="150">
        <v>0</v>
      </c>
      <c r="U982" s="150">
        <v>33892168</v>
      </c>
    </row>
    <row r="983" spans="2:21" x14ac:dyDescent="0.3">
      <c r="B983" s="41"/>
      <c r="C983" s="17"/>
      <c r="D983" s="294"/>
      <c r="E983" s="294"/>
      <c r="G983" s="41"/>
      <c r="H983" s="17"/>
      <c r="I983" s="294"/>
      <c r="J983" s="294"/>
      <c r="L983" s="41"/>
      <c r="M983" s="296"/>
      <c r="N983" s="294"/>
      <c r="O983" s="294"/>
      <c r="Q983" s="41"/>
      <c r="R983" s="131" t="s">
        <v>2168</v>
      </c>
      <c r="S983" s="17" t="s">
        <v>2169</v>
      </c>
      <c r="T983" s="150">
        <v>0</v>
      </c>
      <c r="U983" s="150">
        <v>5609672</v>
      </c>
    </row>
    <row r="984" spans="2:21" x14ac:dyDescent="0.3">
      <c r="B984" s="41"/>
      <c r="C984" s="17"/>
      <c r="D984" s="294"/>
      <c r="E984" s="294"/>
      <c r="G984" s="41"/>
      <c r="H984" s="17"/>
      <c r="I984" s="294"/>
      <c r="J984" s="294"/>
      <c r="L984" s="41"/>
      <c r="M984" s="296"/>
      <c r="N984" s="294"/>
      <c r="O984" s="294"/>
      <c r="Q984" s="41"/>
      <c r="R984" s="131" t="s">
        <v>3313</v>
      </c>
      <c r="S984" s="17" t="s">
        <v>2211</v>
      </c>
      <c r="T984" s="150">
        <v>0</v>
      </c>
      <c r="U984" s="150">
        <v>1116076</v>
      </c>
    </row>
    <row r="985" spans="2:21" x14ac:dyDescent="0.3">
      <c r="B985" s="41"/>
      <c r="C985" s="17"/>
      <c r="D985" s="294"/>
      <c r="E985" s="294"/>
      <c r="G985" s="41"/>
      <c r="H985" s="17"/>
      <c r="I985" s="294"/>
      <c r="J985" s="294"/>
      <c r="L985" s="41"/>
      <c r="M985" s="296"/>
      <c r="N985" s="294"/>
      <c r="O985" s="294"/>
      <c r="Q985" s="41"/>
      <c r="R985" s="131" t="s">
        <v>2212</v>
      </c>
      <c r="S985" s="17" t="s">
        <v>2213</v>
      </c>
      <c r="T985" s="150">
        <v>0</v>
      </c>
      <c r="U985" s="150">
        <v>471810</v>
      </c>
    </row>
    <row r="986" spans="2:21" x14ac:dyDescent="0.3">
      <c r="B986" s="41"/>
      <c r="C986" s="17"/>
      <c r="D986" s="294"/>
      <c r="E986" s="294"/>
      <c r="G986" s="41"/>
      <c r="H986" s="17"/>
      <c r="I986" s="294"/>
      <c r="J986" s="294"/>
      <c r="L986" s="41"/>
      <c r="M986" s="296"/>
      <c r="N986" s="294"/>
      <c r="O986" s="294"/>
      <c r="Q986" s="41"/>
      <c r="R986" s="131" t="s">
        <v>2214</v>
      </c>
      <c r="S986" s="17" t="s">
        <v>2215</v>
      </c>
      <c r="T986" s="150">
        <v>0</v>
      </c>
      <c r="U986" s="150">
        <v>1000997</v>
      </c>
    </row>
    <row r="987" spans="2:21" x14ac:dyDescent="0.3">
      <c r="B987" s="41"/>
      <c r="C987" s="17"/>
      <c r="D987" s="294"/>
      <c r="E987" s="294"/>
      <c r="G987" s="41"/>
      <c r="H987" s="17"/>
      <c r="I987" s="294"/>
      <c r="J987" s="294"/>
      <c r="L987" s="41"/>
      <c r="M987" s="296"/>
      <c r="N987" s="294"/>
      <c r="O987" s="294"/>
      <c r="Q987" s="41"/>
      <c r="R987" s="131" t="s">
        <v>2216</v>
      </c>
      <c r="S987" s="17" t="s">
        <v>2217</v>
      </c>
      <c r="T987" s="150">
        <v>0</v>
      </c>
      <c r="U987" s="150">
        <v>11900</v>
      </c>
    </row>
    <row r="988" spans="2:21" x14ac:dyDescent="0.3">
      <c r="B988" s="41"/>
      <c r="C988" s="17"/>
      <c r="D988" s="294"/>
      <c r="E988" s="294"/>
      <c r="G988" s="41"/>
      <c r="H988" s="17"/>
      <c r="I988" s="294"/>
      <c r="J988" s="294"/>
      <c r="L988" s="41"/>
      <c r="M988" s="296"/>
      <c r="N988" s="294"/>
      <c r="O988" s="294"/>
      <c r="Q988" s="41"/>
      <c r="R988" s="131" t="s">
        <v>1985</v>
      </c>
      <c r="S988" s="17" t="s">
        <v>2197</v>
      </c>
      <c r="T988" s="150">
        <v>0</v>
      </c>
      <c r="U988" s="150">
        <v>7612831</v>
      </c>
    </row>
    <row r="989" spans="2:21" x14ac:dyDescent="0.3">
      <c r="B989" s="41"/>
      <c r="C989" s="17"/>
      <c r="D989" s="294"/>
      <c r="E989" s="294"/>
      <c r="G989" s="41"/>
      <c r="H989" s="17"/>
      <c r="I989" s="294"/>
      <c r="J989" s="294"/>
      <c r="L989" s="41"/>
      <c r="M989" s="296"/>
      <c r="N989" s="294"/>
      <c r="O989" s="294"/>
      <c r="Q989" s="41"/>
      <c r="R989" s="131" t="s">
        <v>1895</v>
      </c>
      <c r="S989" s="17" t="s">
        <v>2174</v>
      </c>
      <c r="T989" s="150">
        <v>0</v>
      </c>
      <c r="U989" s="150">
        <v>78355679</v>
      </c>
    </row>
    <row r="990" spans="2:21" x14ac:dyDescent="0.3">
      <c r="B990" s="41"/>
      <c r="C990" s="17"/>
      <c r="D990" s="294"/>
      <c r="E990" s="294"/>
      <c r="G990" s="41"/>
      <c r="H990" s="17"/>
      <c r="I990" s="294"/>
      <c r="J990" s="294"/>
      <c r="L990" s="41"/>
      <c r="M990" s="296"/>
      <c r="N990" s="294"/>
      <c r="O990" s="294"/>
      <c r="Q990" s="41"/>
      <c r="R990" s="131" t="s">
        <v>2177</v>
      </c>
      <c r="S990" s="17" t="s">
        <v>2341</v>
      </c>
      <c r="T990" s="150">
        <v>0</v>
      </c>
      <c r="U990" s="150">
        <v>161373498</v>
      </c>
    </row>
    <row r="991" spans="2:21" x14ac:dyDescent="0.3">
      <c r="B991" s="41"/>
      <c r="C991" s="17"/>
      <c r="D991" s="294"/>
      <c r="E991" s="294"/>
      <c r="G991" s="41"/>
      <c r="H991" s="17"/>
      <c r="I991" s="294"/>
      <c r="J991" s="294"/>
      <c r="L991" s="41"/>
      <c r="M991" s="296"/>
      <c r="N991" s="294"/>
      <c r="O991" s="294"/>
      <c r="Q991" s="41"/>
      <c r="R991" s="131" t="s">
        <v>2183</v>
      </c>
      <c r="S991" s="17" t="s">
        <v>2182</v>
      </c>
      <c r="T991" s="150">
        <v>0</v>
      </c>
      <c r="U991" s="150">
        <v>95429880</v>
      </c>
    </row>
    <row r="992" spans="2:21" x14ac:dyDescent="0.3">
      <c r="B992" s="41"/>
      <c r="C992" s="17"/>
      <c r="D992" s="294"/>
      <c r="E992" s="294"/>
      <c r="G992" s="41"/>
      <c r="H992" s="17"/>
      <c r="I992" s="294"/>
      <c r="J992" s="294"/>
      <c r="L992" s="41"/>
      <c r="M992" s="296"/>
      <c r="N992" s="294"/>
      <c r="O992" s="294"/>
      <c r="Q992" s="41"/>
      <c r="R992" s="131" t="s">
        <v>2185</v>
      </c>
      <c r="S992" s="17" t="s">
        <v>2184</v>
      </c>
      <c r="T992" s="150">
        <v>0</v>
      </c>
      <c r="U992" s="150">
        <v>94700924</v>
      </c>
    </row>
    <row r="993" spans="2:21" x14ac:dyDescent="0.3">
      <c r="B993" s="41"/>
      <c r="C993" s="17"/>
      <c r="D993" s="294"/>
      <c r="E993" s="294"/>
      <c r="G993" s="41"/>
      <c r="H993" s="17"/>
      <c r="I993" s="294"/>
      <c r="J993" s="294"/>
      <c r="L993" s="41"/>
      <c r="M993" s="296"/>
      <c r="N993" s="294"/>
      <c r="O993" s="294"/>
      <c r="Q993" s="41"/>
      <c r="R993" s="131" t="s">
        <v>2187</v>
      </c>
      <c r="S993" s="17" t="s">
        <v>2186</v>
      </c>
      <c r="T993" s="150">
        <v>0</v>
      </c>
      <c r="U993" s="150">
        <v>137717790</v>
      </c>
    </row>
    <row r="994" spans="2:21" x14ac:dyDescent="0.3">
      <c r="B994" s="41"/>
      <c r="C994" s="17"/>
      <c r="D994" s="294"/>
      <c r="E994" s="294"/>
      <c r="G994" s="41"/>
      <c r="H994" s="17"/>
      <c r="I994" s="294"/>
      <c r="J994" s="294"/>
      <c r="L994" s="41"/>
      <c r="M994" s="296"/>
      <c r="N994" s="294"/>
      <c r="O994" s="294"/>
      <c r="Q994" s="41"/>
      <c r="R994" s="131" t="s">
        <v>2187</v>
      </c>
      <c r="S994" s="17" t="s">
        <v>2186</v>
      </c>
      <c r="T994" s="150">
        <v>0</v>
      </c>
      <c r="U994" s="150">
        <v>17539793</v>
      </c>
    </row>
    <row r="995" spans="2:21" x14ac:dyDescent="0.3">
      <c r="B995" s="41"/>
      <c r="C995" s="17"/>
      <c r="D995" s="294"/>
      <c r="E995" s="294"/>
      <c r="G995" s="41"/>
      <c r="H995" s="17"/>
      <c r="I995" s="294"/>
      <c r="J995" s="294"/>
      <c r="L995" s="41"/>
      <c r="M995" s="296"/>
      <c r="N995" s="294"/>
      <c r="O995" s="294"/>
      <c r="Q995" s="41"/>
      <c r="R995" s="131" t="s">
        <v>2342</v>
      </c>
      <c r="S995" s="17" t="s">
        <v>2188</v>
      </c>
      <c r="T995" s="150">
        <v>0</v>
      </c>
      <c r="U995" s="150">
        <v>34056790</v>
      </c>
    </row>
    <row r="996" spans="2:21" x14ac:dyDescent="0.3">
      <c r="B996" s="41"/>
      <c r="C996" s="17"/>
      <c r="D996" s="294"/>
      <c r="E996" s="294"/>
      <c r="G996" s="41"/>
      <c r="H996" s="17"/>
      <c r="I996" s="294"/>
      <c r="J996" s="294"/>
      <c r="L996" s="41"/>
      <c r="M996" s="296"/>
      <c r="N996" s="294"/>
      <c r="O996" s="294"/>
      <c r="Q996" s="41"/>
      <c r="R996" s="131" t="s">
        <v>2342</v>
      </c>
      <c r="S996" s="17" t="s">
        <v>2188</v>
      </c>
      <c r="T996" s="150">
        <v>0</v>
      </c>
      <c r="U996" s="150">
        <v>8729705</v>
      </c>
    </row>
    <row r="997" spans="2:21" x14ac:dyDescent="0.3">
      <c r="B997" s="41"/>
      <c r="C997" s="17"/>
      <c r="D997" s="294"/>
      <c r="E997" s="294"/>
      <c r="G997" s="41"/>
      <c r="H997" s="17"/>
      <c r="I997" s="294"/>
      <c r="J997" s="294"/>
      <c r="L997" s="41"/>
      <c r="M997" s="296"/>
      <c r="N997" s="294"/>
      <c r="O997" s="294"/>
      <c r="Q997" s="41"/>
      <c r="R997" s="131" t="s">
        <v>2190</v>
      </c>
      <c r="S997" s="17" t="s">
        <v>2189</v>
      </c>
      <c r="T997" s="150">
        <v>0</v>
      </c>
      <c r="U997" s="150">
        <v>58920907</v>
      </c>
    </row>
    <row r="998" spans="2:21" x14ac:dyDescent="0.3">
      <c r="B998" s="41"/>
      <c r="C998" s="17"/>
      <c r="D998" s="294"/>
      <c r="E998" s="294"/>
      <c r="G998" s="41"/>
      <c r="H998" s="17"/>
      <c r="I998" s="294"/>
      <c r="J998" s="294"/>
      <c r="L998" s="41"/>
      <c r="M998" s="296"/>
      <c r="N998" s="294"/>
      <c r="O998" s="294"/>
      <c r="Q998" s="41"/>
      <c r="R998" s="131" t="s">
        <v>2192</v>
      </c>
      <c r="S998" s="17" t="s">
        <v>2191</v>
      </c>
      <c r="T998" s="150">
        <v>0</v>
      </c>
      <c r="U998" s="150">
        <v>33010718</v>
      </c>
    </row>
    <row r="999" spans="2:21" x14ac:dyDescent="0.3">
      <c r="B999" s="41"/>
      <c r="C999" s="17"/>
      <c r="D999" s="294"/>
      <c r="E999" s="294"/>
      <c r="G999" s="41"/>
      <c r="H999" s="17"/>
      <c r="I999" s="294"/>
      <c r="J999" s="294"/>
      <c r="L999" s="41"/>
      <c r="M999" s="296"/>
      <c r="N999" s="294"/>
      <c r="O999" s="294"/>
      <c r="Q999" s="41"/>
      <c r="R999" s="131" t="s">
        <v>1896</v>
      </c>
      <c r="S999" s="17" t="s">
        <v>2193</v>
      </c>
      <c r="T999" s="150">
        <v>0</v>
      </c>
      <c r="U999" s="150">
        <v>33469709</v>
      </c>
    </row>
    <row r="1000" spans="2:21" x14ac:dyDescent="0.3">
      <c r="B1000" s="41"/>
      <c r="C1000" s="17"/>
      <c r="D1000" s="294"/>
      <c r="E1000" s="294"/>
      <c r="G1000" s="41"/>
      <c r="H1000" s="17"/>
      <c r="I1000" s="294"/>
      <c r="J1000" s="294"/>
      <c r="L1000" s="41"/>
      <c r="M1000" s="296"/>
      <c r="N1000" s="294"/>
      <c r="O1000" s="294"/>
      <c r="Q1000" s="41"/>
      <c r="R1000" s="131" t="s">
        <v>2343</v>
      </c>
      <c r="S1000" s="17" t="s">
        <v>2194</v>
      </c>
      <c r="T1000" s="150">
        <v>0</v>
      </c>
      <c r="U1000" s="150">
        <v>87307705</v>
      </c>
    </row>
    <row r="1001" spans="2:21" x14ac:dyDescent="0.3">
      <c r="B1001" s="41"/>
      <c r="C1001" s="17"/>
      <c r="D1001" s="294"/>
      <c r="E1001" s="294"/>
      <c r="G1001" s="41"/>
      <c r="H1001" s="17"/>
      <c r="I1001" s="294"/>
      <c r="J1001" s="294"/>
      <c r="L1001" s="41"/>
      <c r="M1001" s="296"/>
      <c r="N1001" s="294"/>
      <c r="O1001" s="294"/>
      <c r="Q1001" s="41"/>
      <c r="R1001" s="131" t="s">
        <v>3291</v>
      </c>
      <c r="S1001" s="17" t="s">
        <v>2171</v>
      </c>
      <c r="T1001" s="150">
        <v>0</v>
      </c>
      <c r="U1001" s="150">
        <v>56549365</v>
      </c>
    </row>
    <row r="1002" spans="2:21" x14ac:dyDescent="0.3">
      <c r="B1002" s="41"/>
      <c r="C1002" s="17"/>
      <c r="D1002" s="294"/>
      <c r="E1002" s="294"/>
      <c r="G1002" s="41"/>
      <c r="H1002" s="17"/>
      <c r="I1002" s="294"/>
      <c r="J1002" s="294"/>
      <c r="L1002" s="41"/>
      <c r="M1002" s="296"/>
      <c r="N1002" s="294"/>
      <c r="O1002" s="294"/>
      <c r="Q1002" s="41"/>
      <c r="R1002" s="131" t="s">
        <v>1898</v>
      </c>
      <c r="S1002" s="17" t="s">
        <v>2218</v>
      </c>
      <c r="T1002" s="150">
        <v>0</v>
      </c>
      <c r="U1002" s="150">
        <v>638115</v>
      </c>
    </row>
    <row r="1003" spans="2:21" x14ac:dyDescent="0.3">
      <c r="B1003" s="41"/>
      <c r="C1003" s="17"/>
      <c r="D1003" s="294"/>
      <c r="E1003" s="294"/>
      <c r="G1003" s="41"/>
      <c r="H1003" s="17"/>
      <c r="I1003" s="294"/>
      <c r="J1003" s="294"/>
      <c r="L1003" s="41"/>
      <c r="M1003" s="296"/>
      <c r="N1003" s="294"/>
      <c r="O1003" s="294"/>
      <c r="Q1003" s="41"/>
      <c r="R1003" s="131" t="s">
        <v>2223</v>
      </c>
      <c r="S1003" s="17" t="s">
        <v>2224</v>
      </c>
      <c r="T1003" s="150">
        <v>0</v>
      </c>
      <c r="U1003" s="150">
        <v>1974829</v>
      </c>
    </row>
    <row r="1004" spans="2:21" x14ac:dyDescent="0.3">
      <c r="B1004" s="41"/>
      <c r="C1004" s="17"/>
      <c r="D1004" s="294"/>
      <c r="E1004" s="294"/>
      <c r="G1004" s="41"/>
      <c r="H1004" s="17"/>
      <c r="I1004" s="294"/>
      <c r="J1004" s="294"/>
      <c r="L1004" s="41"/>
      <c r="M1004" s="296"/>
      <c r="N1004" s="294"/>
      <c r="O1004" s="294"/>
      <c r="Q1004" s="41"/>
      <c r="R1004" s="131" t="s">
        <v>2226</v>
      </c>
      <c r="S1004" s="17" t="s">
        <v>2227</v>
      </c>
      <c r="T1004" s="150">
        <v>0</v>
      </c>
      <c r="U1004" s="150">
        <v>89400</v>
      </c>
    </row>
    <row r="1005" spans="2:21" x14ac:dyDescent="0.3">
      <c r="B1005" s="41"/>
      <c r="C1005" s="17"/>
      <c r="D1005" s="294"/>
      <c r="E1005" s="294"/>
      <c r="G1005" s="41"/>
      <c r="H1005" s="17"/>
      <c r="I1005" s="294"/>
      <c r="J1005" s="294"/>
      <c r="L1005" s="41"/>
      <c r="M1005" s="296"/>
      <c r="N1005" s="294"/>
      <c r="O1005" s="294"/>
      <c r="Q1005" s="41"/>
      <c r="R1005" s="131" t="s">
        <v>2228</v>
      </c>
      <c r="S1005" s="17" t="s">
        <v>1990</v>
      </c>
      <c r="T1005" s="150">
        <v>0</v>
      </c>
      <c r="U1005" s="150">
        <v>44018</v>
      </c>
    </row>
    <row r="1006" spans="2:21" x14ac:dyDescent="0.3">
      <c r="B1006" s="41"/>
      <c r="C1006" s="17"/>
      <c r="D1006" s="294"/>
      <c r="E1006" s="294"/>
      <c r="G1006" s="41"/>
      <c r="H1006" s="17"/>
      <c r="I1006" s="294"/>
      <c r="J1006" s="294"/>
      <c r="L1006" s="41"/>
      <c r="M1006" s="296"/>
      <c r="N1006" s="294"/>
      <c r="O1006" s="294"/>
      <c r="Q1006" s="41"/>
      <c r="R1006" s="131" t="s">
        <v>2236</v>
      </c>
      <c r="S1006" s="17" t="s">
        <v>38</v>
      </c>
      <c r="T1006" s="150">
        <v>0</v>
      </c>
      <c r="U1006" s="150">
        <v>2425098</v>
      </c>
    </row>
    <row r="1007" spans="2:21" x14ac:dyDescent="0.3">
      <c r="B1007" s="41"/>
      <c r="C1007" s="17"/>
      <c r="D1007" s="294"/>
      <c r="E1007" s="294"/>
      <c r="G1007" s="41"/>
      <c r="H1007" s="17"/>
      <c r="I1007" s="294"/>
      <c r="J1007" s="294"/>
      <c r="L1007" s="41"/>
      <c r="M1007" s="296"/>
      <c r="N1007" s="294"/>
      <c r="O1007" s="294"/>
      <c r="Q1007" s="41"/>
      <c r="R1007" s="131"/>
      <c r="S1007" s="17"/>
      <c r="T1007" s="150"/>
      <c r="U1007" s="150"/>
    </row>
    <row r="1008" spans="2:21" x14ac:dyDescent="0.3">
      <c r="B1008" s="41"/>
      <c r="C1008" s="17"/>
      <c r="D1008" s="294"/>
      <c r="E1008" s="294"/>
      <c r="G1008" s="41"/>
      <c r="H1008" s="17"/>
      <c r="I1008" s="294"/>
      <c r="J1008" s="294"/>
      <c r="L1008" s="41"/>
      <c r="M1008" s="296"/>
      <c r="N1008" s="294"/>
      <c r="O1008" s="294"/>
      <c r="Q1008" s="203">
        <v>40020003</v>
      </c>
      <c r="R1008" s="204"/>
      <c r="S1008" s="205" t="s">
        <v>1035</v>
      </c>
      <c r="T1008" s="206">
        <v>0</v>
      </c>
      <c r="U1008" s="206">
        <f>SUM(U1009:U1053)-SUM(T1009:T1053)</f>
        <v>4183173318</v>
      </c>
    </row>
    <row r="1009" spans="2:21" x14ac:dyDescent="0.3">
      <c r="B1009" s="41"/>
      <c r="C1009" s="17"/>
      <c r="D1009" s="294"/>
      <c r="E1009" s="294"/>
      <c r="G1009" s="41"/>
      <c r="H1009" s="17"/>
      <c r="I1009" s="294"/>
      <c r="J1009" s="294"/>
      <c r="L1009" s="41"/>
      <c r="M1009" s="296"/>
      <c r="N1009" s="294"/>
      <c r="O1009" s="294"/>
      <c r="Q1009" s="41"/>
      <c r="R1009" s="131" t="s">
        <v>1931</v>
      </c>
      <c r="S1009" s="17" t="s">
        <v>1932</v>
      </c>
      <c r="T1009" s="150">
        <v>0</v>
      </c>
      <c r="U1009" s="150">
        <v>66596359</v>
      </c>
    </row>
    <row r="1010" spans="2:21" x14ac:dyDescent="0.3">
      <c r="B1010" s="41"/>
      <c r="C1010" s="17"/>
      <c r="D1010" s="294"/>
      <c r="E1010" s="294"/>
      <c r="G1010" s="41"/>
      <c r="H1010" s="17"/>
      <c r="I1010" s="294"/>
      <c r="J1010" s="294"/>
      <c r="L1010" s="41"/>
      <c r="M1010" s="296"/>
      <c r="N1010" s="294"/>
      <c r="O1010" s="294"/>
      <c r="Q1010" s="41"/>
      <c r="R1010" s="131" t="s">
        <v>1934</v>
      </c>
      <c r="S1010" s="17" t="s">
        <v>2196</v>
      </c>
      <c r="T1010" s="150">
        <v>0</v>
      </c>
      <c r="U1010" s="150">
        <v>5619317</v>
      </c>
    </row>
    <row r="1011" spans="2:21" x14ac:dyDescent="0.3">
      <c r="B1011" s="41"/>
      <c r="C1011" s="17"/>
      <c r="D1011" s="294"/>
      <c r="E1011" s="294"/>
      <c r="G1011" s="41"/>
      <c r="H1011" s="17"/>
      <c r="I1011" s="294"/>
      <c r="J1011" s="294"/>
      <c r="L1011" s="41"/>
      <c r="M1011" s="296"/>
      <c r="N1011" s="294"/>
      <c r="O1011" s="294"/>
      <c r="Q1011" s="41"/>
      <c r="R1011" s="131" t="s">
        <v>2199</v>
      </c>
      <c r="S1011" s="17" t="s">
        <v>2200</v>
      </c>
      <c r="T1011" s="150">
        <v>0</v>
      </c>
      <c r="U1011" s="150">
        <v>292134787</v>
      </c>
    </row>
    <row r="1012" spans="2:21" x14ac:dyDescent="0.3">
      <c r="B1012" s="41"/>
      <c r="C1012" s="17"/>
      <c r="D1012" s="294"/>
      <c r="E1012" s="294"/>
      <c r="G1012" s="41"/>
      <c r="H1012" s="17"/>
      <c r="I1012" s="294"/>
      <c r="J1012" s="294"/>
      <c r="L1012" s="41"/>
      <c r="M1012" s="296"/>
      <c r="N1012" s="294"/>
      <c r="O1012" s="294"/>
      <c r="Q1012" s="41"/>
      <c r="R1012" s="131" t="s">
        <v>2201</v>
      </c>
      <c r="S1012" s="17" t="s">
        <v>2202</v>
      </c>
      <c r="T1012" s="150">
        <v>0</v>
      </c>
      <c r="U1012" s="150">
        <v>123543124</v>
      </c>
    </row>
    <row r="1013" spans="2:21" x14ac:dyDescent="0.3">
      <c r="B1013" s="41"/>
      <c r="C1013" s="17"/>
      <c r="D1013" s="294"/>
      <c r="E1013" s="294"/>
      <c r="G1013" s="41"/>
      <c r="H1013" s="17"/>
      <c r="I1013" s="294"/>
      <c r="J1013" s="294"/>
      <c r="L1013" s="41"/>
      <c r="M1013" s="296"/>
      <c r="N1013" s="294"/>
      <c r="O1013" s="294"/>
      <c r="Q1013" s="41"/>
      <c r="R1013" s="131" t="s">
        <v>2203</v>
      </c>
      <c r="S1013" s="17" t="s">
        <v>2204</v>
      </c>
      <c r="T1013" s="150">
        <v>0</v>
      </c>
      <c r="U1013" s="150">
        <v>61857660</v>
      </c>
    </row>
    <row r="1014" spans="2:21" x14ac:dyDescent="0.3">
      <c r="B1014" s="41"/>
      <c r="C1014" s="17"/>
      <c r="D1014" s="294"/>
      <c r="E1014" s="294"/>
      <c r="G1014" s="41"/>
      <c r="H1014" s="17"/>
      <c r="I1014" s="294"/>
      <c r="J1014" s="294"/>
      <c r="L1014" s="41"/>
      <c r="M1014" s="296"/>
      <c r="N1014" s="294"/>
      <c r="O1014" s="294"/>
      <c r="Q1014" s="41"/>
      <c r="R1014" s="131" t="s">
        <v>2205</v>
      </c>
      <c r="S1014" s="17" t="s">
        <v>2206</v>
      </c>
      <c r="T1014" s="150">
        <v>0</v>
      </c>
      <c r="U1014" s="150">
        <v>120441658</v>
      </c>
    </row>
    <row r="1015" spans="2:21" x14ac:dyDescent="0.3">
      <c r="B1015" s="41"/>
      <c r="C1015" s="17"/>
      <c r="D1015" s="294"/>
      <c r="E1015" s="294"/>
      <c r="G1015" s="41"/>
      <c r="H1015" s="17"/>
      <c r="I1015" s="294"/>
      <c r="J1015" s="294"/>
      <c r="L1015" s="41"/>
      <c r="M1015" s="296"/>
      <c r="N1015" s="294"/>
      <c r="O1015" s="294"/>
      <c r="Q1015" s="41"/>
      <c r="R1015" s="131" t="s">
        <v>2207</v>
      </c>
      <c r="S1015" s="17" t="s">
        <v>2208</v>
      </c>
      <c r="T1015" s="150">
        <v>0</v>
      </c>
      <c r="U1015" s="150">
        <v>213154144</v>
      </c>
    </row>
    <row r="1016" spans="2:21" x14ac:dyDescent="0.3">
      <c r="B1016" s="41"/>
      <c r="C1016" s="17"/>
      <c r="D1016" s="294"/>
      <c r="E1016" s="294"/>
      <c r="G1016" s="41"/>
      <c r="H1016" s="17"/>
      <c r="I1016" s="294"/>
      <c r="J1016" s="294"/>
      <c r="L1016" s="41"/>
      <c r="M1016" s="296"/>
      <c r="N1016" s="294"/>
      <c r="O1016" s="294"/>
      <c r="Q1016" s="41"/>
      <c r="R1016" s="131" t="s">
        <v>2209</v>
      </c>
      <c r="S1016" s="17" t="s">
        <v>2210</v>
      </c>
      <c r="T1016" s="150">
        <v>0</v>
      </c>
      <c r="U1016" s="150">
        <v>271188477</v>
      </c>
    </row>
    <row r="1017" spans="2:21" x14ac:dyDescent="0.3">
      <c r="B1017" s="41"/>
      <c r="C1017" s="17"/>
      <c r="D1017" s="294"/>
      <c r="E1017" s="294"/>
      <c r="G1017" s="41"/>
      <c r="H1017" s="17"/>
      <c r="I1017" s="294"/>
      <c r="J1017" s="294"/>
      <c r="L1017" s="41"/>
      <c r="M1017" s="296"/>
      <c r="N1017" s="294"/>
      <c r="O1017" s="294"/>
      <c r="Q1017" s="41"/>
      <c r="R1017" s="131" t="s">
        <v>2340</v>
      </c>
      <c r="S1017" s="17" t="s">
        <v>2159</v>
      </c>
      <c r="T1017" s="150">
        <v>0</v>
      </c>
      <c r="U1017" s="150">
        <v>264990762</v>
      </c>
    </row>
    <row r="1018" spans="2:21" x14ac:dyDescent="0.3">
      <c r="B1018" s="41"/>
      <c r="C1018" s="17"/>
      <c r="D1018" s="294"/>
      <c r="E1018" s="294"/>
      <c r="G1018" s="41"/>
      <c r="H1018" s="17"/>
      <c r="I1018" s="294"/>
      <c r="J1018" s="294"/>
      <c r="L1018" s="41"/>
      <c r="M1018" s="296"/>
      <c r="N1018" s="294"/>
      <c r="O1018" s="294"/>
      <c r="Q1018" s="41"/>
      <c r="R1018" s="131" t="s">
        <v>2160</v>
      </c>
      <c r="S1018" s="17" t="s">
        <v>2161</v>
      </c>
      <c r="T1018" s="150">
        <v>0</v>
      </c>
      <c r="U1018" s="150">
        <v>67587054</v>
      </c>
    </row>
    <row r="1019" spans="2:21" x14ac:dyDescent="0.3">
      <c r="B1019" s="41"/>
      <c r="C1019" s="17"/>
      <c r="D1019" s="294"/>
      <c r="E1019" s="294"/>
      <c r="G1019" s="41"/>
      <c r="H1019" s="17"/>
      <c r="I1019" s="294"/>
      <c r="J1019" s="294"/>
      <c r="L1019" s="41"/>
      <c r="M1019" s="296"/>
      <c r="N1019" s="294"/>
      <c r="O1019" s="294"/>
      <c r="Q1019" s="41"/>
      <c r="R1019" s="131" t="s">
        <v>2162</v>
      </c>
      <c r="S1019" s="17" t="s">
        <v>2163</v>
      </c>
      <c r="T1019" s="150">
        <v>0</v>
      </c>
      <c r="U1019" s="150">
        <v>97072269</v>
      </c>
    </row>
    <row r="1020" spans="2:21" x14ac:dyDescent="0.3">
      <c r="B1020" s="41"/>
      <c r="C1020" s="17"/>
      <c r="D1020" s="294"/>
      <c r="E1020" s="294"/>
      <c r="G1020" s="41"/>
      <c r="H1020" s="17"/>
      <c r="I1020" s="294"/>
      <c r="J1020" s="294"/>
      <c r="L1020" s="41"/>
      <c r="M1020" s="296"/>
      <c r="N1020" s="294"/>
      <c r="O1020" s="294"/>
      <c r="Q1020" s="41"/>
      <c r="R1020" s="131" t="s">
        <v>2165</v>
      </c>
      <c r="S1020" s="17" t="s">
        <v>2166</v>
      </c>
      <c r="T1020" s="150">
        <v>0</v>
      </c>
      <c r="U1020" s="150">
        <v>130379441</v>
      </c>
    </row>
    <row r="1021" spans="2:21" x14ac:dyDescent="0.3">
      <c r="B1021" s="41"/>
      <c r="C1021" s="17"/>
      <c r="D1021" s="294"/>
      <c r="E1021" s="294"/>
      <c r="G1021" s="41"/>
      <c r="H1021" s="17"/>
      <c r="I1021" s="294"/>
      <c r="J1021" s="294"/>
      <c r="L1021" s="41"/>
      <c r="M1021" s="296"/>
      <c r="N1021" s="294"/>
      <c r="O1021" s="294"/>
      <c r="Q1021" s="41"/>
      <c r="R1021" s="131" t="s">
        <v>2168</v>
      </c>
      <c r="S1021" s="17" t="s">
        <v>2169</v>
      </c>
      <c r="T1021" s="150">
        <v>0</v>
      </c>
      <c r="U1021" s="150">
        <v>47463613</v>
      </c>
    </row>
    <row r="1022" spans="2:21" x14ac:dyDescent="0.3">
      <c r="B1022" s="41"/>
      <c r="C1022" s="17"/>
      <c r="D1022" s="294"/>
      <c r="E1022" s="294"/>
      <c r="G1022" s="41"/>
      <c r="H1022" s="17"/>
      <c r="I1022" s="294"/>
      <c r="J1022" s="294"/>
      <c r="L1022" s="41"/>
      <c r="M1022" s="296"/>
      <c r="N1022" s="294"/>
      <c r="O1022" s="294"/>
      <c r="Q1022" s="41"/>
      <c r="R1022" s="131" t="s">
        <v>2168</v>
      </c>
      <c r="S1022" s="17" t="s">
        <v>2169</v>
      </c>
      <c r="T1022" s="150">
        <v>0</v>
      </c>
      <c r="U1022" s="150">
        <v>9284131</v>
      </c>
    </row>
    <row r="1023" spans="2:21" x14ac:dyDescent="0.3">
      <c r="B1023" s="41"/>
      <c r="C1023" s="17"/>
      <c r="D1023" s="294"/>
      <c r="E1023" s="294"/>
      <c r="G1023" s="41"/>
      <c r="H1023" s="17"/>
      <c r="I1023" s="294"/>
      <c r="J1023" s="294"/>
      <c r="L1023" s="41"/>
      <c r="M1023" s="296"/>
      <c r="N1023" s="294"/>
      <c r="O1023" s="294"/>
      <c r="Q1023" s="41"/>
      <c r="R1023" s="131" t="s">
        <v>3313</v>
      </c>
      <c r="S1023" s="17" t="s">
        <v>2211</v>
      </c>
      <c r="T1023" s="150">
        <v>0</v>
      </c>
      <c r="U1023" s="150">
        <v>211905142</v>
      </c>
    </row>
    <row r="1024" spans="2:21" x14ac:dyDescent="0.3">
      <c r="B1024" s="41"/>
      <c r="C1024" s="17"/>
      <c r="D1024" s="294"/>
      <c r="E1024" s="294"/>
      <c r="G1024" s="41"/>
      <c r="H1024" s="17"/>
      <c r="I1024" s="294"/>
      <c r="J1024" s="294"/>
      <c r="L1024" s="41"/>
      <c r="M1024" s="296"/>
      <c r="N1024" s="294"/>
      <c r="O1024" s="294"/>
      <c r="Q1024" s="41"/>
      <c r="R1024" s="131" t="s">
        <v>2212</v>
      </c>
      <c r="S1024" s="17" t="s">
        <v>2213</v>
      </c>
      <c r="T1024" s="150">
        <v>0</v>
      </c>
      <c r="U1024" s="150">
        <v>97282874</v>
      </c>
    </row>
    <row r="1025" spans="2:21" x14ac:dyDescent="0.3">
      <c r="B1025" s="41"/>
      <c r="C1025" s="17"/>
      <c r="D1025" s="294"/>
      <c r="E1025" s="294"/>
      <c r="G1025" s="41"/>
      <c r="H1025" s="17"/>
      <c r="I1025" s="294"/>
      <c r="J1025" s="294"/>
      <c r="L1025" s="41"/>
      <c r="M1025" s="296"/>
      <c r="N1025" s="294"/>
      <c r="O1025" s="294"/>
      <c r="Q1025" s="41"/>
      <c r="R1025" s="131" t="s">
        <v>2214</v>
      </c>
      <c r="S1025" s="17" t="s">
        <v>2215</v>
      </c>
      <c r="T1025" s="150">
        <v>0</v>
      </c>
      <c r="U1025" s="150">
        <v>158029397</v>
      </c>
    </row>
    <row r="1026" spans="2:21" x14ac:dyDescent="0.3">
      <c r="B1026" s="41"/>
      <c r="C1026" s="17"/>
      <c r="D1026" s="294"/>
      <c r="E1026" s="294"/>
      <c r="G1026" s="41"/>
      <c r="H1026" s="17"/>
      <c r="I1026" s="294"/>
      <c r="J1026" s="294"/>
      <c r="L1026" s="41"/>
      <c r="M1026" s="296"/>
      <c r="N1026" s="294"/>
      <c r="O1026" s="294"/>
      <c r="Q1026" s="41"/>
      <c r="R1026" s="131" t="s">
        <v>2216</v>
      </c>
      <c r="S1026" s="17" t="s">
        <v>2217</v>
      </c>
      <c r="T1026" s="150">
        <v>0</v>
      </c>
      <c r="U1026" s="150">
        <v>26889298</v>
      </c>
    </row>
    <row r="1027" spans="2:21" x14ac:dyDescent="0.3">
      <c r="B1027" s="41"/>
      <c r="C1027" s="17"/>
      <c r="D1027" s="294"/>
      <c r="E1027" s="294"/>
      <c r="G1027" s="41"/>
      <c r="H1027" s="17"/>
      <c r="I1027" s="294"/>
      <c r="J1027" s="294"/>
      <c r="L1027" s="41"/>
      <c r="M1027" s="296"/>
      <c r="N1027" s="294"/>
      <c r="O1027" s="294"/>
      <c r="Q1027" s="41"/>
      <c r="R1027" s="131" t="s">
        <v>1985</v>
      </c>
      <c r="S1027" s="17" t="s">
        <v>2197</v>
      </c>
      <c r="T1027" s="150">
        <v>0</v>
      </c>
      <c r="U1027" s="150">
        <v>13041774</v>
      </c>
    </row>
    <row r="1028" spans="2:21" x14ac:dyDescent="0.3">
      <c r="B1028" s="41"/>
      <c r="C1028" s="17"/>
      <c r="D1028" s="294"/>
      <c r="E1028" s="294"/>
      <c r="G1028" s="41"/>
      <c r="H1028" s="17"/>
      <c r="I1028" s="294"/>
      <c r="J1028" s="294"/>
      <c r="L1028" s="41"/>
      <c r="M1028" s="296"/>
      <c r="N1028" s="294"/>
      <c r="O1028" s="294"/>
      <c r="Q1028" s="41"/>
      <c r="R1028" s="131" t="s">
        <v>1895</v>
      </c>
      <c r="S1028" s="17" t="s">
        <v>2174</v>
      </c>
      <c r="T1028" s="150">
        <v>0</v>
      </c>
      <c r="U1028" s="150">
        <v>118627695</v>
      </c>
    </row>
    <row r="1029" spans="2:21" x14ac:dyDescent="0.3">
      <c r="B1029" s="41"/>
      <c r="C1029" s="17"/>
      <c r="D1029" s="294"/>
      <c r="E1029" s="294"/>
      <c r="G1029" s="41"/>
      <c r="H1029" s="17"/>
      <c r="I1029" s="294"/>
      <c r="J1029" s="294"/>
      <c r="L1029" s="41"/>
      <c r="M1029" s="296"/>
      <c r="N1029" s="294"/>
      <c r="O1029" s="294"/>
      <c r="Q1029" s="41"/>
      <c r="R1029" s="131" t="s">
        <v>2177</v>
      </c>
      <c r="S1029" s="17" t="s">
        <v>2341</v>
      </c>
      <c r="T1029" s="150">
        <v>0</v>
      </c>
      <c r="U1029" s="150">
        <v>260437235</v>
      </c>
    </row>
    <row r="1030" spans="2:21" x14ac:dyDescent="0.3">
      <c r="B1030" s="41"/>
      <c r="C1030" s="17"/>
      <c r="D1030" s="294"/>
      <c r="E1030" s="294"/>
      <c r="G1030" s="41"/>
      <c r="H1030" s="17"/>
      <c r="I1030" s="294"/>
      <c r="J1030" s="294"/>
      <c r="L1030" s="41"/>
      <c r="M1030" s="296"/>
      <c r="N1030" s="294"/>
      <c r="O1030" s="294"/>
      <c r="Q1030" s="41"/>
      <c r="R1030" s="131" t="s">
        <v>2183</v>
      </c>
      <c r="S1030" s="17" t="s">
        <v>2182</v>
      </c>
      <c r="T1030" s="150">
        <v>0</v>
      </c>
      <c r="U1030" s="150">
        <v>156304432</v>
      </c>
    </row>
    <row r="1031" spans="2:21" x14ac:dyDescent="0.3">
      <c r="B1031" s="41"/>
      <c r="C1031" s="17"/>
      <c r="D1031" s="294"/>
      <c r="E1031" s="294"/>
      <c r="G1031" s="41"/>
      <c r="H1031" s="17"/>
      <c r="I1031" s="294"/>
      <c r="J1031" s="294"/>
      <c r="L1031" s="41"/>
      <c r="M1031" s="296"/>
      <c r="N1031" s="294"/>
      <c r="O1031" s="294"/>
      <c r="Q1031" s="41"/>
      <c r="R1031" s="131" t="s">
        <v>2185</v>
      </c>
      <c r="S1031" s="17" t="s">
        <v>2184</v>
      </c>
      <c r="T1031" s="150">
        <v>0</v>
      </c>
      <c r="U1031" s="150">
        <v>175039997</v>
      </c>
    </row>
    <row r="1032" spans="2:21" x14ac:dyDescent="0.3">
      <c r="B1032" s="41"/>
      <c r="C1032" s="17"/>
      <c r="D1032" s="294"/>
      <c r="E1032" s="294"/>
      <c r="G1032" s="41"/>
      <c r="H1032" s="17"/>
      <c r="I1032" s="294"/>
      <c r="J1032" s="294"/>
      <c r="L1032" s="41"/>
      <c r="M1032" s="296"/>
      <c r="N1032" s="294"/>
      <c r="O1032" s="294"/>
      <c r="Q1032" s="41"/>
      <c r="R1032" s="131" t="s">
        <v>2187</v>
      </c>
      <c r="S1032" s="17" t="s">
        <v>2186</v>
      </c>
      <c r="T1032" s="150">
        <v>0</v>
      </c>
      <c r="U1032" s="150">
        <v>219008077</v>
      </c>
    </row>
    <row r="1033" spans="2:21" x14ac:dyDescent="0.3">
      <c r="B1033" s="41"/>
      <c r="C1033" s="17"/>
      <c r="D1033" s="294"/>
      <c r="E1033" s="294"/>
      <c r="G1033" s="41"/>
      <c r="H1033" s="17"/>
      <c r="I1033" s="294"/>
      <c r="J1033" s="294"/>
      <c r="L1033" s="41"/>
      <c r="M1033" s="296"/>
      <c r="N1033" s="294"/>
      <c r="O1033" s="294"/>
      <c r="Q1033" s="41"/>
      <c r="R1033" s="131" t="s">
        <v>2187</v>
      </c>
      <c r="S1033" s="17" t="s">
        <v>2186</v>
      </c>
      <c r="T1033" s="150">
        <v>0</v>
      </c>
      <c r="U1033" s="150">
        <v>22606089</v>
      </c>
    </row>
    <row r="1034" spans="2:21" x14ac:dyDescent="0.3">
      <c r="B1034" s="41"/>
      <c r="C1034" s="17"/>
      <c r="D1034" s="294"/>
      <c r="E1034" s="294"/>
      <c r="G1034" s="41"/>
      <c r="H1034" s="17"/>
      <c r="I1034" s="294"/>
      <c r="J1034" s="294"/>
      <c r="L1034" s="41"/>
      <c r="M1034" s="296"/>
      <c r="N1034" s="294"/>
      <c r="O1034" s="294"/>
      <c r="Q1034" s="41"/>
      <c r="R1034" s="131" t="s">
        <v>2342</v>
      </c>
      <c r="S1034" s="17" t="s">
        <v>2188</v>
      </c>
      <c r="T1034" s="150">
        <v>0</v>
      </c>
      <c r="U1034" s="150">
        <v>33874556</v>
      </c>
    </row>
    <row r="1035" spans="2:21" x14ac:dyDescent="0.3">
      <c r="B1035" s="41"/>
      <c r="C1035" s="17"/>
      <c r="D1035" s="294"/>
      <c r="E1035" s="294"/>
      <c r="G1035" s="41"/>
      <c r="H1035" s="17"/>
      <c r="I1035" s="294"/>
      <c r="J1035" s="294"/>
      <c r="L1035" s="41"/>
      <c r="M1035" s="296"/>
      <c r="N1035" s="294"/>
      <c r="O1035" s="294"/>
      <c r="Q1035" s="41"/>
      <c r="R1035" s="131" t="s">
        <v>2342</v>
      </c>
      <c r="S1035" s="17" t="s">
        <v>2188</v>
      </c>
      <c r="T1035" s="150">
        <v>0</v>
      </c>
      <c r="U1035" s="150">
        <v>12335604</v>
      </c>
    </row>
    <row r="1036" spans="2:21" x14ac:dyDescent="0.3">
      <c r="B1036" s="41"/>
      <c r="C1036" s="17"/>
      <c r="D1036" s="294"/>
      <c r="E1036" s="294"/>
      <c r="G1036" s="41"/>
      <c r="H1036" s="17"/>
      <c r="I1036" s="294"/>
      <c r="J1036" s="294"/>
      <c r="L1036" s="41"/>
      <c r="M1036" s="296"/>
      <c r="N1036" s="294"/>
      <c r="O1036" s="294"/>
      <c r="Q1036" s="41"/>
      <c r="R1036" s="131" t="s">
        <v>2190</v>
      </c>
      <c r="S1036" s="17" t="s">
        <v>2189</v>
      </c>
      <c r="T1036" s="150">
        <v>0</v>
      </c>
      <c r="U1036" s="150">
        <v>87637115</v>
      </c>
    </row>
    <row r="1037" spans="2:21" x14ac:dyDescent="0.3">
      <c r="B1037" s="41"/>
      <c r="C1037" s="17"/>
      <c r="D1037" s="294"/>
      <c r="E1037" s="294"/>
      <c r="G1037" s="41"/>
      <c r="H1037" s="17"/>
      <c r="I1037" s="294"/>
      <c r="J1037" s="294"/>
      <c r="L1037" s="41"/>
      <c r="M1037" s="296"/>
      <c r="N1037" s="294"/>
      <c r="O1037" s="294"/>
      <c r="Q1037" s="41"/>
      <c r="R1037" s="131" t="s">
        <v>2192</v>
      </c>
      <c r="S1037" s="17" t="s">
        <v>2191</v>
      </c>
      <c r="T1037" s="150">
        <v>0</v>
      </c>
      <c r="U1037" s="150">
        <v>39011044</v>
      </c>
    </row>
    <row r="1038" spans="2:21" x14ac:dyDescent="0.3">
      <c r="B1038" s="41"/>
      <c r="C1038" s="17"/>
      <c r="D1038" s="294"/>
      <c r="E1038" s="294"/>
      <c r="G1038" s="41"/>
      <c r="H1038" s="17"/>
      <c r="I1038" s="294"/>
      <c r="J1038" s="294"/>
      <c r="L1038" s="41"/>
      <c r="M1038" s="296"/>
      <c r="N1038" s="294"/>
      <c r="O1038" s="294"/>
      <c r="Q1038" s="41"/>
      <c r="R1038" s="131" t="s">
        <v>1896</v>
      </c>
      <c r="S1038" s="17" t="s">
        <v>2193</v>
      </c>
      <c r="T1038" s="150">
        <v>0</v>
      </c>
      <c r="U1038" s="150">
        <v>48872184</v>
      </c>
    </row>
    <row r="1039" spans="2:21" x14ac:dyDescent="0.3">
      <c r="B1039" s="41"/>
      <c r="C1039" s="17"/>
      <c r="D1039" s="294"/>
      <c r="E1039" s="294"/>
      <c r="G1039" s="41"/>
      <c r="H1039" s="17"/>
      <c r="I1039" s="294"/>
      <c r="J1039" s="294"/>
      <c r="L1039" s="41"/>
      <c r="M1039" s="296"/>
      <c r="N1039" s="294"/>
      <c r="O1039" s="294"/>
      <c r="Q1039" s="41"/>
      <c r="R1039" s="131" t="s">
        <v>2343</v>
      </c>
      <c r="S1039" s="17" t="s">
        <v>2194</v>
      </c>
      <c r="T1039" s="150">
        <v>0</v>
      </c>
      <c r="U1039" s="150">
        <v>183694839</v>
      </c>
    </row>
    <row r="1040" spans="2:21" x14ac:dyDescent="0.3">
      <c r="B1040" s="41"/>
      <c r="C1040" s="17"/>
      <c r="D1040" s="294"/>
      <c r="E1040" s="294"/>
      <c r="G1040" s="41"/>
      <c r="H1040" s="17"/>
      <c r="I1040" s="294"/>
      <c r="J1040" s="294"/>
      <c r="L1040" s="41"/>
      <c r="M1040" s="296"/>
      <c r="N1040" s="294"/>
      <c r="O1040" s="294"/>
      <c r="Q1040" s="41"/>
      <c r="R1040" s="131" t="s">
        <v>3291</v>
      </c>
      <c r="S1040" s="17" t="s">
        <v>2171</v>
      </c>
      <c r="T1040" s="150">
        <v>0</v>
      </c>
      <c r="U1040" s="150">
        <v>82106225</v>
      </c>
    </row>
    <row r="1041" spans="2:21" x14ac:dyDescent="0.3">
      <c r="B1041" s="41"/>
      <c r="C1041" s="17"/>
      <c r="D1041" s="294"/>
      <c r="E1041" s="294"/>
      <c r="G1041" s="41"/>
      <c r="H1041" s="17"/>
      <c r="I1041" s="294"/>
      <c r="J1041" s="294"/>
      <c r="L1041" s="41"/>
      <c r="M1041" s="296"/>
      <c r="N1041" s="294"/>
      <c r="O1041" s="294"/>
      <c r="Q1041" s="41"/>
      <c r="R1041" s="131" t="s">
        <v>1898</v>
      </c>
      <c r="S1041" s="17" t="s">
        <v>2218</v>
      </c>
      <c r="T1041" s="150">
        <v>0</v>
      </c>
      <c r="U1041" s="150">
        <v>105578050</v>
      </c>
    </row>
    <row r="1042" spans="2:21" x14ac:dyDescent="0.3">
      <c r="B1042" s="41"/>
      <c r="C1042" s="17"/>
      <c r="D1042" s="294"/>
      <c r="E1042" s="294"/>
      <c r="G1042" s="41"/>
      <c r="H1042" s="17"/>
      <c r="I1042" s="294"/>
      <c r="J1042" s="294"/>
      <c r="L1042" s="41"/>
      <c r="M1042" s="296"/>
      <c r="N1042" s="294"/>
      <c r="O1042" s="294"/>
      <c r="Q1042" s="41"/>
      <c r="R1042" s="131" t="s">
        <v>2219</v>
      </c>
      <c r="S1042" s="17" t="s">
        <v>2220</v>
      </c>
      <c r="T1042" s="150">
        <v>0</v>
      </c>
      <c r="U1042" s="150">
        <v>52275608</v>
      </c>
    </row>
    <row r="1043" spans="2:21" x14ac:dyDescent="0.3">
      <c r="B1043" s="41"/>
      <c r="C1043" s="17"/>
      <c r="D1043" s="294"/>
      <c r="E1043" s="294"/>
      <c r="G1043" s="41"/>
      <c r="H1043" s="17"/>
      <c r="I1043" s="294"/>
      <c r="J1043" s="294"/>
      <c r="L1043" s="41"/>
      <c r="M1043" s="296"/>
      <c r="N1043" s="294"/>
      <c r="O1043" s="294"/>
      <c r="Q1043" s="41"/>
      <c r="R1043" s="131" t="s">
        <v>2221</v>
      </c>
      <c r="S1043" s="17" t="s">
        <v>2222</v>
      </c>
      <c r="T1043" s="150">
        <v>0</v>
      </c>
      <c r="U1043" s="150">
        <v>54498235</v>
      </c>
    </row>
    <row r="1044" spans="2:21" x14ac:dyDescent="0.3">
      <c r="B1044" s="41"/>
      <c r="C1044" s="17"/>
      <c r="D1044" s="294"/>
      <c r="E1044" s="294"/>
      <c r="G1044" s="41"/>
      <c r="H1044" s="17"/>
      <c r="I1044" s="294"/>
      <c r="J1044" s="294"/>
      <c r="L1044" s="41"/>
      <c r="M1044" s="296"/>
      <c r="N1044" s="294"/>
      <c r="O1044" s="294"/>
      <c r="Q1044" s="41"/>
      <c r="R1044" s="131" t="s">
        <v>2223</v>
      </c>
      <c r="S1044" s="17" t="s">
        <v>2224</v>
      </c>
      <c r="T1044" s="150">
        <v>0</v>
      </c>
      <c r="U1044" s="150">
        <v>95823814</v>
      </c>
    </row>
    <row r="1045" spans="2:21" x14ac:dyDescent="0.3">
      <c r="B1045" s="41"/>
      <c r="C1045" s="17"/>
      <c r="D1045" s="294"/>
      <c r="E1045" s="294"/>
      <c r="G1045" s="41"/>
      <c r="H1045" s="17"/>
      <c r="I1045" s="294"/>
      <c r="J1045" s="294"/>
      <c r="L1045" s="41"/>
      <c r="M1045" s="296"/>
      <c r="N1045" s="294"/>
      <c r="O1045" s="294"/>
      <c r="Q1045" s="41"/>
      <c r="R1045" s="131" t="s">
        <v>2226</v>
      </c>
      <c r="S1045" s="17" t="s">
        <v>2227</v>
      </c>
      <c r="T1045" s="150">
        <v>0</v>
      </c>
      <c r="U1045" s="150">
        <v>44771856</v>
      </c>
    </row>
    <row r="1046" spans="2:21" x14ac:dyDescent="0.3">
      <c r="B1046" s="41"/>
      <c r="C1046" s="17"/>
      <c r="D1046" s="294"/>
      <c r="E1046" s="294"/>
      <c r="G1046" s="41"/>
      <c r="H1046" s="17"/>
      <c r="I1046" s="294"/>
      <c r="J1046" s="294"/>
      <c r="L1046" s="41"/>
      <c r="M1046" s="296"/>
      <c r="N1046" s="294"/>
      <c r="O1046" s="294"/>
      <c r="Q1046" s="41"/>
      <c r="R1046" s="131" t="s">
        <v>2228</v>
      </c>
      <c r="S1046" s="17" t="s">
        <v>1990</v>
      </c>
      <c r="T1046" s="150">
        <v>0</v>
      </c>
      <c r="U1046" s="150">
        <v>2566146</v>
      </c>
    </row>
    <row r="1047" spans="2:21" x14ac:dyDescent="0.3">
      <c r="B1047" s="41"/>
      <c r="C1047" s="17"/>
      <c r="D1047" s="294"/>
      <c r="E1047" s="294"/>
      <c r="G1047" s="41"/>
      <c r="H1047" s="17"/>
      <c r="I1047" s="294"/>
      <c r="J1047" s="294"/>
      <c r="L1047" s="41"/>
      <c r="M1047" s="296"/>
      <c r="N1047" s="294"/>
      <c r="O1047" s="294"/>
      <c r="Q1047" s="41"/>
      <c r="R1047" s="131" t="s">
        <v>2228</v>
      </c>
      <c r="S1047" s="17" t="s">
        <v>1990</v>
      </c>
      <c r="T1047" s="150">
        <v>0</v>
      </c>
      <c r="U1047" s="150">
        <v>20110133</v>
      </c>
    </row>
    <row r="1048" spans="2:21" x14ac:dyDescent="0.3">
      <c r="B1048" s="41"/>
      <c r="C1048" s="17"/>
      <c r="D1048" s="294"/>
      <c r="E1048" s="294"/>
      <c r="G1048" s="41"/>
      <c r="H1048" s="17"/>
      <c r="I1048" s="294"/>
      <c r="J1048" s="294"/>
      <c r="L1048" s="41"/>
      <c r="M1048" s="296"/>
      <c r="N1048" s="294"/>
      <c r="O1048" s="294"/>
      <c r="Q1048" s="41"/>
      <c r="R1048" s="131" t="s">
        <v>2229</v>
      </c>
      <c r="S1048" s="17" t="s">
        <v>1987</v>
      </c>
      <c r="T1048" s="150">
        <v>0</v>
      </c>
      <c r="U1048" s="150">
        <v>5554104</v>
      </c>
    </row>
    <row r="1049" spans="2:21" x14ac:dyDescent="0.3">
      <c r="B1049" s="41"/>
      <c r="C1049" s="17"/>
      <c r="D1049" s="294"/>
      <c r="E1049" s="294"/>
      <c r="G1049" s="41"/>
      <c r="H1049" s="17"/>
      <c r="I1049" s="294"/>
      <c r="J1049" s="294"/>
      <c r="L1049" s="41"/>
      <c r="M1049" s="296"/>
      <c r="N1049" s="294"/>
      <c r="O1049" s="294"/>
      <c r="Q1049" s="41"/>
      <c r="R1049" s="131" t="s">
        <v>2230</v>
      </c>
      <c r="S1049" s="17" t="s">
        <v>2231</v>
      </c>
      <c r="T1049" s="150">
        <v>0</v>
      </c>
      <c r="U1049" s="150">
        <v>26033924</v>
      </c>
    </row>
    <row r="1050" spans="2:21" x14ac:dyDescent="0.3">
      <c r="B1050" s="41"/>
      <c r="C1050" s="17"/>
      <c r="D1050" s="294"/>
      <c r="E1050" s="294"/>
      <c r="G1050" s="41"/>
      <c r="H1050" s="17"/>
      <c r="I1050" s="294"/>
      <c r="J1050" s="294"/>
      <c r="L1050" s="41"/>
      <c r="M1050" s="296"/>
      <c r="N1050" s="294"/>
      <c r="O1050" s="294"/>
      <c r="Q1050" s="41"/>
      <c r="R1050" s="131" t="s">
        <v>2232</v>
      </c>
      <c r="S1050" s="17" t="s">
        <v>1988</v>
      </c>
      <c r="T1050" s="150">
        <v>0</v>
      </c>
      <c r="U1050" s="150">
        <v>30517327</v>
      </c>
    </row>
    <row r="1051" spans="2:21" x14ac:dyDescent="0.3">
      <c r="B1051" s="41"/>
      <c r="C1051" s="17"/>
      <c r="D1051" s="294"/>
      <c r="E1051" s="294"/>
      <c r="G1051" s="41"/>
      <c r="H1051" s="17"/>
      <c r="I1051" s="294"/>
      <c r="J1051" s="294"/>
      <c r="L1051" s="41"/>
      <c r="M1051" s="296"/>
      <c r="N1051" s="294"/>
      <c r="O1051" s="294"/>
      <c r="Q1051" s="41"/>
      <c r="R1051" s="131" t="s">
        <v>2233</v>
      </c>
      <c r="S1051" s="17" t="s">
        <v>1989</v>
      </c>
      <c r="T1051" s="150">
        <v>0</v>
      </c>
      <c r="U1051" s="150">
        <v>4784724</v>
      </c>
    </row>
    <row r="1052" spans="2:21" x14ac:dyDescent="0.3">
      <c r="B1052" s="41"/>
      <c r="C1052" s="17"/>
      <c r="D1052" s="294"/>
      <c r="E1052" s="294"/>
      <c r="G1052" s="41"/>
      <c r="H1052" s="17"/>
      <c r="I1052" s="294"/>
      <c r="J1052" s="294"/>
      <c r="L1052" s="41"/>
      <c r="M1052" s="296"/>
      <c r="N1052" s="294"/>
      <c r="O1052" s="294"/>
      <c r="Q1052" s="41"/>
      <c r="R1052" s="131" t="s">
        <v>2234</v>
      </c>
      <c r="S1052" s="17" t="s">
        <v>2235</v>
      </c>
      <c r="T1052" s="150">
        <v>0</v>
      </c>
      <c r="U1052" s="150">
        <v>5177769</v>
      </c>
    </row>
    <row r="1053" spans="2:21" x14ac:dyDescent="0.3">
      <c r="B1053" s="41"/>
      <c r="C1053" s="17"/>
      <c r="D1053" s="294"/>
      <c r="E1053" s="294"/>
      <c r="G1053" s="41"/>
      <c r="H1053" s="17"/>
      <c r="I1053" s="294"/>
      <c r="J1053" s="294"/>
      <c r="L1053" s="41"/>
      <c r="M1053" s="296"/>
      <c r="N1053" s="294"/>
      <c r="O1053" s="294"/>
      <c r="Q1053" s="41"/>
      <c r="R1053" s="131" t="s">
        <v>2236</v>
      </c>
      <c r="S1053" s="17" t="s">
        <v>38</v>
      </c>
      <c r="T1053" s="150">
        <v>0</v>
      </c>
      <c r="U1053" s="150">
        <v>17465255</v>
      </c>
    </row>
    <row r="1054" spans="2:21" x14ac:dyDescent="0.3">
      <c r="B1054" s="41"/>
      <c r="C1054" s="17"/>
      <c r="D1054" s="294"/>
      <c r="E1054" s="294"/>
      <c r="G1054" s="41"/>
      <c r="H1054" s="17"/>
      <c r="I1054" s="294"/>
      <c r="J1054" s="294"/>
      <c r="L1054" s="41"/>
      <c r="M1054" s="296"/>
      <c r="N1054" s="294"/>
      <c r="O1054" s="294"/>
      <c r="Q1054" s="203">
        <v>40020004</v>
      </c>
      <c r="R1054" s="204"/>
      <c r="S1054" s="205" t="s">
        <v>1036</v>
      </c>
      <c r="T1054" s="206">
        <v>0</v>
      </c>
      <c r="U1054" s="206">
        <v>0</v>
      </c>
    </row>
    <row r="1055" spans="2:21" x14ac:dyDescent="0.3">
      <c r="B1055" s="41"/>
      <c r="C1055" s="17"/>
      <c r="D1055" s="294"/>
      <c r="E1055" s="294"/>
      <c r="G1055" s="41"/>
      <c r="H1055" s="17"/>
      <c r="I1055" s="294"/>
      <c r="J1055" s="294"/>
      <c r="L1055" s="41"/>
      <c r="M1055" s="296"/>
      <c r="N1055" s="294"/>
      <c r="O1055" s="294"/>
      <c r="Q1055" s="203">
        <v>40020005</v>
      </c>
      <c r="R1055" s="204"/>
      <c r="S1055" s="205" t="s">
        <v>1037</v>
      </c>
      <c r="T1055" s="206">
        <f>SUM(T1056:T1084)-SUM(U1056:U1084)</f>
        <v>230791730</v>
      </c>
      <c r="U1055" s="206">
        <v>0</v>
      </c>
    </row>
    <row r="1056" spans="2:21" x14ac:dyDescent="0.3">
      <c r="B1056" s="41"/>
      <c r="C1056" s="17"/>
      <c r="D1056" s="294"/>
      <c r="E1056" s="294"/>
      <c r="G1056" s="41"/>
      <c r="H1056" s="17"/>
      <c r="I1056" s="294"/>
      <c r="J1056" s="294"/>
      <c r="L1056" s="41"/>
      <c r="M1056" s="296"/>
      <c r="N1056" s="294"/>
      <c r="O1056" s="294"/>
      <c r="Q1056" s="41"/>
      <c r="R1056" s="131" t="s">
        <v>1931</v>
      </c>
      <c r="S1056" s="17" t="s">
        <v>1932</v>
      </c>
      <c r="T1056" s="150">
        <v>481824</v>
      </c>
      <c r="U1056" s="150">
        <v>0</v>
      </c>
    </row>
    <row r="1057" spans="2:21" x14ac:dyDescent="0.3">
      <c r="B1057" s="41"/>
      <c r="C1057" s="17"/>
      <c r="D1057" s="294"/>
      <c r="E1057" s="294"/>
      <c r="G1057" s="41"/>
      <c r="H1057" s="17"/>
      <c r="I1057" s="294"/>
      <c r="J1057" s="294"/>
      <c r="L1057" s="41"/>
      <c r="M1057" s="296"/>
      <c r="N1057" s="294"/>
      <c r="O1057" s="294"/>
      <c r="Q1057" s="41"/>
      <c r="R1057" s="131" t="s">
        <v>1934</v>
      </c>
      <c r="S1057" s="17" t="s">
        <v>2196</v>
      </c>
      <c r="T1057" s="150">
        <v>185694</v>
      </c>
      <c r="U1057" s="150">
        <v>0</v>
      </c>
    </row>
    <row r="1058" spans="2:21" x14ac:dyDescent="0.3">
      <c r="B1058" s="41"/>
      <c r="C1058" s="17"/>
      <c r="D1058" s="294"/>
      <c r="E1058" s="294"/>
      <c r="G1058" s="41"/>
      <c r="H1058" s="17"/>
      <c r="I1058" s="294"/>
      <c r="J1058" s="294"/>
      <c r="L1058" s="41"/>
      <c r="M1058" s="296"/>
      <c r="N1058" s="294"/>
      <c r="O1058" s="294"/>
      <c r="Q1058" s="41"/>
      <c r="R1058" s="131" t="s">
        <v>2340</v>
      </c>
      <c r="S1058" s="17" t="s">
        <v>2159</v>
      </c>
      <c r="T1058" s="150">
        <v>29862661</v>
      </c>
      <c r="U1058" s="150">
        <v>0</v>
      </c>
    </row>
    <row r="1059" spans="2:21" x14ac:dyDescent="0.3">
      <c r="B1059" s="41"/>
      <c r="C1059" s="17"/>
      <c r="D1059" s="294"/>
      <c r="E1059" s="294"/>
      <c r="G1059" s="41"/>
      <c r="H1059" s="17"/>
      <c r="I1059" s="294"/>
      <c r="J1059" s="294"/>
      <c r="L1059" s="41"/>
      <c r="M1059" s="296"/>
      <c r="N1059" s="294"/>
      <c r="O1059" s="294"/>
      <c r="Q1059" s="41"/>
      <c r="R1059" s="131" t="s">
        <v>2160</v>
      </c>
      <c r="S1059" s="17" t="s">
        <v>2161</v>
      </c>
      <c r="T1059" s="150">
        <v>4859435</v>
      </c>
      <c r="U1059" s="150">
        <v>0</v>
      </c>
    </row>
    <row r="1060" spans="2:21" x14ac:dyDescent="0.3">
      <c r="B1060" s="41"/>
      <c r="C1060" s="17"/>
      <c r="D1060" s="294"/>
      <c r="E1060" s="294"/>
      <c r="G1060" s="41"/>
      <c r="H1060" s="17"/>
      <c r="I1060" s="294"/>
      <c r="J1060" s="294"/>
      <c r="L1060" s="41"/>
      <c r="M1060" s="296"/>
      <c r="N1060" s="294"/>
      <c r="O1060" s="294"/>
      <c r="Q1060" s="41"/>
      <c r="R1060" s="131" t="s">
        <v>2162</v>
      </c>
      <c r="S1060" s="17" t="s">
        <v>2163</v>
      </c>
      <c r="T1060" s="150">
        <v>6044771</v>
      </c>
      <c r="U1060" s="150">
        <v>0</v>
      </c>
    </row>
    <row r="1061" spans="2:21" x14ac:dyDescent="0.3">
      <c r="B1061" s="41"/>
      <c r="C1061" s="17"/>
      <c r="D1061" s="294"/>
      <c r="E1061" s="294"/>
      <c r="G1061" s="41"/>
      <c r="H1061" s="17"/>
      <c r="I1061" s="294"/>
      <c r="J1061" s="294"/>
      <c r="L1061" s="41"/>
      <c r="M1061" s="296"/>
      <c r="N1061" s="294"/>
      <c r="O1061" s="294"/>
      <c r="Q1061" s="41"/>
      <c r="R1061" s="131" t="s">
        <v>2165</v>
      </c>
      <c r="S1061" s="17" t="s">
        <v>2166</v>
      </c>
      <c r="T1061" s="150">
        <v>8007070</v>
      </c>
      <c r="U1061" s="150">
        <v>0</v>
      </c>
    </row>
    <row r="1062" spans="2:21" x14ac:dyDescent="0.3">
      <c r="B1062" s="41"/>
      <c r="C1062" s="17"/>
      <c r="D1062" s="294"/>
      <c r="E1062" s="294"/>
      <c r="G1062" s="41"/>
      <c r="H1062" s="17"/>
      <c r="I1062" s="294"/>
      <c r="J1062" s="294"/>
      <c r="L1062" s="41"/>
      <c r="M1062" s="296"/>
      <c r="N1062" s="294"/>
      <c r="O1062" s="294"/>
      <c r="Q1062" s="41"/>
      <c r="R1062" s="131" t="s">
        <v>2168</v>
      </c>
      <c r="S1062" s="17" t="s">
        <v>2169</v>
      </c>
      <c r="T1062" s="150">
        <v>4874058</v>
      </c>
      <c r="U1062" s="150">
        <v>0</v>
      </c>
    </row>
    <row r="1063" spans="2:21" x14ac:dyDescent="0.3">
      <c r="B1063" s="41"/>
      <c r="C1063" s="17"/>
      <c r="D1063" s="294"/>
      <c r="E1063" s="294"/>
      <c r="G1063" s="41"/>
      <c r="H1063" s="17"/>
      <c r="I1063" s="294"/>
      <c r="J1063" s="294"/>
      <c r="L1063" s="41"/>
      <c r="M1063" s="296"/>
      <c r="N1063" s="294"/>
      <c r="O1063" s="294"/>
      <c r="Q1063" s="41"/>
      <c r="R1063" s="131" t="s">
        <v>2168</v>
      </c>
      <c r="S1063" s="17" t="s">
        <v>2169</v>
      </c>
      <c r="T1063" s="150">
        <v>817371</v>
      </c>
      <c r="U1063" s="150">
        <v>0</v>
      </c>
    </row>
    <row r="1064" spans="2:21" x14ac:dyDescent="0.3">
      <c r="B1064" s="41"/>
      <c r="C1064" s="17"/>
      <c r="D1064" s="294"/>
      <c r="E1064" s="294"/>
      <c r="G1064" s="41"/>
      <c r="H1064" s="17"/>
      <c r="I1064" s="294"/>
      <c r="J1064" s="294"/>
      <c r="L1064" s="41"/>
      <c r="M1064" s="296"/>
      <c r="N1064" s="294"/>
      <c r="O1064" s="294"/>
      <c r="Q1064" s="41"/>
      <c r="R1064" s="131" t="s">
        <v>3313</v>
      </c>
      <c r="S1064" s="17" t="s">
        <v>2211</v>
      </c>
      <c r="T1064" s="150">
        <v>108438</v>
      </c>
      <c r="U1064" s="150">
        <v>0</v>
      </c>
    </row>
    <row r="1065" spans="2:21" x14ac:dyDescent="0.3">
      <c r="B1065" s="41"/>
      <c r="C1065" s="17"/>
      <c r="D1065" s="294"/>
      <c r="E1065" s="294"/>
      <c r="G1065" s="41"/>
      <c r="H1065" s="17"/>
      <c r="I1065" s="294"/>
      <c r="J1065" s="294"/>
      <c r="L1065" s="41"/>
      <c r="M1065" s="296"/>
      <c r="N1065" s="294"/>
      <c r="O1065" s="294"/>
      <c r="Q1065" s="41"/>
      <c r="R1065" s="131" t="s">
        <v>2212</v>
      </c>
      <c r="S1065" s="17" t="s">
        <v>2213</v>
      </c>
      <c r="T1065" s="150">
        <v>44914</v>
      </c>
      <c r="U1065" s="150">
        <v>0</v>
      </c>
    </row>
    <row r="1066" spans="2:21" x14ac:dyDescent="0.3">
      <c r="B1066" s="41"/>
      <c r="C1066" s="17"/>
      <c r="D1066" s="294"/>
      <c r="E1066" s="294"/>
      <c r="G1066" s="41"/>
      <c r="H1066" s="17"/>
      <c r="I1066" s="294"/>
      <c r="J1066" s="294"/>
      <c r="L1066" s="41"/>
      <c r="M1066" s="296"/>
      <c r="N1066" s="294"/>
      <c r="O1066" s="294"/>
      <c r="Q1066" s="41"/>
      <c r="R1066" s="131" t="s">
        <v>2214</v>
      </c>
      <c r="S1066" s="17" t="s">
        <v>2215</v>
      </c>
      <c r="T1066" s="150">
        <v>88310</v>
      </c>
      <c r="U1066" s="150">
        <v>0</v>
      </c>
    </row>
    <row r="1067" spans="2:21" x14ac:dyDescent="0.3">
      <c r="B1067" s="41"/>
      <c r="C1067" s="17"/>
      <c r="D1067" s="294"/>
      <c r="E1067" s="294"/>
      <c r="G1067" s="41"/>
      <c r="H1067" s="17"/>
      <c r="I1067" s="294"/>
      <c r="J1067" s="294"/>
      <c r="L1067" s="41"/>
      <c r="M1067" s="296"/>
      <c r="N1067" s="294"/>
      <c r="O1067" s="294"/>
      <c r="Q1067" s="41"/>
      <c r="R1067" s="131" t="s">
        <v>1985</v>
      </c>
      <c r="S1067" s="17" t="s">
        <v>2197</v>
      </c>
      <c r="T1067" s="150">
        <v>1187045</v>
      </c>
      <c r="U1067" s="150">
        <v>0</v>
      </c>
    </row>
    <row r="1068" spans="2:21" x14ac:dyDescent="0.3">
      <c r="B1068" s="41"/>
      <c r="C1068" s="17"/>
      <c r="D1068" s="294"/>
      <c r="E1068" s="294"/>
      <c r="G1068" s="41"/>
      <c r="H1068" s="17"/>
      <c r="I1068" s="294"/>
      <c r="J1068" s="294"/>
      <c r="L1068" s="41"/>
      <c r="M1068" s="296"/>
      <c r="N1068" s="294"/>
      <c r="O1068" s="294"/>
      <c r="Q1068" s="41"/>
      <c r="R1068" s="131" t="s">
        <v>1895</v>
      </c>
      <c r="S1068" s="17" t="s">
        <v>2174</v>
      </c>
      <c r="T1068" s="150">
        <v>11942867</v>
      </c>
      <c r="U1068" s="150">
        <v>0</v>
      </c>
    </row>
    <row r="1069" spans="2:21" x14ac:dyDescent="0.3">
      <c r="B1069" s="41"/>
      <c r="C1069" s="17"/>
      <c r="D1069" s="294"/>
      <c r="E1069" s="294"/>
      <c r="G1069" s="41"/>
      <c r="H1069" s="17"/>
      <c r="I1069" s="294"/>
      <c r="J1069" s="294"/>
      <c r="L1069" s="41"/>
      <c r="M1069" s="296"/>
      <c r="N1069" s="294"/>
      <c r="O1069" s="294"/>
      <c r="Q1069" s="41"/>
      <c r="R1069" s="131" t="s">
        <v>2177</v>
      </c>
      <c r="S1069" s="17" t="s">
        <v>2341</v>
      </c>
      <c r="T1069" s="150">
        <v>34785560</v>
      </c>
      <c r="U1069" s="150">
        <v>0</v>
      </c>
    </row>
    <row r="1070" spans="2:21" x14ac:dyDescent="0.3">
      <c r="B1070" s="41"/>
      <c r="C1070" s="17"/>
      <c r="D1070" s="294"/>
      <c r="E1070" s="294"/>
      <c r="G1070" s="41"/>
      <c r="H1070" s="17"/>
      <c r="I1070" s="294"/>
      <c r="J1070" s="294"/>
      <c r="L1070" s="41"/>
      <c r="M1070" s="296"/>
      <c r="N1070" s="294"/>
      <c r="O1070" s="294"/>
      <c r="Q1070" s="41"/>
      <c r="R1070" s="131" t="s">
        <v>2183</v>
      </c>
      <c r="S1070" s="17" t="s">
        <v>2182</v>
      </c>
      <c r="T1070" s="150">
        <v>18399536</v>
      </c>
      <c r="U1070" s="150">
        <v>0</v>
      </c>
    </row>
    <row r="1071" spans="2:21" x14ac:dyDescent="0.3">
      <c r="B1071" s="41"/>
      <c r="C1071" s="17"/>
      <c r="D1071" s="294"/>
      <c r="E1071" s="294"/>
      <c r="G1071" s="41"/>
      <c r="H1071" s="17"/>
      <c r="I1071" s="294"/>
      <c r="J1071" s="294"/>
      <c r="L1071" s="41"/>
      <c r="M1071" s="296"/>
      <c r="N1071" s="294"/>
      <c r="O1071" s="294"/>
      <c r="Q1071" s="41"/>
      <c r="R1071" s="131" t="s">
        <v>2185</v>
      </c>
      <c r="S1071" s="17" t="s">
        <v>2184</v>
      </c>
      <c r="T1071" s="150">
        <v>15933738</v>
      </c>
      <c r="U1071" s="150">
        <v>0</v>
      </c>
    </row>
    <row r="1072" spans="2:21" x14ac:dyDescent="0.3">
      <c r="B1072" s="41"/>
      <c r="C1072" s="17"/>
      <c r="D1072" s="294"/>
      <c r="E1072" s="294"/>
      <c r="G1072" s="41"/>
      <c r="H1072" s="17"/>
      <c r="I1072" s="294"/>
      <c r="J1072" s="294"/>
      <c r="L1072" s="41"/>
      <c r="M1072" s="296"/>
      <c r="N1072" s="294"/>
      <c r="O1072" s="294"/>
      <c r="Q1072" s="41"/>
      <c r="R1072" s="131" t="s">
        <v>2187</v>
      </c>
      <c r="S1072" s="17" t="s">
        <v>2186</v>
      </c>
      <c r="T1072" s="150">
        <v>24352254</v>
      </c>
      <c r="U1072" s="150">
        <v>0</v>
      </c>
    </row>
    <row r="1073" spans="2:21" x14ac:dyDescent="0.3">
      <c r="B1073" s="41"/>
      <c r="C1073" s="17"/>
      <c r="D1073" s="294"/>
      <c r="E1073" s="294"/>
      <c r="G1073" s="41"/>
      <c r="H1073" s="17"/>
      <c r="I1073" s="294"/>
      <c r="J1073" s="294"/>
      <c r="L1073" s="41"/>
      <c r="M1073" s="296"/>
      <c r="N1073" s="294"/>
      <c r="O1073" s="294"/>
      <c r="Q1073" s="41"/>
      <c r="R1073" s="131" t="s">
        <v>2187</v>
      </c>
      <c r="S1073" s="17" t="s">
        <v>2186</v>
      </c>
      <c r="T1073" s="150">
        <v>3481700</v>
      </c>
      <c r="U1073" s="150">
        <v>0</v>
      </c>
    </row>
    <row r="1074" spans="2:21" x14ac:dyDescent="0.3">
      <c r="B1074" s="41"/>
      <c r="C1074" s="17"/>
      <c r="D1074" s="294"/>
      <c r="E1074" s="294"/>
      <c r="G1074" s="41"/>
      <c r="H1074" s="17"/>
      <c r="I1074" s="294"/>
      <c r="J1074" s="294"/>
      <c r="L1074" s="41"/>
      <c r="M1074" s="296"/>
      <c r="N1074" s="294"/>
      <c r="O1074" s="294"/>
      <c r="Q1074" s="41"/>
      <c r="R1074" s="131" t="s">
        <v>2342</v>
      </c>
      <c r="S1074" s="17" t="s">
        <v>2188</v>
      </c>
      <c r="T1074" s="150">
        <v>7306703</v>
      </c>
      <c r="U1074" s="150">
        <v>0</v>
      </c>
    </row>
    <row r="1075" spans="2:21" x14ac:dyDescent="0.3">
      <c r="B1075" s="41"/>
      <c r="C1075" s="17"/>
      <c r="D1075" s="294"/>
      <c r="E1075" s="294"/>
      <c r="G1075" s="41"/>
      <c r="H1075" s="17"/>
      <c r="I1075" s="294"/>
      <c r="J1075" s="294"/>
      <c r="L1075" s="41"/>
      <c r="M1075" s="296"/>
      <c r="N1075" s="294"/>
      <c r="O1075" s="294"/>
      <c r="Q1075" s="41"/>
      <c r="R1075" s="131" t="s">
        <v>2342</v>
      </c>
      <c r="S1075" s="17" t="s">
        <v>2188</v>
      </c>
      <c r="T1075" s="150">
        <v>1178855</v>
      </c>
      <c r="U1075" s="150">
        <v>0</v>
      </c>
    </row>
    <row r="1076" spans="2:21" x14ac:dyDescent="0.3">
      <c r="B1076" s="41"/>
      <c r="C1076" s="17"/>
      <c r="D1076" s="294"/>
      <c r="E1076" s="294"/>
      <c r="G1076" s="41"/>
      <c r="H1076" s="17"/>
      <c r="I1076" s="294"/>
      <c r="J1076" s="294"/>
      <c r="L1076" s="41"/>
      <c r="M1076" s="296"/>
      <c r="N1076" s="294"/>
      <c r="O1076" s="294"/>
      <c r="Q1076" s="41"/>
      <c r="R1076" s="131" t="s">
        <v>2190</v>
      </c>
      <c r="S1076" s="17" t="s">
        <v>2189</v>
      </c>
      <c r="T1076" s="150">
        <v>9732161</v>
      </c>
      <c r="U1076" s="150">
        <v>0</v>
      </c>
    </row>
    <row r="1077" spans="2:21" x14ac:dyDescent="0.3">
      <c r="B1077" s="41"/>
      <c r="C1077" s="17"/>
      <c r="D1077" s="294"/>
      <c r="E1077" s="294"/>
      <c r="G1077" s="41"/>
      <c r="H1077" s="17"/>
      <c r="I1077" s="294"/>
      <c r="J1077" s="294"/>
      <c r="L1077" s="41"/>
      <c r="M1077" s="296"/>
      <c r="N1077" s="294"/>
      <c r="O1077" s="294"/>
      <c r="Q1077" s="41"/>
      <c r="R1077" s="131" t="s">
        <v>2192</v>
      </c>
      <c r="S1077" s="17" t="s">
        <v>2191</v>
      </c>
      <c r="T1077" s="150">
        <v>5729317</v>
      </c>
      <c r="U1077" s="150">
        <v>0</v>
      </c>
    </row>
    <row r="1078" spans="2:21" x14ac:dyDescent="0.3">
      <c r="B1078" s="41"/>
      <c r="C1078" s="17"/>
      <c r="D1078" s="294"/>
      <c r="E1078" s="294"/>
      <c r="G1078" s="41"/>
      <c r="H1078" s="17"/>
      <c r="I1078" s="294"/>
      <c r="J1078" s="294"/>
      <c r="L1078" s="41"/>
      <c r="M1078" s="296"/>
      <c r="N1078" s="294"/>
      <c r="O1078" s="294"/>
      <c r="Q1078" s="41"/>
      <c r="R1078" s="131" t="s">
        <v>1896</v>
      </c>
      <c r="S1078" s="17" t="s">
        <v>2193</v>
      </c>
      <c r="T1078" s="150">
        <v>5933260</v>
      </c>
      <c r="U1078" s="150">
        <v>0</v>
      </c>
    </row>
    <row r="1079" spans="2:21" x14ac:dyDescent="0.3">
      <c r="B1079" s="41"/>
      <c r="C1079" s="17"/>
      <c r="D1079" s="294"/>
      <c r="E1079" s="294"/>
      <c r="G1079" s="41"/>
      <c r="H1079" s="17"/>
      <c r="I1079" s="294"/>
      <c r="J1079" s="294"/>
      <c r="L1079" s="41"/>
      <c r="M1079" s="296"/>
      <c r="N1079" s="294"/>
      <c r="O1079" s="294"/>
      <c r="Q1079" s="41"/>
      <c r="R1079" s="131" t="s">
        <v>2343</v>
      </c>
      <c r="S1079" s="17" t="s">
        <v>2194</v>
      </c>
      <c r="T1079" s="150">
        <v>23151615</v>
      </c>
      <c r="U1079" s="150">
        <v>0</v>
      </c>
    </row>
    <row r="1080" spans="2:21" x14ac:dyDescent="0.3">
      <c r="B1080" s="41"/>
      <c r="C1080" s="17"/>
      <c r="D1080" s="294"/>
      <c r="E1080" s="294"/>
      <c r="G1080" s="41"/>
      <c r="H1080" s="17"/>
      <c r="I1080" s="294"/>
      <c r="J1080" s="294"/>
      <c r="L1080" s="41"/>
      <c r="M1080" s="296"/>
      <c r="N1080" s="294"/>
      <c r="O1080" s="294"/>
      <c r="Q1080" s="41"/>
      <c r="R1080" s="131" t="s">
        <v>3291</v>
      </c>
      <c r="S1080" s="17" t="s">
        <v>2171</v>
      </c>
      <c r="T1080" s="150">
        <v>10942393</v>
      </c>
      <c r="U1080" s="150">
        <v>0</v>
      </c>
    </row>
    <row r="1081" spans="2:21" x14ac:dyDescent="0.3">
      <c r="B1081" s="41"/>
      <c r="C1081" s="17"/>
      <c r="D1081" s="294"/>
      <c r="E1081" s="294"/>
      <c r="G1081" s="41"/>
      <c r="H1081" s="17"/>
      <c r="I1081" s="294"/>
      <c r="J1081" s="294"/>
      <c r="L1081" s="41"/>
      <c r="M1081" s="296"/>
      <c r="N1081" s="294"/>
      <c r="O1081" s="294"/>
      <c r="Q1081" s="41"/>
      <c r="R1081" s="131" t="s">
        <v>1898</v>
      </c>
      <c r="S1081" s="17" t="s">
        <v>2218</v>
      </c>
      <c r="T1081" s="150">
        <v>54915</v>
      </c>
      <c r="U1081" s="150">
        <v>0</v>
      </c>
    </row>
    <row r="1082" spans="2:21" x14ac:dyDescent="0.3">
      <c r="B1082" s="41"/>
      <c r="C1082" s="17"/>
      <c r="D1082" s="294"/>
      <c r="E1082" s="294"/>
      <c r="G1082" s="41"/>
      <c r="H1082" s="17"/>
      <c r="I1082" s="294"/>
      <c r="J1082" s="294"/>
      <c r="L1082" s="41"/>
      <c r="M1082" s="296"/>
      <c r="N1082" s="294"/>
      <c r="O1082" s="294"/>
      <c r="Q1082" s="41"/>
      <c r="R1082" s="131" t="s">
        <v>2223</v>
      </c>
      <c r="S1082" s="17" t="s">
        <v>2224</v>
      </c>
      <c r="T1082" s="150">
        <v>288168</v>
      </c>
      <c r="U1082" s="150">
        <v>0</v>
      </c>
    </row>
    <row r="1083" spans="2:21" x14ac:dyDescent="0.3">
      <c r="B1083" s="41"/>
      <c r="C1083" s="17"/>
      <c r="D1083" s="294"/>
      <c r="E1083" s="294"/>
      <c r="G1083" s="41"/>
      <c r="H1083" s="17"/>
      <c r="I1083" s="294"/>
      <c r="J1083" s="294"/>
      <c r="L1083" s="41"/>
      <c r="M1083" s="296"/>
      <c r="N1083" s="294"/>
      <c r="O1083" s="294"/>
      <c r="Q1083" s="41"/>
      <c r="R1083" s="131" t="s">
        <v>2228</v>
      </c>
      <c r="S1083" s="17" t="s">
        <v>1990</v>
      </c>
      <c r="T1083" s="150">
        <v>3788</v>
      </c>
      <c r="U1083" s="150">
        <v>0</v>
      </c>
    </row>
    <row r="1084" spans="2:21" x14ac:dyDescent="0.3">
      <c r="B1084" s="41"/>
      <c r="C1084" s="17"/>
      <c r="D1084" s="294"/>
      <c r="E1084" s="294"/>
      <c r="G1084" s="41"/>
      <c r="H1084" s="17"/>
      <c r="I1084" s="294"/>
      <c r="J1084" s="294"/>
      <c r="L1084" s="41"/>
      <c r="M1084" s="296"/>
      <c r="N1084" s="294"/>
      <c r="O1084" s="294"/>
      <c r="Q1084" s="41"/>
      <c r="R1084" s="131" t="s">
        <v>2236</v>
      </c>
      <c r="S1084" s="17" t="s">
        <v>38</v>
      </c>
      <c r="T1084" s="150">
        <v>1013309</v>
      </c>
      <c r="U1084" s="150">
        <v>0</v>
      </c>
    </row>
    <row r="1085" spans="2:21" x14ac:dyDescent="0.3">
      <c r="B1085" s="41"/>
      <c r="C1085" s="17"/>
      <c r="D1085" s="294"/>
      <c r="E1085" s="294"/>
      <c r="G1085" s="41"/>
      <c r="H1085" s="17"/>
      <c r="I1085" s="294"/>
      <c r="J1085" s="294"/>
      <c r="L1085" s="41"/>
      <c r="M1085" s="296"/>
      <c r="N1085" s="294"/>
      <c r="O1085" s="294"/>
      <c r="Q1085" s="203">
        <v>40020006</v>
      </c>
      <c r="R1085" s="204"/>
      <c r="S1085" s="205" t="s">
        <v>1038</v>
      </c>
      <c r="T1085" s="206">
        <f>SUM(T1086:T1130)-SUM(U1086:U1130)</f>
        <v>671101471</v>
      </c>
      <c r="U1085" s="206">
        <v>0</v>
      </c>
    </row>
    <row r="1086" spans="2:21" x14ac:dyDescent="0.3">
      <c r="B1086" s="41"/>
      <c r="C1086" s="17"/>
      <c r="D1086" s="294"/>
      <c r="E1086" s="294"/>
      <c r="G1086" s="41"/>
      <c r="H1086" s="17"/>
      <c r="I1086" s="294"/>
      <c r="J1086" s="294"/>
      <c r="L1086" s="41"/>
      <c r="M1086" s="296"/>
      <c r="N1086" s="294"/>
      <c r="O1086" s="294"/>
      <c r="Q1086" s="41"/>
      <c r="R1086" s="131" t="s">
        <v>1931</v>
      </c>
      <c r="S1086" s="17" t="s">
        <v>1932</v>
      </c>
      <c r="T1086" s="150">
        <v>11759744</v>
      </c>
      <c r="U1086" s="150">
        <v>0</v>
      </c>
    </row>
    <row r="1087" spans="2:21" x14ac:dyDescent="0.3">
      <c r="B1087" s="41"/>
      <c r="C1087" s="17"/>
      <c r="D1087" s="294"/>
      <c r="E1087" s="294"/>
      <c r="G1087" s="41"/>
      <c r="H1087" s="17"/>
      <c r="I1087" s="294"/>
      <c r="J1087" s="294"/>
      <c r="L1087" s="41"/>
      <c r="M1087" s="296"/>
      <c r="N1087" s="294"/>
      <c r="O1087" s="294"/>
      <c r="Q1087" s="41"/>
      <c r="R1087" s="131" t="s">
        <v>1934</v>
      </c>
      <c r="S1087" s="17" t="s">
        <v>2196</v>
      </c>
      <c r="T1087" s="150">
        <v>758723</v>
      </c>
      <c r="U1087" s="150">
        <v>0</v>
      </c>
    </row>
    <row r="1088" spans="2:21" x14ac:dyDescent="0.3">
      <c r="B1088" s="41"/>
      <c r="C1088" s="17"/>
      <c r="D1088" s="294"/>
      <c r="E1088" s="294"/>
      <c r="G1088" s="41"/>
      <c r="H1088" s="17"/>
      <c r="I1088" s="294"/>
      <c r="J1088" s="294"/>
      <c r="L1088" s="41"/>
      <c r="M1088" s="296"/>
      <c r="N1088" s="294"/>
      <c r="O1088" s="294"/>
      <c r="Q1088" s="41"/>
      <c r="R1088" s="131" t="s">
        <v>2199</v>
      </c>
      <c r="S1088" s="17" t="s">
        <v>2200</v>
      </c>
      <c r="T1088" s="150">
        <v>44208837</v>
      </c>
      <c r="U1088" s="150">
        <v>0</v>
      </c>
    </row>
    <row r="1089" spans="2:21" x14ac:dyDescent="0.3">
      <c r="B1089" s="41"/>
      <c r="C1089" s="17"/>
      <c r="D1089" s="294"/>
      <c r="E1089" s="294"/>
      <c r="G1089" s="41"/>
      <c r="H1089" s="17"/>
      <c r="I1089" s="294"/>
      <c r="J1089" s="294"/>
      <c r="L1089" s="41"/>
      <c r="M1089" s="296"/>
      <c r="N1089" s="294"/>
      <c r="O1089" s="294"/>
      <c r="Q1089" s="41"/>
      <c r="R1089" s="131" t="s">
        <v>2201</v>
      </c>
      <c r="S1089" s="17" t="s">
        <v>2202</v>
      </c>
      <c r="T1089" s="150">
        <v>17549488</v>
      </c>
      <c r="U1089" s="150">
        <v>0</v>
      </c>
    </row>
    <row r="1090" spans="2:21" x14ac:dyDescent="0.3">
      <c r="B1090" s="41"/>
      <c r="C1090" s="17"/>
      <c r="D1090" s="294"/>
      <c r="E1090" s="294"/>
      <c r="G1090" s="41"/>
      <c r="H1090" s="17"/>
      <c r="I1090" s="294"/>
      <c r="J1090" s="294"/>
      <c r="L1090" s="41"/>
      <c r="M1090" s="296"/>
      <c r="N1090" s="294"/>
      <c r="O1090" s="294"/>
      <c r="Q1090" s="41"/>
      <c r="R1090" s="131" t="s">
        <v>2203</v>
      </c>
      <c r="S1090" s="17" t="s">
        <v>2204</v>
      </c>
      <c r="T1090" s="150">
        <v>8440945</v>
      </c>
      <c r="U1090" s="150">
        <v>0</v>
      </c>
    </row>
    <row r="1091" spans="2:21" x14ac:dyDescent="0.3">
      <c r="B1091" s="41"/>
      <c r="C1091" s="17"/>
      <c r="D1091" s="294"/>
      <c r="E1091" s="294"/>
      <c r="G1091" s="41"/>
      <c r="H1091" s="17"/>
      <c r="I1091" s="294"/>
      <c r="J1091" s="294"/>
      <c r="L1091" s="41"/>
      <c r="M1091" s="296"/>
      <c r="N1091" s="294"/>
      <c r="O1091" s="294"/>
      <c r="Q1091" s="41"/>
      <c r="R1091" s="131" t="s">
        <v>2205</v>
      </c>
      <c r="S1091" s="17" t="s">
        <v>2206</v>
      </c>
      <c r="T1091" s="150">
        <v>19695749</v>
      </c>
      <c r="U1091" s="150">
        <v>0</v>
      </c>
    </row>
    <row r="1092" spans="2:21" x14ac:dyDescent="0.3">
      <c r="B1092" s="41"/>
      <c r="C1092" s="17"/>
      <c r="D1092" s="294"/>
      <c r="E1092" s="294"/>
      <c r="G1092" s="41"/>
      <c r="H1092" s="17"/>
      <c r="I1092" s="294"/>
      <c r="J1092" s="294"/>
      <c r="L1092" s="41"/>
      <c r="M1092" s="296"/>
      <c r="N1092" s="294"/>
      <c r="O1092" s="294"/>
      <c r="Q1092" s="41"/>
      <c r="R1092" s="131" t="s">
        <v>2207</v>
      </c>
      <c r="S1092" s="17" t="s">
        <v>2208</v>
      </c>
      <c r="T1092" s="150">
        <v>30665405</v>
      </c>
      <c r="U1092" s="150">
        <v>0</v>
      </c>
    </row>
    <row r="1093" spans="2:21" x14ac:dyDescent="0.3">
      <c r="B1093" s="41"/>
      <c r="C1093" s="17"/>
      <c r="D1093" s="294"/>
      <c r="E1093" s="294"/>
      <c r="G1093" s="41"/>
      <c r="H1093" s="17"/>
      <c r="I1093" s="294"/>
      <c r="J1093" s="294"/>
      <c r="L1093" s="41"/>
      <c r="M1093" s="296"/>
      <c r="N1093" s="294"/>
      <c r="O1093" s="294"/>
      <c r="Q1093" s="41"/>
      <c r="R1093" s="131" t="s">
        <v>2209</v>
      </c>
      <c r="S1093" s="17" t="s">
        <v>2210</v>
      </c>
      <c r="T1093" s="150">
        <v>31315277</v>
      </c>
      <c r="U1093" s="150">
        <v>0</v>
      </c>
    </row>
    <row r="1094" spans="2:21" x14ac:dyDescent="0.3">
      <c r="B1094" s="41"/>
      <c r="C1094" s="17"/>
      <c r="D1094" s="294"/>
      <c r="E1094" s="294"/>
      <c r="G1094" s="41"/>
      <c r="H1094" s="17"/>
      <c r="I1094" s="294"/>
      <c r="J1094" s="294"/>
      <c r="L1094" s="41"/>
      <c r="M1094" s="296"/>
      <c r="N1094" s="294"/>
      <c r="O1094" s="294"/>
      <c r="Q1094" s="41"/>
      <c r="R1094" s="131" t="s">
        <v>2340</v>
      </c>
      <c r="S1094" s="17" t="s">
        <v>2159</v>
      </c>
      <c r="T1094" s="150">
        <v>44530543</v>
      </c>
      <c r="U1094" s="150">
        <v>0</v>
      </c>
    </row>
    <row r="1095" spans="2:21" x14ac:dyDescent="0.3">
      <c r="B1095" s="41"/>
      <c r="C1095" s="17"/>
      <c r="D1095" s="294"/>
      <c r="E1095" s="294"/>
      <c r="G1095" s="41"/>
      <c r="H1095" s="17"/>
      <c r="I1095" s="294"/>
      <c r="J1095" s="294"/>
      <c r="L1095" s="41"/>
      <c r="M1095" s="296"/>
      <c r="N1095" s="294"/>
      <c r="O1095" s="294"/>
      <c r="Q1095" s="41"/>
      <c r="R1095" s="131" t="s">
        <v>2160</v>
      </c>
      <c r="S1095" s="17" t="s">
        <v>2161</v>
      </c>
      <c r="T1095" s="150">
        <v>8685367</v>
      </c>
      <c r="U1095" s="150">
        <v>0</v>
      </c>
    </row>
    <row r="1096" spans="2:21" x14ac:dyDescent="0.3">
      <c r="B1096" s="41"/>
      <c r="C1096" s="17"/>
      <c r="D1096" s="294"/>
      <c r="E1096" s="294"/>
      <c r="G1096" s="41"/>
      <c r="H1096" s="17"/>
      <c r="I1096" s="294"/>
      <c r="J1096" s="294"/>
      <c r="L1096" s="41"/>
      <c r="M1096" s="296"/>
      <c r="N1096" s="294"/>
      <c r="O1096" s="294"/>
      <c r="Q1096" s="41"/>
      <c r="R1096" s="131" t="s">
        <v>2162</v>
      </c>
      <c r="S1096" s="17" t="s">
        <v>2163</v>
      </c>
      <c r="T1096" s="150">
        <v>13206909</v>
      </c>
      <c r="U1096" s="150">
        <v>0</v>
      </c>
    </row>
    <row r="1097" spans="2:21" x14ac:dyDescent="0.3">
      <c r="B1097" s="41"/>
      <c r="C1097" s="17"/>
      <c r="D1097" s="294"/>
      <c r="E1097" s="294"/>
      <c r="G1097" s="41"/>
      <c r="H1097" s="17"/>
      <c r="I1097" s="294"/>
      <c r="J1097" s="294"/>
      <c r="L1097" s="41"/>
      <c r="M1097" s="296"/>
      <c r="N1097" s="294"/>
      <c r="O1097" s="294"/>
      <c r="Q1097" s="41"/>
      <c r="R1097" s="131" t="s">
        <v>2165</v>
      </c>
      <c r="S1097" s="17" t="s">
        <v>2166</v>
      </c>
      <c r="T1097" s="150">
        <v>15200612</v>
      </c>
      <c r="U1097" s="150">
        <v>0</v>
      </c>
    </row>
    <row r="1098" spans="2:21" x14ac:dyDescent="0.3">
      <c r="B1098" s="41"/>
      <c r="C1098" s="17"/>
      <c r="D1098" s="294"/>
      <c r="E1098" s="294"/>
      <c r="G1098" s="41"/>
      <c r="H1098" s="17"/>
      <c r="I1098" s="294"/>
      <c r="J1098" s="294"/>
      <c r="L1098" s="41"/>
      <c r="M1098" s="296"/>
      <c r="N1098" s="294"/>
      <c r="O1098" s="294"/>
      <c r="Q1098" s="41"/>
      <c r="R1098" s="131" t="s">
        <v>2168</v>
      </c>
      <c r="S1098" s="17" t="s">
        <v>2169</v>
      </c>
      <c r="T1098" s="150">
        <v>6775134</v>
      </c>
      <c r="U1098" s="150">
        <v>0</v>
      </c>
    </row>
    <row r="1099" spans="2:21" x14ac:dyDescent="0.3">
      <c r="B1099" s="41"/>
      <c r="C1099" s="17"/>
      <c r="D1099" s="294"/>
      <c r="E1099" s="294"/>
      <c r="G1099" s="41"/>
      <c r="H1099" s="17"/>
      <c r="I1099" s="294"/>
      <c r="J1099" s="294"/>
      <c r="L1099" s="41"/>
      <c r="M1099" s="296"/>
      <c r="N1099" s="294"/>
      <c r="O1099" s="294"/>
      <c r="Q1099" s="41"/>
      <c r="R1099" s="131" t="s">
        <v>2168</v>
      </c>
      <c r="S1099" s="17" t="s">
        <v>2169</v>
      </c>
      <c r="T1099" s="150">
        <v>1359469</v>
      </c>
      <c r="U1099" s="150">
        <v>0</v>
      </c>
    </row>
    <row r="1100" spans="2:21" x14ac:dyDescent="0.3">
      <c r="B1100" s="41"/>
      <c r="C1100" s="17"/>
      <c r="D1100" s="294"/>
      <c r="E1100" s="294"/>
      <c r="G1100" s="41"/>
      <c r="H1100" s="17"/>
      <c r="I1100" s="294"/>
      <c r="J1100" s="294"/>
      <c r="L1100" s="41"/>
      <c r="M1100" s="296"/>
      <c r="N1100" s="294"/>
      <c r="O1100" s="294"/>
      <c r="Q1100" s="41"/>
      <c r="R1100" s="131" t="s">
        <v>3313</v>
      </c>
      <c r="S1100" s="17" t="s">
        <v>2211</v>
      </c>
      <c r="T1100" s="150">
        <v>39171817</v>
      </c>
      <c r="U1100" s="150">
        <v>0</v>
      </c>
    </row>
    <row r="1101" spans="2:21" x14ac:dyDescent="0.3">
      <c r="B1101" s="41"/>
      <c r="C1101" s="17"/>
      <c r="D1101" s="294"/>
      <c r="E1101" s="294"/>
      <c r="G1101" s="41"/>
      <c r="H1101" s="17"/>
      <c r="I1101" s="294"/>
      <c r="J1101" s="294"/>
      <c r="L1101" s="41"/>
      <c r="M1101" s="296"/>
      <c r="N1101" s="294"/>
      <c r="O1101" s="294"/>
      <c r="Q1101" s="41"/>
      <c r="R1101" s="131" t="s">
        <v>2212</v>
      </c>
      <c r="S1101" s="17" t="s">
        <v>2213</v>
      </c>
      <c r="T1101" s="150">
        <v>18632087</v>
      </c>
      <c r="U1101" s="150">
        <v>0</v>
      </c>
    </row>
    <row r="1102" spans="2:21" x14ac:dyDescent="0.3">
      <c r="B1102" s="41"/>
      <c r="C1102" s="17"/>
      <c r="D1102" s="294"/>
      <c r="E1102" s="294"/>
      <c r="G1102" s="41"/>
      <c r="H1102" s="17"/>
      <c r="I1102" s="294"/>
      <c r="J1102" s="294"/>
      <c r="L1102" s="41"/>
      <c r="M1102" s="296"/>
      <c r="N1102" s="294"/>
      <c r="O1102" s="294"/>
      <c r="Q1102" s="41"/>
      <c r="R1102" s="131" t="s">
        <v>2214</v>
      </c>
      <c r="S1102" s="17" t="s">
        <v>2215</v>
      </c>
      <c r="T1102" s="150">
        <v>28271554</v>
      </c>
      <c r="U1102" s="150">
        <v>0</v>
      </c>
    </row>
    <row r="1103" spans="2:21" x14ac:dyDescent="0.3">
      <c r="B1103" s="41"/>
      <c r="C1103" s="17"/>
      <c r="D1103" s="294"/>
      <c r="E1103" s="294"/>
      <c r="G1103" s="41"/>
      <c r="H1103" s="17"/>
      <c r="I1103" s="294"/>
      <c r="J1103" s="294"/>
      <c r="L1103" s="41"/>
      <c r="M1103" s="296"/>
      <c r="N1103" s="294"/>
      <c r="O1103" s="294"/>
      <c r="Q1103" s="41"/>
      <c r="R1103" s="131" t="s">
        <v>2216</v>
      </c>
      <c r="S1103" s="17" t="s">
        <v>2217</v>
      </c>
      <c r="T1103" s="150">
        <v>9514790</v>
      </c>
      <c r="U1103" s="150">
        <v>0</v>
      </c>
    </row>
    <row r="1104" spans="2:21" x14ac:dyDescent="0.3">
      <c r="B1104" s="41"/>
      <c r="C1104" s="17"/>
      <c r="D1104" s="294"/>
      <c r="E1104" s="294"/>
      <c r="G1104" s="41"/>
      <c r="H1104" s="17"/>
      <c r="I1104" s="294"/>
      <c r="J1104" s="294"/>
      <c r="L1104" s="41"/>
      <c r="M1104" s="296"/>
      <c r="N1104" s="294"/>
      <c r="O1104" s="294"/>
      <c r="Q1104" s="41"/>
      <c r="R1104" s="131" t="s">
        <v>1985</v>
      </c>
      <c r="S1104" s="17" t="s">
        <v>2197</v>
      </c>
      <c r="T1104" s="150">
        <v>1999702</v>
      </c>
      <c r="U1104" s="150">
        <v>0</v>
      </c>
    </row>
    <row r="1105" spans="2:21" x14ac:dyDescent="0.3">
      <c r="B1105" s="41"/>
      <c r="C1105" s="17"/>
      <c r="D1105" s="294"/>
      <c r="E1105" s="294"/>
      <c r="G1105" s="41"/>
      <c r="H1105" s="17"/>
      <c r="I1105" s="294"/>
      <c r="J1105" s="294"/>
      <c r="L1105" s="41"/>
      <c r="M1105" s="296"/>
      <c r="N1105" s="294"/>
      <c r="O1105" s="294"/>
      <c r="Q1105" s="41"/>
      <c r="R1105" s="131" t="s">
        <v>1895</v>
      </c>
      <c r="S1105" s="17" t="s">
        <v>2174</v>
      </c>
      <c r="T1105" s="150">
        <v>16497205</v>
      </c>
      <c r="U1105" s="150">
        <v>0</v>
      </c>
    </row>
    <row r="1106" spans="2:21" x14ac:dyDescent="0.3">
      <c r="B1106" s="41"/>
      <c r="C1106" s="17"/>
      <c r="D1106" s="294"/>
      <c r="E1106" s="294"/>
      <c r="G1106" s="41"/>
      <c r="H1106" s="17"/>
      <c r="I1106" s="294"/>
      <c r="J1106" s="294"/>
      <c r="L1106" s="41"/>
      <c r="M1106" s="296"/>
      <c r="N1106" s="294"/>
      <c r="O1106" s="294"/>
      <c r="Q1106" s="41"/>
      <c r="R1106" s="131" t="s">
        <v>2177</v>
      </c>
      <c r="S1106" s="17" t="s">
        <v>2341</v>
      </c>
      <c r="T1106" s="150">
        <v>48322648</v>
      </c>
      <c r="U1106" s="150">
        <v>0</v>
      </c>
    </row>
    <row r="1107" spans="2:21" x14ac:dyDescent="0.3">
      <c r="B1107" s="41"/>
      <c r="C1107" s="17"/>
      <c r="D1107" s="294"/>
      <c r="E1107" s="294"/>
      <c r="G1107" s="41"/>
      <c r="H1107" s="17"/>
      <c r="I1107" s="294"/>
      <c r="J1107" s="294"/>
      <c r="L1107" s="41"/>
      <c r="M1107" s="296"/>
      <c r="N1107" s="294"/>
      <c r="O1107" s="294"/>
      <c r="Q1107" s="41"/>
      <c r="R1107" s="131" t="s">
        <v>2183</v>
      </c>
      <c r="S1107" s="17" t="s">
        <v>2182</v>
      </c>
      <c r="T1107" s="150">
        <v>27455859</v>
      </c>
      <c r="U1107" s="150">
        <v>0</v>
      </c>
    </row>
    <row r="1108" spans="2:21" x14ac:dyDescent="0.3">
      <c r="B1108" s="41"/>
      <c r="C1108" s="17"/>
      <c r="D1108" s="294"/>
      <c r="E1108" s="294"/>
      <c r="G1108" s="41"/>
      <c r="H1108" s="17"/>
      <c r="I1108" s="294"/>
      <c r="J1108" s="294"/>
      <c r="L1108" s="41"/>
      <c r="M1108" s="296"/>
      <c r="N1108" s="294"/>
      <c r="O1108" s="294"/>
      <c r="Q1108" s="41"/>
      <c r="R1108" s="131" t="s">
        <v>2185</v>
      </c>
      <c r="S1108" s="17" t="s">
        <v>2184</v>
      </c>
      <c r="T1108" s="150">
        <v>25489596</v>
      </c>
      <c r="U1108" s="150">
        <v>0</v>
      </c>
    </row>
    <row r="1109" spans="2:21" x14ac:dyDescent="0.3">
      <c r="B1109" s="41"/>
      <c r="C1109" s="17"/>
      <c r="D1109" s="294"/>
      <c r="E1109" s="294"/>
      <c r="G1109" s="41"/>
      <c r="H1109" s="17"/>
      <c r="I1109" s="294"/>
      <c r="J1109" s="294"/>
      <c r="L1109" s="41"/>
      <c r="M1109" s="296"/>
      <c r="N1109" s="294"/>
      <c r="O1109" s="294"/>
      <c r="Q1109" s="41"/>
      <c r="R1109" s="131" t="s">
        <v>2187</v>
      </c>
      <c r="S1109" s="17" t="s">
        <v>2186</v>
      </c>
      <c r="T1109" s="150">
        <v>33725686</v>
      </c>
      <c r="U1109" s="150">
        <v>0</v>
      </c>
    </row>
    <row r="1110" spans="2:21" x14ac:dyDescent="0.3">
      <c r="B1110" s="41"/>
      <c r="C1110" s="17"/>
      <c r="D1110" s="294"/>
      <c r="E1110" s="294"/>
      <c r="G1110" s="41"/>
      <c r="H1110" s="17"/>
      <c r="I1110" s="294"/>
      <c r="J1110" s="294"/>
      <c r="L1110" s="41"/>
      <c r="M1110" s="296"/>
      <c r="N1110" s="294"/>
      <c r="O1110" s="294"/>
      <c r="Q1110" s="41"/>
      <c r="R1110" s="131" t="s">
        <v>2187</v>
      </c>
      <c r="S1110" s="17" t="s">
        <v>2186</v>
      </c>
      <c r="T1110" s="150">
        <v>3912044</v>
      </c>
      <c r="U1110" s="150">
        <v>0</v>
      </c>
    </row>
    <row r="1111" spans="2:21" x14ac:dyDescent="0.3">
      <c r="B1111" s="41"/>
      <c r="C1111" s="17"/>
      <c r="D1111" s="294"/>
      <c r="E1111" s="294"/>
      <c r="G1111" s="41"/>
      <c r="H1111" s="17"/>
      <c r="I1111" s="294"/>
      <c r="J1111" s="294"/>
      <c r="L1111" s="41"/>
      <c r="M1111" s="296"/>
      <c r="N1111" s="294"/>
      <c r="O1111" s="294"/>
      <c r="Q1111" s="41"/>
      <c r="R1111" s="131" t="s">
        <v>2342</v>
      </c>
      <c r="S1111" s="17" t="s">
        <v>2188</v>
      </c>
      <c r="T1111" s="150">
        <v>6996969</v>
      </c>
      <c r="U1111" s="150">
        <v>0</v>
      </c>
    </row>
    <row r="1112" spans="2:21" x14ac:dyDescent="0.3">
      <c r="B1112" s="41"/>
      <c r="C1112" s="17"/>
      <c r="D1112" s="294"/>
      <c r="E1112" s="294"/>
      <c r="G1112" s="41"/>
      <c r="H1112" s="17"/>
      <c r="I1112" s="294"/>
      <c r="J1112" s="294"/>
      <c r="L1112" s="41"/>
      <c r="M1112" s="296"/>
      <c r="N1112" s="294"/>
      <c r="O1112" s="294"/>
      <c r="Q1112" s="41"/>
      <c r="R1112" s="131" t="s">
        <v>2342</v>
      </c>
      <c r="S1112" s="17" t="s">
        <v>2188</v>
      </c>
      <c r="T1112" s="150">
        <v>1749181</v>
      </c>
      <c r="U1112" s="150">
        <v>0</v>
      </c>
    </row>
    <row r="1113" spans="2:21" x14ac:dyDescent="0.3">
      <c r="B1113" s="41"/>
      <c r="C1113" s="17"/>
      <c r="D1113" s="294"/>
      <c r="E1113" s="294"/>
      <c r="G1113" s="41"/>
      <c r="H1113" s="17"/>
      <c r="I1113" s="294"/>
      <c r="J1113" s="294"/>
      <c r="L1113" s="41"/>
      <c r="M1113" s="296"/>
      <c r="N1113" s="294"/>
      <c r="O1113" s="294"/>
      <c r="Q1113" s="41"/>
      <c r="R1113" s="131" t="s">
        <v>2190</v>
      </c>
      <c r="S1113" s="17" t="s">
        <v>2189</v>
      </c>
      <c r="T1113" s="150">
        <v>12467523</v>
      </c>
      <c r="U1113" s="150">
        <v>0</v>
      </c>
    </row>
    <row r="1114" spans="2:21" x14ac:dyDescent="0.3">
      <c r="B1114" s="41"/>
      <c r="C1114" s="17"/>
      <c r="D1114" s="294"/>
      <c r="E1114" s="294"/>
      <c r="G1114" s="41"/>
      <c r="H1114" s="17"/>
      <c r="I1114" s="294"/>
      <c r="J1114" s="294"/>
      <c r="L1114" s="41"/>
      <c r="M1114" s="296"/>
      <c r="N1114" s="294"/>
      <c r="O1114" s="294"/>
      <c r="Q1114" s="41"/>
      <c r="R1114" s="131" t="s">
        <v>2192</v>
      </c>
      <c r="S1114" s="17" t="s">
        <v>2191</v>
      </c>
      <c r="T1114" s="150">
        <v>6243802</v>
      </c>
      <c r="U1114" s="150">
        <v>0</v>
      </c>
    </row>
    <row r="1115" spans="2:21" x14ac:dyDescent="0.3">
      <c r="B1115" s="41"/>
      <c r="C1115" s="17"/>
      <c r="D1115" s="294"/>
      <c r="E1115" s="294"/>
      <c r="G1115" s="41"/>
      <c r="H1115" s="17"/>
      <c r="I1115" s="294"/>
      <c r="J1115" s="294"/>
      <c r="L1115" s="41"/>
      <c r="M1115" s="296"/>
      <c r="N1115" s="294"/>
      <c r="O1115" s="294"/>
      <c r="Q1115" s="41"/>
      <c r="R1115" s="131" t="s">
        <v>1896</v>
      </c>
      <c r="S1115" s="17" t="s">
        <v>2193</v>
      </c>
      <c r="T1115" s="150">
        <v>7273239</v>
      </c>
      <c r="U1115" s="150">
        <v>0</v>
      </c>
    </row>
    <row r="1116" spans="2:21" x14ac:dyDescent="0.3">
      <c r="B1116" s="41"/>
      <c r="C1116" s="17"/>
      <c r="D1116" s="294"/>
      <c r="E1116" s="294"/>
      <c r="G1116" s="41"/>
      <c r="H1116" s="17"/>
      <c r="I1116" s="294"/>
      <c r="J1116" s="294"/>
      <c r="L1116" s="41"/>
      <c r="M1116" s="296"/>
      <c r="N1116" s="294"/>
      <c r="O1116" s="294"/>
      <c r="Q1116" s="41"/>
      <c r="R1116" s="131" t="s">
        <v>2343</v>
      </c>
      <c r="S1116" s="17" t="s">
        <v>2194</v>
      </c>
      <c r="T1116" s="150">
        <v>40477189</v>
      </c>
      <c r="U1116" s="150">
        <v>0</v>
      </c>
    </row>
    <row r="1117" spans="2:21" x14ac:dyDescent="0.3">
      <c r="B1117" s="41"/>
      <c r="C1117" s="17"/>
      <c r="D1117" s="294"/>
      <c r="E1117" s="294"/>
      <c r="G1117" s="41"/>
      <c r="H1117" s="17"/>
      <c r="I1117" s="294"/>
      <c r="J1117" s="294"/>
      <c r="L1117" s="41"/>
      <c r="M1117" s="296"/>
      <c r="N1117" s="294"/>
      <c r="O1117" s="294"/>
      <c r="Q1117" s="41"/>
      <c r="R1117" s="131" t="s">
        <v>3291</v>
      </c>
      <c r="S1117" s="17" t="s">
        <v>2171</v>
      </c>
      <c r="T1117" s="150">
        <v>14687887</v>
      </c>
      <c r="U1117" s="150">
        <v>0</v>
      </c>
    </row>
    <row r="1118" spans="2:21" x14ac:dyDescent="0.3">
      <c r="B1118" s="41"/>
      <c r="C1118" s="17"/>
      <c r="D1118" s="294"/>
      <c r="E1118" s="294"/>
      <c r="G1118" s="41"/>
      <c r="H1118" s="17"/>
      <c r="I1118" s="294"/>
      <c r="J1118" s="294"/>
      <c r="L1118" s="41"/>
      <c r="M1118" s="296"/>
      <c r="N1118" s="294"/>
      <c r="O1118" s="294"/>
      <c r="Q1118" s="41"/>
      <c r="R1118" s="131" t="s">
        <v>1898</v>
      </c>
      <c r="S1118" s="17" t="s">
        <v>2218</v>
      </c>
      <c r="T1118" s="150">
        <v>16049791</v>
      </c>
      <c r="U1118" s="150">
        <v>0</v>
      </c>
    </row>
    <row r="1119" spans="2:21" x14ac:dyDescent="0.3">
      <c r="B1119" s="41"/>
      <c r="C1119" s="17"/>
      <c r="D1119" s="294"/>
      <c r="E1119" s="294"/>
      <c r="G1119" s="41"/>
      <c r="H1119" s="17"/>
      <c r="I1119" s="294"/>
      <c r="J1119" s="294"/>
      <c r="L1119" s="41"/>
      <c r="M1119" s="296"/>
      <c r="N1119" s="294"/>
      <c r="O1119" s="294"/>
      <c r="Q1119" s="41"/>
      <c r="R1119" s="131" t="s">
        <v>2219</v>
      </c>
      <c r="S1119" s="17" t="s">
        <v>2220</v>
      </c>
      <c r="T1119" s="150">
        <v>6127549</v>
      </c>
      <c r="U1119" s="150">
        <v>0</v>
      </c>
    </row>
    <row r="1120" spans="2:21" x14ac:dyDescent="0.3">
      <c r="B1120" s="41"/>
      <c r="C1120" s="17"/>
      <c r="D1120" s="294"/>
      <c r="E1120" s="294"/>
      <c r="G1120" s="41"/>
      <c r="H1120" s="17"/>
      <c r="I1120" s="294"/>
      <c r="J1120" s="294"/>
      <c r="L1120" s="41"/>
      <c r="M1120" s="296"/>
      <c r="N1120" s="294"/>
      <c r="O1120" s="294"/>
      <c r="Q1120" s="41"/>
      <c r="R1120" s="131" t="s">
        <v>2221</v>
      </c>
      <c r="S1120" s="17" t="s">
        <v>2222</v>
      </c>
      <c r="T1120" s="150">
        <v>8322647</v>
      </c>
      <c r="U1120" s="150">
        <v>0</v>
      </c>
    </row>
    <row r="1121" spans="2:21" x14ac:dyDescent="0.3">
      <c r="B1121" s="41"/>
      <c r="C1121" s="17"/>
      <c r="D1121" s="294"/>
      <c r="E1121" s="294"/>
      <c r="G1121" s="41"/>
      <c r="H1121" s="17"/>
      <c r="I1121" s="294"/>
      <c r="J1121" s="294"/>
      <c r="L1121" s="41"/>
      <c r="M1121" s="296"/>
      <c r="N1121" s="294"/>
      <c r="O1121" s="294"/>
      <c r="Q1121" s="41"/>
      <c r="R1121" s="131" t="s">
        <v>2223</v>
      </c>
      <c r="S1121" s="17" t="s">
        <v>2224</v>
      </c>
      <c r="T1121" s="150">
        <v>15305927</v>
      </c>
      <c r="U1121" s="150">
        <v>0</v>
      </c>
    </row>
    <row r="1122" spans="2:21" x14ac:dyDescent="0.3">
      <c r="B1122" s="41"/>
      <c r="C1122" s="17"/>
      <c r="D1122" s="294"/>
      <c r="E1122" s="294"/>
      <c r="G1122" s="41"/>
      <c r="H1122" s="17"/>
      <c r="I1122" s="294"/>
      <c r="J1122" s="294"/>
      <c r="L1122" s="41"/>
      <c r="M1122" s="296"/>
      <c r="N1122" s="294"/>
      <c r="O1122" s="294"/>
      <c r="Q1122" s="41"/>
      <c r="R1122" s="131" t="s">
        <v>2226</v>
      </c>
      <c r="S1122" s="17" t="s">
        <v>2227</v>
      </c>
      <c r="T1122" s="150">
        <v>5624961</v>
      </c>
      <c r="U1122" s="150">
        <v>0</v>
      </c>
    </row>
    <row r="1123" spans="2:21" x14ac:dyDescent="0.3">
      <c r="B1123" s="41"/>
      <c r="C1123" s="17"/>
      <c r="D1123" s="294"/>
      <c r="E1123" s="294"/>
      <c r="G1123" s="41"/>
      <c r="H1123" s="17"/>
      <c r="I1123" s="294"/>
      <c r="J1123" s="294"/>
      <c r="L1123" s="41"/>
      <c r="M1123" s="296"/>
      <c r="N1123" s="294"/>
      <c r="O1123" s="294"/>
      <c r="Q1123" s="41"/>
      <c r="R1123" s="131" t="s">
        <v>2228</v>
      </c>
      <c r="S1123" s="17" t="s">
        <v>1990</v>
      </c>
      <c r="T1123" s="150">
        <v>819016</v>
      </c>
      <c r="U1123" s="150">
        <v>0</v>
      </c>
    </row>
    <row r="1124" spans="2:21" x14ac:dyDescent="0.3">
      <c r="B1124" s="41"/>
      <c r="C1124" s="17"/>
      <c r="D1124" s="294"/>
      <c r="E1124" s="294"/>
      <c r="G1124" s="41"/>
      <c r="H1124" s="17"/>
      <c r="I1124" s="294"/>
      <c r="J1124" s="294"/>
      <c r="L1124" s="41"/>
      <c r="M1124" s="296"/>
      <c r="N1124" s="294"/>
      <c r="O1124" s="294"/>
      <c r="Q1124" s="41"/>
      <c r="R1124" s="131" t="s">
        <v>2228</v>
      </c>
      <c r="S1124" s="17" t="s">
        <v>1990</v>
      </c>
      <c r="T1124" s="150">
        <v>4283865</v>
      </c>
      <c r="U1124" s="150">
        <v>0</v>
      </c>
    </row>
    <row r="1125" spans="2:21" x14ac:dyDescent="0.3">
      <c r="B1125" s="41"/>
      <c r="C1125" s="17"/>
      <c r="D1125" s="294"/>
      <c r="E1125" s="294"/>
      <c r="G1125" s="41"/>
      <c r="H1125" s="17"/>
      <c r="I1125" s="294"/>
      <c r="J1125" s="294"/>
      <c r="L1125" s="41"/>
      <c r="M1125" s="296"/>
      <c r="N1125" s="294"/>
      <c r="O1125" s="294"/>
      <c r="Q1125" s="41"/>
      <c r="R1125" s="131" t="s">
        <v>2229</v>
      </c>
      <c r="S1125" s="17" t="s">
        <v>1987</v>
      </c>
      <c r="T1125" s="150">
        <v>1557184</v>
      </c>
      <c r="U1125" s="150">
        <v>0</v>
      </c>
    </row>
    <row r="1126" spans="2:21" x14ac:dyDescent="0.3">
      <c r="B1126" s="41"/>
      <c r="C1126" s="17"/>
      <c r="D1126" s="294"/>
      <c r="E1126" s="294"/>
      <c r="G1126" s="41"/>
      <c r="H1126" s="17"/>
      <c r="I1126" s="294"/>
      <c r="J1126" s="294"/>
      <c r="L1126" s="41"/>
      <c r="M1126" s="296"/>
      <c r="N1126" s="294"/>
      <c r="O1126" s="294"/>
      <c r="Q1126" s="41"/>
      <c r="R1126" s="131" t="s">
        <v>2230</v>
      </c>
      <c r="S1126" s="17" t="s">
        <v>2231</v>
      </c>
      <c r="T1126" s="150">
        <v>3803483</v>
      </c>
      <c r="U1126" s="150">
        <v>0</v>
      </c>
    </row>
    <row r="1127" spans="2:21" x14ac:dyDescent="0.3">
      <c r="B1127" s="41"/>
      <c r="C1127" s="17"/>
      <c r="D1127" s="294"/>
      <c r="E1127" s="294"/>
      <c r="G1127" s="41"/>
      <c r="H1127" s="17"/>
      <c r="I1127" s="294"/>
      <c r="J1127" s="294"/>
      <c r="L1127" s="41"/>
      <c r="M1127" s="296"/>
      <c r="N1127" s="294"/>
      <c r="O1127" s="294"/>
      <c r="Q1127" s="41"/>
      <c r="R1127" s="131" t="s">
        <v>2232</v>
      </c>
      <c r="S1127" s="17" t="s">
        <v>1988</v>
      </c>
      <c r="T1127" s="150">
        <v>3753491</v>
      </c>
      <c r="U1127" s="150">
        <v>0</v>
      </c>
    </row>
    <row r="1128" spans="2:21" x14ac:dyDescent="0.3">
      <c r="B1128" s="41"/>
      <c r="C1128" s="17"/>
      <c r="D1128" s="294"/>
      <c r="E1128" s="294"/>
      <c r="G1128" s="41"/>
      <c r="H1128" s="17"/>
      <c r="I1128" s="294"/>
      <c r="J1128" s="294"/>
      <c r="L1128" s="41"/>
      <c r="M1128" s="296"/>
      <c r="N1128" s="294"/>
      <c r="O1128" s="294"/>
      <c r="Q1128" s="41"/>
      <c r="R1128" s="131" t="s">
        <v>2233</v>
      </c>
      <c r="S1128" s="17" t="s">
        <v>1989</v>
      </c>
      <c r="T1128" s="150">
        <v>1035500</v>
      </c>
      <c r="U1128" s="150">
        <v>0</v>
      </c>
    </row>
    <row r="1129" spans="2:21" x14ac:dyDescent="0.3">
      <c r="B1129" s="41"/>
      <c r="C1129" s="17"/>
      <c r="D1129" s="294"/>
      <c r="E1129" s="294"/>
      <c r="G1129" s="41"/>
      <c r="H1129" s="17"/>
      <c r="I1129" s="294"/>
      <c r="J1129" s="294"/>
      <c r="L1129" s="41"/>
      <c r="M1129" s="296"/>
      <c r="N1129" s="294"/>
      <c r="O1129" s="294"/>
      <c r="Q1129" s="41"/>
      <c r="R1129" s="131" t="s">
        <v>2234</v>
      </c>
      <c r="S1129" s="17" t="s">
        <v>2235</v>
      </c>
      <c r="T1129" s="150">
        <v>906901</v>
      </c>
      <c r="U1129" s="150">
        <v>0</v>
      </c>
    </row>
    <row r="1130" spans="2:21" x14ac:dyDescent="0.3">
      <c r="B1130" s="41"/>
      <c r="C1130" s="17"/>
      <c r="D1130" s="294"/>
      <c r="E1130" s="294"/>
      <c r="G1130" s="41"/>
      <c r="H1130" s="17"/>
      <c r="I1130" s="294"/>
      <c r="J1130" s="294"/>
      <c r="L1130" s="41"/>
      <c r="M1130" s="296"/>
      <c r="N1130" s="294"/>
      <c r="O1130" s="294"/>
      <c r="Q1130" s="41"/>
      <c r="R1130" s="131" t="s">
        <v>2236</v>
      </c>
      <c r="S1130" s="17" t="s">
        <v>38</v>
      </c>
      <c r="T1130" s="150">
        <v>6470176</v>
      </c>
      <c r="U1130" s="150">
        <v>0</v>
      </c>
    </row>
    <row r="1131" spans="2:21" x14ac:dyDescent="0.3">
      <c r="B1131" s="41"/>
      <c r="C1131" s="17"/>
      <c r="D1131" s="294"/>
      <c r="E1131" s="294"/>
      <c r="G1131" s="41"/>
      <c r="H1131" s="17"/>
      <c r="I1131" s="294"/>
      <c r="J1131" s="294"/>
      <c r="L1131" s="41"/>
      <c r="M1131" s="296"/>
      <c r="N1131" s="294"/>
      <c r="O1131" s="294"/>
      <c r="Q1131" s="203">
        <v>40020007</v>
      </c>
      <c r="R1131" s="204"/>
      <c r="S1131" s="205" t="s">
        <v>1039</v>
      </c>
      <c r="T1131" s="206">
        <v>0</v>
      </c>
      <c r="U1131" s="206">
        <v>0</v>
      </c>
    </row>
    <row r="1132" spans="2:21" x14ac:dyDescent="0.3">
      <c r="B1132" s="41"/>
      <c r="C1132" s="17"/>
      <c r="D1132" s="294"/>
      <c r="E1132" s="294"/>
      <c r="G1132" s="41"/>
      <c r="H1132" s="17"/>
      <c r="I1132" s="294"/>
      <c r="J1132" s="294"/>
      <c r="L1132" s="41"/>
      <c r="M1132" s="296"/>
      <c r="N1132" s="294"/>
      <c r="O1132" s="294"/>
      <c r="Q1132" s="203">
        <v>40020008</v>
      </c>
      <c r="R1132" s="204"/>
      <c r="S1132" s="205" t="s">
        <v>1040</v>
      </c>
      <c r="T1132" s="206">
        <f>SUM(T1133:T1155)-SUM(U1133:U1155)</f>
        <v>86940097</v>
      </c>
      <c r="U1132" s="206">
        <v>0</v>
      </c>
    </row>
    <row r="1133" spans="2:21" x14ac:dyDescent="0.3">
      <c r="B1133" s="41"/>
      <c r="C1133" s="17"/>
      <c r="D1133" s="294"/>
      <c r="E1133" s="294"/>
      <c r="G1133" s="41"/>
      <c r="H1133" s="17"/>
      <c r="I1133" s="294"/>
      <c r="J1133" s="294"/>
      <c r="L1133" s="41"/>
      <c r="M1133" s="296"/>
      <c r="N1133" s="294"/>
      <c r="O1133" s="294"/>
      <c r="Q1133" s="41"/>
      <c r="R1133" s="131" t="s">
        <v>1931</v>
      </c>
      <c r="S1133" s="17" t="s">
        <v>1932</v>
      </c>
      <c r="T1133" s="150">
        <v>64741</v>
      </c>
      <c r="U1133" s="150">
        <v>0</v>
      </c>
    </row>
    <row r="1134" spans="2:21" x14ac:dyDescent="0.3">
      <c r="B1134" s="41"/>
      <c r="C1134" s="17"/>
      <c r="D1134" s="294"/>
      <c r="E1134" s="294"/>
      <c r="G1134" s="41"/>
      <c r="H1134" s="17"/>
      <c r="I1134" s="294"/>
      <c r="J1134" s="294"/>
      <c r="L1134" s="41"/>
      <c r="M1134" s="296"/>
      <c r="N1134" s="294"/>
      <c r="O1134" s="294"/>
      <c r="Q1134" s="41"/>
      <c r="R1134" s="131" t="s">
        <v>1934</v>
      </c>
      <c r="S1134" s="17" t="s">
        <v>2196</v>
      </c>
      <c r="T1134" s="150">
        <v>108837</v>
      </c>
      <c r="U1134" s="150">
        <v>0</v>
      </c>
    </row>
    <row r="1135" spans="2:21" x14ac:dyDescent="0.3">
      <c r="B1135" s="41"/>
      <c r="C1135" s="17"/>
      <c r="D1135" s="294"/>
      <c r="E1135" s="294"/>
      <c r="G1135" s="41"/>
      <c r="H1135" s="17"/>
      <c r="I1135" s="294"/>
      <c r="J1135" s="294"/>
      <c r="L1135" s="41"/>
      <c r="M1135" s="296"/>
      <c r="N1135" s="294"/>
      <c r="O1135" s="294"/>
      <c r="Q1135" s="41"/>
      <c r="R1135" s="131" t="s">
        <v>2340</v>
      </c>
      <c r="S1135" s="17" t="s">
        <v>2159</v>
      </c>
      <c r="T1135" s="150">
        <v>9673323</v>
      </c>
      <c r="U1135" s="150">
        <v>0</v>
      </c>
    </row>
    <row r="1136" spans="2:21" x14ac:dyDescent="0.3">
      <c r="B1136" s="41"/>
      <c r="C1136" s="17"/>
      <c r="D1136" s="294"/>
      <c r="E1136" s="294"/>
      <c r="G1136" s="41"/>
      <c r="H1136" s="17"/>
      <c r="I1136" s="294"/>
      <c r="J1136" s="294"/>
      <c r="L1136" s="41"/>
      <c r="M1136" s="296"/>
      <c r="N1136" s="294"/>
      <c r="O1136" s="294"/>
      <c r="Q1136" s="41"/>
      <c r="R1136" s="131" t="s">
        <v>2160</v>
      </c>
      <c r="S1136" s="17" t="s">
        <v>2161</v>
      </c>
      <c r="T1136" s="150">
        <v>2401070</v>
      </c>
      <c r="U1136" s="150">
        <v>0</v>
      </c>
    </row>
    <row r="1137" spans="2:21" x14ac:dyDescent="0.3">
      <c r="B1137" s="41"/>
      <c r="C1137" s="17"/>
      <c r="D1137" s="294"/>
      <c r="E1137" s="294"/>
      <c r="G1137" s="41"/>
      <c r="H1137" s="17"/>
      <c r="I1137" s="294"/>
      <c r="J1137" s="294"/>
      <c r="L1137" s="41"/>
      <c r="M1137" s="296"/>
      <c r="N1137" s="294"/>
      <c r="O1137" s="294"/>
      <c r="Q1137" s="41"/>
      <c r="R1137" s="131" t="s">
        <v>2162</v>
      </c>
      <c r="S1137" s="17" t="s">
        <v>2163</v>
      </c>
      <c r="T1137" s="150">
        <v>2462106</v>
      </c>
      <c r="U1137" s="150">
        <v>0</v>
      </c>
    </row>
    <row r="1138" spans="2:21" x14ac:dyDescent="0.3">
      <c r="B1138" s="41"/>
      <c r="C1138" s="17"/>
      <c r="D1138" s="294"/>
      <c r="E1138" s="294"/>
      <c r="G1138" s="41"/>
      <c r="H1138" s="17"/>
      <c r="I1138" s="294"/>
      <c r="J1138" s="294"/>
      <c r="L1138" s="41"/>
      <c r="M1138" s="296"/>
      <c r="N1138" s="294"/>
      <c r="O1138" s="294"/>
      <c r="Q1138" s="41"/>
      <c r="R1138" s="131" t="s">
        <v>2165</v>
      </c>
      <c r="S1138" s="17" t="s">
        <v>2166</v>
      </c>
      <c r="T1138" s="150">
        <v>3365600</v>
      </c>
      <c r="U1138" s="150">
        <v>0</v>
      </c>
    </row>
    <row r="1139" spans="2:21" x14ac:dyDescent="0.3">
      <c r="B1139" s="41"/>
      <c r="C1139" s="17"/>
      <c r="D1139" s="294"/>
      <c r="E1139" s="294"/>
      <c r="G1139" s="41"/>
      <c r="H1139" s="17"/>
      <c r="I1139" s="294"/>
      <c r="J1139" s="294"/>
      <c r="L1139" s="41"/>
      <c r="M1139" s="296"/>
      <c r="N1139" s="294"/>
      <c r="O1139" s="294"/>
      <c r="Q1139" s="41"/>
      <c r="R1139" s="131" t="s">
        <v>2168</v>
      </c>
      <c r="S1139" s="17" t="s">
        <v>2169</v>
      </c>
      <c r="T1139" s="150">
        <v>490634</v>
      </c>
      <c r="U1139" s="150">
        <v>0</v>
      </c>
    </row>
    <row r="1140" spans="2:21" x14ac:dyDescent="0.3">
      <c r="B1140" s="41"/>
      <c r="C1140" s="17"/>
      <c r="D1140" s="294"/>
      <c r="E1140" s="294"/>
      <c r="G1140" s="41"/>
      <c r="H1140" s="17"/>
      <c r="I1140" s="294"/>
      <c r="J1140" s="294"/>
      <c r="L1140" s="41"/>
      <c r="M1140" s="296"/>
      <c r="N1140" s="294"/>
      <c r="O1140" s="294"/>
      <c r="Q1140" s="41"/>
      <c r="R1140" s="131" t="s">
        <v>2168</v>
      </c>
      <c r="S1140" s="17" t="s">
        <v>2169</v>
      </c>
      <c r="T1140" s="150">
        <v>1786976</v>
      </c>
      <c r="U1140" s="150">
        <v>0</v>
      </c>
    </row>
    <row r="1141" spans="2:21" x14ac:dyDescent="0.3">
      <c r="B1141" s="41"/>
      <c r="C1141" s="17"/>
      <c r="D1141" s="294"/>
      <c r="E1141" s="294"/>
      <c r="G1141" s="41"/>
      <c r="H1141" s="17"/>
      <c r="I1141" s="294"/>
      <c r="J1141" s="294"/>
      <c r="L1141" s="41"/>
      <c r="M1141" s="296"/>
      <c r="N1141" s="294"/>
      <c r="O1141" s="294"/>
      <c r="Q1141" s="41"/>
      <c r="R1141" s="131" t="s">
        <v>3313</v>
      </c>
      <c r="S1141" s="17" t="s">
        <v>2211</v>
      </c>
      <c r="T1141" s="150">
        <v>26435</v>
      </c>
      <c r="U1141" s="150">
        <v>0</v>
      </c>
    </row>
    <row r="1142" spans="2:21" x14ac:dyDescent="0.3">
      <c r="B1142" s="41"/>
      <c r="C1142" s="17"/>
      <c r="D1142" s="294"/>
      <c r="E1142" s="294"/>
      <c r="G1142" s="41"/>
      <c r="H1142" s="17"/>
      <c r="I1142" s="294"/>
      <c r="J1142" s="294"/>
      <c r="L1142" s="41"/>
      <c r="M1142" s="296"/>
      <c r="N1142" s="294"/>
      <c r="O1142" s="294"/>
      <c r="Q1142" s="41"/>
      <c r="R1142" s="131" t="s">
        <v>1985</v>
      </c>
      <c r="S1142" s="17" t="s">
        <v>2197</v>
      </c>
      <c r="T1142" s="150">
        <v>326288</v>
      </c>
      <c r="U1142" s="150">
        <v>0</v>
      </c>
    </row>
    <row r="1143" spans="2:21" x14ac:dyDescent="0.3">
      <c r="B1143" s="41"/>
      <c r="C1143" s="17"/>
      <c r="D1143" s="294"/>
      <c r="E1143" s="294"/>
      <c r="G1143" s="41"/>
      <c r="H1143" s="17"/>
      <c r="I1143" s="294"/>
      <c r="J1143" s="294"/>
      <c r="L1143" s="41"/>
      <c r="M1143" s="296"/>
      <c r="N1143" s="294"/>
      <c r="O1143" s="294"/>
      <c r="Q1143" s="41"/>
      <c r="R1143" s="131" t="s">
        <v>1895</v>
      </c>
      <c r="S1143" s="17" t="s">
        <v>2174</v>
      </c>
      <c r="T1143" s="150">
        <v>4368075</v>
      </c>
      <c r="U1143" s="150">
        <v>0</v>
      </c>
    </row>
    <row r="1144" spans="2:21" x14ac:dyDescent="0.3">
      <c r="B1144" s="41"/>
      <c r="C1144" s="17"/>
      <c r="D1144" s="294"/>
      <c r="E1144" s="294"/>
      <c r="G1144" s="41"/>
      <c r="H1144" s="17"/>
      <c r="I1144" s="294"/>
      <c r="J1144" s="294"/>
      <c r="L1144" s="41"/>
      <c r="M1144" s="296"/>
      <c r="N1144" s="294"/>
      <c r="O1144" s="294"/>
      <c r="Q1144" s="41"/>
      <c r="R1144" s="131" t="s">
        <v>2177</v>
      </c>
      <c r="S1144" s="17" t="s">
        <v>2341</v>
      </c>
      <c r="T1144" s="150">
        <v>8993289</v>
      </c>
      <c r="U1144" s="150">
        <v>0</v>
      </c>
    </row>
    <row r="1145" spans="2:21" x14ac:dyDescent="0.3">
      <c r="B1145" s="41"/>
      <c r="C1145" s="17"/>
      <c r="D1145" s="294"/>
      <c r="E1145" s="294"/>
      <c r="G1145" s="41"/>
      <c r="H1145" s="17"/>
      <c r="I1145" s="294"/>
      <c r="J1145" s="294"/>
      <c r="L1145" s="41"/>
      <c r="M1145" s="296"/>
      <c r="N1145" s="294"/>
      <c r="O1145" s="294"/>
      <c r="Q1145" s="41"/>
      <c r="R1145" s="131" t="s">
        <v>2183</v>
      </c>
      <c r="S1145" s="17" t="s">
        <v>2182</v>
      </c>
      <c r="T1145" s="150">
        <v>5572627</v>
      </c>
      <c r="U1145" s="150">
        <v>0</v>
      </c>
    </row>
    <row r="1146" spans="2:21" x14ac:dyDescent="0.3">
      <c r="B1146" s="41"/>
      <c r="C1146" s="17"/>
      <c r="D1146" s="294"/>
      <c r="E1146" s="294"/>
      <c r="G1146" s="41"/>
      <c r="H1146" s="17"/>
      <c r="I1146" s="294"/>
      <c r="J1146" s="294"/>
      <c r="L1146" s="41"/>
      <c r="M1146" s="296"/>
      <c r="N1146" s="294"/>
      <c r="O1146" s="294"/>
      <c r="Q1146" s="41"/>
      <c r="R1146" s="131" t="s">
        <v>2185</v>
      </c>
      <c r="S1146" s="17" t="s">
        <v>2184</v>
      </c>
      <c r="T1146" s="150">
        <v>6036723</v>
      </c>
      <c r="U1146" s="150">
        <v>0</v>
      </c>
    </row>
    <row r="1147" spans="2:21" x14ac:dyDescent="0.3">
      <c r="B1147" s="41"/>
      <c r="C1147" s="17"/>
      <c r="D1147" s="294"/>
      <c r="E1147" s="294"/>
      <c r="G1147" s="41"/>
      <c r="H1147" s="17"/>
      <c r="I1147" s="294"/>
      <c r="J1147" s="294"/>
      <c r="L1147" s="41"/>
      <c r="M1147" s="296"/>
      <c r="N1147" s="294"/>
      <c r="O1147" s="294"/>
      <c r="Q1147" s="41"/>
      <c r="R1147" s="131" t="s">
        <v>2187</v>
      </c>
      <c r="S1147" s="17" t="s">
        <v>2186</v>
      </c>
      <c r="T1147" s="150">
        <v>7379880</v>
      </c>
      <c r="U1147" s="150">
        <v>0</v>
      </c>
    </row>
    <row r="1148" spans="2:21" x14ac:dyDescent="0.3">
      <c r="B1148" s="41"/>
      <c r="C1148" s="17"/>
      <c r="D1148" s="294"/>
      <c r="E1148" s="294"/>
      <c r="G1148" s="41"/>
      <c r="H1148" s="17"/>
      <c r="I1148" s="294"/>
      <c r="J1148" s="294"/>
      <c r="L1148" s="41"/>
      <c r="M1148" s="296"/>
      <c r="N1148" s="294"/>
      <c r="O1148" s="294"/>
      <c r="Q1148" s="41"/>
      <c r="R1148" s="131" t="s">
        <v>2187</v>
      </c>
      <c r="S1148" s="17" t="s">
        <v>2186</v>
      </c>
      <c r="T1148" s="150">
        <v>812606</v>
      </c>
      <c r="U1148" s="150">
        <v>0</v>
      </c>
    </row>
    <row r="1149" spans="2:21" x14ac:dyDescent="0.3">
      <c r="B1149" s="41"/>
      <c r="C1149" s="17"/>
      <c r="D1149" s="294"/>
      <c r="E1149" s="294"/>
      <c r="G1149" s="41"/>
      <c r="H1149" s="17"/>
      <c r="I1149" s="294"/>
      <c r="J1149" s="294"/>
      <c r="L1149" s="41"/>
      <c r="M1149" s="296"/>
      <c r="N1149" s="294"/>
      <c r="O1149" s="294"/>
      <c r="Q1149" s="41"/>
      <c r="R1149" s="131" t="s">
        <v>2342</v>
      </c>
      <c r="S1149" s="17" t="s">
        <v>2188</v>
      </c>
      <c r="T1149" s="150">
        <v>1872616</v>
      </c>
      <c r="U1149" s="150">
        <v>0</v>
      </c>
    </row>
    <row r="1150" spans="2:21" x14ac:dyDescent="0.3">
      <c r="B1150" s="41"/>
      <c r="C1150" s="17"/>
      <c r="D1150" s="294"/>
      <c r="E1150" s="294"/>
      <c r="G1150" s="41"/>
      <c r="H1150" s="17"/>
      <c r="I1150" s="294"/>
      <c r="J1150" s="294"/>
      <c r="L1150" s="41"/>
      <c r="M1150" s="296"/>
      <c r="N1150" s="294"/>
      <c r="O1150" s="294"/>
      <c r="Q1150" s="41"/>
      <c r="R1150" s="131" t="s">
        <v>2342</v>
      </c>
      <c r="S1150" s="17" t="s">
        <v>2188</v>
      </c>
      <c r="T1150" s="150">
        <v>540505</v>
      </c>
      <c r="U1150" s="150">
        <v>0</v>
      </c>
    </row>
    <row r="1151" spans="2:21" x14ac:dyDescent="0.3">
      <c r="B1151" s="41"/>
      <c r="C1151" s="17"/>
      <c r="D1151" s="294"/>
      <c r="E1151" s="294"/>
      <c r="G1151" s="41"/>
      <c r="H1151" s="17"/>
      <c r="I1151" s="294"/>
      <c r="J1151" s="294"/>
      <c r="L1151" s="41"/>
      <c r="M1151" s="296"/>
      <c r="N1151" s="294"/>
      <c r="O1151" s="294"/>
      <c r="Q1151" s="41"/>
      <c r="R1151" s="131" t="s">
        <v>2190</v>
      </c>
      <c r="S1151" s="17" t="s">
        <v>2189</v>
      </c>
      <c r="T1151" s="150">
        <v>3675607</v>
      </c>
      <c r="U1151" s="150">
        <v>0</v>
      </c>
    </row>
    <row r="1152" spans="2:21" x14ac:dyDescent="0.3">
      <c r="B1152" s="41"/>
      <c r="C1152" s="17"/>
      <c r="D1152" s="294"/>
      <c r="E1152" s="294"/>
      <c r="G1152" s="41"/>
      <c r="H1152" s="17"/>
      <c r="I1152" s="294"/>
      <c r="J1152" s="294"/>
      <c r="L1152" s="41"/>
      <c r="M1152" s="296"/>
      <c r="N1152" s="294"/>
      <c r="O1152" s="294"/>
      <c r="Q1152" s="41"/>
      <c r="R1152" s="131" t="s">
        <v>2192</v>
      </c>
      <c r="S1152" s="17" t="s">
        <v>2191</v>
      </c>
      <c r="T1152" s="150">
        <v>2069926</v>
      </c>
      <c r="U1152" s="150">
        <v>0</v>
      </c>
    </row>
    <row r="1153" spans="2:21" x14ac:dyDescent="0.3">
      <c r="B1153" s="41"/>
      <c r="C1153" s="17"/>
      <c r="D1153" s="294"/>
      <c r="E1153" s="294"/>
      <c r="G1153" s="41"/>
      <c r="H1153" s="17"/>
      <c r="I1153" s="294"/>
      <c r="J1153" s="294"/>
      <c r="L1153" s="41"/>
      <c r="M1153" s="296"/>
      <c r="N1153" s="294"/>
      <c r="O1153" s="294"/>
      <c r="Q1153" s="41"/>
      <c r="R1153" s="131" t="s">
        <v>1896</v>
      </c>
      <c r="S1153" s="17" t="s">
        <v>2193</v>
      </c>
      <c r="T1153" s="150">
        <v>2191952</v>
      </c>
      <c r="U1153" s="150">
        <v>0</v>
      </c>
    </row>
    <row r="1154" spans="2:21" x14ac:dyDescent="0.3">
      <c r="B1154" s="41"/>
      <c r="C1154" s="17"/>
      <c r="D1154" s="294"/>
      <c r="E1154" s="294"/>
      <c r="G1154" s="41"/>
      <c r="H1154" s="17"/>
      <c r="I1154" s="294"/>
      <c r="J1154" s="294"/>
      <c r="L1154" s="41"/>
      <c r="M1154" s="296"/>
      <c r="N1154" s="294"/>
      <c r="O1154" s="294"/>
      <c r="Q1154" s="41"/>
      <c r="R1154" s="131" t="s">
        <v>2343</v>
      </c>
      <c r="S1154" s="17" t="s">
        <v>2194</v>
      </c>
      <c r="T1154" s="150">
        <v>19494426</v>
      </c>
      <c r="U1154" s="150">
        <v>0</v>
      </c>
    </row>
    <row r="1155" spans="2:21" x14ac:dyDescent="0.3">
      <c r="B1155" s="41"/>
      <c r="C1155" s="17"/>
      <c r="D1155" s="294"/>
      <c r="E1155" s="294"/>
      <c r="G1155" s="41"/>
      <c r="H1155" s="17"/>
      <c r="I1155" s="294"/>
      <c r="J1155" s="294"/>
      <c r="L1155" s="41"/>
      <c r="M1155" s="296"/>
      <c r="N1155" s="294"/>
      <c r="O1155" s="294"/>
      <c r="Q1155" s="41"/>
      <c r="R1155" s="131" t="s">
        <v>3291</v>
      </c>
      <c r="S1155" s="17" t="s">
        <v>2171</v>
      </c>
      <c r="T1155" s="150">
        <v>3225855</v>
      </c>
      <c r="U1155" s="150">
        <v>0</v>
      </c>
    </row>
    <row r="1156" spans="2:21" x14ac:dyDescent="0.3">
      <c r="B1156" s="41"/>
      <c r="C1156" s="17"/>
      <c r="D1156" s="294"/>
      <c r="E1156" s="294"/>
      <c r="G1156" s="41"/>
      <c r="H1156" s="17"/>
      <c r="I1156" s="294"/>
      <c r="J1156" s="294"/>
      <c r="L1156" s="41"/>
      <c r="M1156" s="296"/>
      <c r="N1156" s="294"/>
      <c r="O1156" s="294"/>
      <c r="Q1156" s="203">
        <v>40020009</v>
      </c>
      <c r="R1156" s="204"/>
      <c r="S1156" s="205" t="s">
        <v>1041</v>
      </c>
      <c r="T1156" s="206">
        <f>SUM(T1157:T1199)-SUM(U1157:U1199)</f>
        <v>260318998</v>
      </c>
      <c r="U1156" s="206">
        <v>0</v>
      </c>
    </row>
    <row r="1157" spans="2:21" x14ac:dyDescent="0.3">
      <c r="B1157" s="41"/>
      <c r="C1157" s="17"/>
      <c r="D1157" s="294"/>
      <c r="E1157" s="294"/>
      <c r="G1157" s="41"/>
      <c r="H1157" s="17"/>
      <c r="I1157" s="294"/>
      <c r="J1157" s="294"/>
      <c r="L1157" s="41"/>
      <c r="M1157" s="296"/>
      <c r="N1157" s="294"/>
      <c r="O1157" s="294"/>
      <c r="Q1157" s="203"/>
      <c r="R1157" s="131" t="s">
        <v>1931</v>
      </c>
      <c r="S1157" s="17" t="s">
        <v>1932</v>
      </c>
      <c r="T1157" s="210">
        <v>3652341</v>
      </c>
      <c r="U1157" s="210">
        <v>0</v>
      </c>
    </row>
    <row r="1158" spans="2:21" x14ac:dyDescent="0.3">
      <c r="B1158" s="41"/>
      <c r="C1158" s="17"/>
      <c r="D1158" s="294"/>
      <c r="E1158" s="294"/>
      <c r="G1158" s="41"/>
      <c r="H1158" s="17"/>
      <c r="I1158" s="294"/>
      <c r="J1158" s="294"/>
      <c r="L1158" s="41"/>
      <c r="M1158" s="296"/>
      <c r="N1158" s="294"/>
      <c r="O1158" s="294"/>
      <c r="Q1158" s="203"/>
      <c r="R1158" s="131" t="s">
        <v>1934</v>
      </c>
      <c r="S1158" s="17" t="s">
        <v>2196</v>
      </c>
      <c r="T1158" s="210">
        <v>437518</v>
      </c>
      <c r="U1158" s="210">
        <v>0</v>
      </c>
    </row>
    <row r="1159" spans="2:21" x14ac:dyDescent="0.3">
      <c r="B1159" s="41"/>
      <c r="C1159" s="17"/>
      <c r="D1159" s="294"/>
      <c r="E1159" s="294"/>
      <c r="G1159" s="41"/>
      <c r="H1159" s="17"/>
      <c r="I1159" s="294"/>
      <c r="J1159" s="294"/>
      <c r="L1159" s="41"/>
      <c r="M1159" s="296"/>
      <c r="N1159" s="294"/>
      <c r="O1159" s="294"/>
      <c r="Q1159" s="203"/>
      <c r="R1159" s="131" t="s">
        <v>2199</v>
      </c>
      <c r="S1159" s="17" t="s">
        <v>2200</v>
      </c>
      <c r="T1159" s="210">
        <v>12212007</v>
      </c>
      <c r="U1159" s="210">
        <v>0</v>
      </c>
    </row>
    <row r="1160" spans="2:21" x14ac:dyDescent="0.3">
      <c r="B1160" s="41"/>
      <c r="C1160" s="17"/>
      <c r="D1160" s="294"/>
      <c r="E1160" s="294"/>
      <c r="G1160" s="41"/>
      <c r="H1160" s="17"/>
      <c r="I1160" s="294"/>
      <c r="J1160" s="294"/>
      <c r="L1160" s="41"/>
      <c r="M1160" s="296"/>
      <c r="N1160" s="294"/>
      <c r="O1160" s="294"/>
      <c r="Q1160" s="203"/>
      <c r="R1160" s="131" t="s">
        <v>2201</v>
      </c>
      <c r="S1160" s="17" t="s">
        <v>2202</v>
      </c>
      <c r="T1160" s="210">
        <v>5339846</v>
      </c>
      <c r="U1160" s="210">
        <v>0</v>
      </c>
    </row>
    <row r="1161" spans="2:21" x14ac:dyDescent="0.3">
      <c r="B1161" s="41"/>
      <c r="C1161" s="17"/>
      <c r="D1161" s="294"/>
      <c r="E1161" s="294"/>
      <c r="G1161" s="41"/>
      <c r="H1161" s="17"/>
      <c r="I1161" s="294"/>
      <c r="J1161" s="294"/>
      <c r="L1161" s="41"/>
      <c r="M1161" s="296"/>
      <c r="N1161" s="294"/>
      <c r="O1161" s="294"/>
      <c r="Q1161" s="203"/>
      <c r="R1161" s="131" t="s">
        <v>2203</v>
      </c>
      <c r="S1161" s="17" t="s">
        <v>2204</v>
      </c>
      <c r="T1161" s="210">
        <v>2992645</v>
      </c>
      <c r="U1161" s="210">
        <v>0</v>
      </c>
    </row>
    <row r="1162" spans="2:21" x14ac:dyDescent="0.3">
      <c r="B1162" s="41"/>
      <c r="C1162" s="17"/>
      <c r="D1162" s="294"/>
      <c r="E1162" s="294"/>
      <c r="G1162" s="41"/>
      <c r="H1162" s="17"/>
      <c r="I1162" s="294"/>
      <c r="J1162" s="294"/>
      <c r="L1162" s="41"/>
      <c r="M1162" s="296"/>
      <c r="N1162" s="294"/>
      <c r="O1162" s="294"/>
      <c r="Q1162" s="203"/>
      <c r="R1162" s="131" t="s">
        <v>2205</v>
      </c>
      <c r="S1162" s="17" t="s">
        <v>2206</v>
      </c>
      <c r="T1162" s="210">
        <v>5216129</v>
      </c>
      <c r="U1162" s="210">
        <v>0</v>
      </c>
    </row>
    <row r="1163" spans="2:21" x14ac:dyDescent="0.3">
      <c r="B1163" s="41"/>
      <c r="C1163" s="17"/>
      <c r="D1163" s="294"/>
      <c r="E1163" s="294"/>
      <c r="G1163" s="41"/>
      <c r="H1163" s="17"/>
      <c r="I1163" s="294"/>
      <c r="J1163" s="294"/>
      <c r="L1163" s="41"/>
      <c r="M1163" s="296"/>
      <c r="N1163" s="294"/>
      <c r="O1163" s="294"/>
      <c r="Q1163" s="203"/>
      <c r="R1163" s="131" t="s">
        <v>2207</v>
      </c>
      <c r="S1163" s="17" t="s">
        <v>2208</v>
      </c>
      <c r="T1163" s="210">
        <v>8652829</v>
      </c>
      <c r="U1163" s="210">
        <v>0</v>
      </c>
    </row>
    <row r="1164" spans="2:21" x14ac:dyDescent="0.3">
      <c r="B1164" s="41"/>
      <c r="C1164" s="17"/>
      <c r="D1164" s="294"/>
      <c r="E1164" s="294"/>
      <c r="G1164" s="41"/>
      <c r="H1164" s="17"/>
      <c r="I1164" s="294"/>
      <c r="J1164" s="294"/>
      <c r="L1164" s="41"/>
      <c r="M1164" s="296"/>
      <c r="N1164" s="294"/>
      <c r="O1164" s="294"/>
      <c r="Q1164" s="203"/>
      <c r="R1164" s="131" t="s">
        <v>2209</v>
      </c>
      <c r="S1164" s="17" t="s">
        <v>2210</v>
      </c>
      <c r="T1164" s="210">
        <v>12643453</v>
      </c>
      <c r="U1164" s="210">
        <v>0</v>
      </c>
    </row>
    <row r="1165" spans="2:21" x14ac:dyDescent="0.3">
      <c r="B1165" s="41"/>
      <c r="C1165" s="17"/>
      <c r="D1165" s="294"/>
      <c r="E1165" s="294"/>
      <c r="G1165" s="41"/>
      <c r="H1165" s="17"/>
      <c r="I1165" s="294"/>
      <c r="J1165" s="294"/>
      <c r="L1165" s="41"/>
      <c r="M1165" s="296"/>
      <c r="N1165" s="294"/>
      <c r="O1165" s="294"/>
      <c r="Q1165" s="203"/>
      <c r="R1165" s="131" t="s">
        <v>2340</v>
      </c>
      <c r="S1165" s="17" t="s">
        <v>2159</v>
      </c>
      <c r="T1165" s="210">
        <v>15212263</v>
      </c>
      <c r="U1165" s="210">
        <v>0</v>
      </c>
    </row>
    <row r="1166" spans="2:21" x14ac:dyDescent="0.3">
      <c r="B1166" s="41"/>
      <c r="C1166" s="17"/>
      <c r="D1166" s="294"/>
      <c r="E1166" s="294"/>
      <c r="G1166" s="41"/>
      <c r="H1166" s="17"/>
      <c r="I1166" s="294"/>
      <c r="J1166" s="294"/>
      <c r="L1166" s="41"/>
      <c r="M1166" s="296"/>
      <c r="N1166" s="294"/>
      <c r="O1166" s="294"/>
      <c r="Q1166" s="203"/>
      <c r="R1166" s="131" t="s">
        <v>2160</v>
      </c>
      <c r="S1166" s="17" t="s">
        <v>2161</v>
      </c>
      <c r="T1166" s="210">
        <v>5380614</v>
      </c>
      <c r="U1166" s="210">
        <v>0</v>
      </c>
    </row>
    <row r="1167" spans="2:21" x14ac:dyDescent="0.3">
      <c r="B1167" s="41"/>
      <c r="C1167" s="17"/>
      <c r="D1167" s="294"/>
      <c r="E1167" s="294"/>
      <c r="G1167" s="41"/>
      <c r="H1167" s="17"/>
      <c r="I1167" s="294"/>
      <c r="J1167" s="294"/>
      <c r="L1167" s="41"/>
      <c r="M1167" s="296"/>
      <c r="N1167" s="294"/>
      <c r="O1167" s="294"/>
      <c r="Q1167" s="203"/>
      <c r="R1167" s="131" t="s">
        <v>2162</v>
      </c>
      <c r="S1167" s="17" t="s">
        <v>2163</v>
      </c>
      <c r="T1167" s="210">
        <v>6632908</v>
      </c>
      <c r="U1167" s="210">
        <v>0</v>
      </c>
    </row>
    <row r="1168" spans="2:21" x14ac:dyDescent="0.3">
      <c r="B1168" s="41"/>
      <c r="C1168" s="17"/>
      <c r="D1168" s="294"/>
      <c r="E1168" s="294"/>
      <c r="G1168" s="41"/>
      <c r="H1168" s="17"/>
      <c r="I1168" s="294"/>
      <c r="J1168" s="294"/>
      <c r="L1168" s="41"/>
      <c r="M1168" s="296"/>
      <c r="N1168" s="294"/>
      <c r="O1168" s="294"/>
      <c r="Q1168" s="203"/>
      <c r="R1168" s="131" t="s">
        <v>2165</v>
      </c>
      <c r="S1168" s="17" t="s">
        <v>2166</v>
      </c>
      <c r="T1168" s="210">
        <v>7069340</v>
      </c>
      <c r="U1168" s="210">
        <v>0</v>
      </c>
    </row>
    <row r="1169" spans="2:21" x14ac:dyDescent="0.3">
      <c r="B1169" s="41"/>
      <c r="C1169" s="17"/>
      <c r="D1169" s="294"/>
      <c r="E1169" s="294"/>
      <c r="G1169" s="41"/>
      <c r="H1169" s="17"/>
      <c r="I1169" s="294"/>
      <c r="J1169" s="294"/>
      <c r="L1169" s="41"/>
      <c r="M1169" s="296"/>
      <c r="N1169" s="294"/>
      <c r="O1169" s="294"/>
      <c r="Q1169" s="203"/>
      <c r="R1169" s="131" t="s">
        <v>2168</v>
      </c>
      <c r="S1169" s="17" t="s">
        <v>2169</v>
      </c>
      <c r="T1169" s="210">
        <v>3501585</v>
      </c>
      <c r="U1169" s="210">
        <v>0</v>
      </c>
    </row>
    <row r="1170" spans="2:21" x14ac:dyDescent="0.3">
      <c r="B1170" s="41"/>
      <c r="C1170" s="17"/>
      <c r="D1170" s="294"/>
      <c r="E1170" s="294"/>
      <c r="G1170" s="41"/>
      <c r="H1170" s="17"/>
      <c r="I1170" s="294"/>
      <c r="J1170" s="294"/>
      <c r="L1170" s="41"/>
      <c r="M1170" s="296"/>
      <c r="N1170" s="294"/>
      <c r="O1170" s="294"/>
      <c r="Q1170" s="203"/>
      <c r="R1170" s="131" t="s">
        <v>2168</v>
      </c>
      <c r="S1170" s="17" t="s">
        <v>2169</v>
      </c>
      <c r="T1170" s="210">
        <v>691478</v>
      </c>
      <c r="U1170" s="210">
        <v>0</v>
      </c>
    </row>
    <row r="1171" spans="2:21" x14ac:dyDescent="0.3">
      <c r="B1171" s="41"/>
      <c r="C1171" s="17"/>
      <c r="D1171" s="294"/>
      <c r="E1171" s="294"/>
      <c r="G1171" s="41"/>
      <c r="H1171" s="17"/>
      <c r="I1171" s="294"/>
      <c r="J1171" s="294"/>
      <c r="L1171" s="41"/>
      <c r="M1171" s="296"/>
      <c r="N1171" s="294"/>
      <c r="O1171" s="294"/>
      <c r="Q1171" s="203"/>
      <c r="R1171" s="131" t="s">
        <v>3313</v>
      </c>
      <c r="S1171" s="17" t="s">
        <v>2211</v>
      </c>
      <c r="T1171" s="210">
        <v>13083354</v>
      </c>
      <c r="U1171" s="210">
        <v>0</v>
      </c>
    </row>
    <row r="1172" spans="2:21" x14ac:dyDescent="0.3">
      <c r="B1172" s="41"/>
      <c r="C1172" s="17"/>
      <c r="D1172" s="294"/>
      <c r="E1172" s="294"/>
      <c r="G1172" s="41"/>
      <c r="H1172" s="17"/>
      <c r="I1172" s="294"/>
      <c r="J1172" s="294"/>
      <c r="L1172" s="41"/>
      <c r="M1172" s="296"/>
      <c r="N1172" s="294"/>
      <c r="O1172" s="294"/>
      <c r="Q1172" s="203"/>
      <c r="R1172" s="131" t="s">
        <v>2212</v>
      </c>
      <c r="S1172" s="17" t="s">
        <v>2213</v>
      </c>
      <c r="T1172" s="210">
        <v>4487869</v>
      </c>
      <c r="U1172" s="210">
        <v>0</v>
      </c>
    </row>
    <row r="1173" spans="2:21" x14ac:dyDescent="0.3">
      <c r="B1173" s="41"/>
      <c r="C1173" s="17"/>
      <c r="D1173" s="294"/>
      <c r="E1173" s="294"/>
      <c r="G1173" s="41"/>
      <c r="H1173" s="17"/>
      <c r="I1173" s="294"/>
      <c r="J1173" s="294"/>
      <c r="L1173" s="41"/>
      <c r="M1173" s="296"/>
      <c r="N1173" s="294"/>
      <c r="O1173" s="294"/>
      <c r="Q1173" s="203"/>
      <c r="R1173" s="131" t="s">
        <v>2214</v>
      </c>
      <c r="S1173" s="17" t="s">
        <v>2215</v>
      </c>
      <c r="T1173" s="210">
        <v>6929711</v>
      </c>
      <c r="U1173" s="210">
        <v>0</v>
      </c>
    </row>
    <row r="1174" spans="2:21" x14ac:dyDescent="0.3">
      <c r="B1174" s="41"/>
      <c r="C1174" s="17"/>
      <c r="D1174" s="294"/>
      <c r="E1174" s="294"/>
      <c r="G1174" s="41"/>
      <c r="H1174" s="17"/>
      <c r="I1174" s="294"/>
      <c r="J1174" s="294"/>
      <c r="L1174" s="41"/>
      <c r="M1174" s="296"/>
      <c r="N1174" s="294"/>
      <c r="O1174" s="294"/>
      <c r="Q1174" s="203"/>
      <c r="R1174" s="131" t="s">
        <v>2216</v>
      </c>
      <c r="S1174" s="17" t="s">
        <v>2217</v>
      </c>
      <c r="T1174" s="210">
        <v>5019079</v>
      </c>
      <c r="U1174" s="210">
        <v>0</v>
      </c>
    </row>
    <row r="1175" spans="2:21" x14ac:dyDescent="0.3">
      <c r="B1175" s="41"/>
      <c r="C1175" s="17"/>
      <c r="D1175" s="294"/>
      <c r="E1175" s="294"/>
      <c r="G1175" s="41"/>
      <c r="H1175" s="17"/>
      <c r="I1175" s="294"/>
      <c r="J1175" s="294"/>
      <c r="L1175" s="41"/>
      <c r="M1175" s="296"/>
      <c r="N1175" s="294"/>
      <c r="O1175" s="294"/>
      <c r="Q1175" s="203"/>
      <c r="R1175" s="131" t="s">
        <v>1985</v>
      </c>
      <c r="S1175" s="17" t="s">
        <v>2197</v>
      </c>
      <c r="T1175" s="210">
        <v>522554</v>
      </c>
      <c r="U1175" s="210">
        <v>0</v>
      </c>
    </row>
    <row r="1176" spans="2:21" x14ac:dyDescent="0.3">
      <c r="B1176" s="41"/>
      <c r="C1176" s="17"/>
      <c r="D1176" s="294"/>
      <c r="E1176" s="294"/>
      <c r="G1176" s="41"/>
      <c r="H1176" s="17"/>
      <c r="I1176" s="294"/>
      <c r="J1176" s="294"/>
      <c r="L1176" s="41"/>
      <c r="M1176" s="296"/>
      <c r="N1176" s="294"/>
      <c r="O1176" s="294"/>
      <c r="Q1176" s="203"/>
      <c r="R1176" s="131" t="s">
        <v>1895</v>
      </c>
      <c r="S1176" s="17" t="s">
        <v>2174</v>
      </c>
      <c r="T1176" s="210">
        <v>9344866</v>
      </c>
      <c r="U1176" s="210">
        <v>0</v>
      </c>
    </row>
    <row r="1177" spans="2:21" x14ac:dyDescent="0.3">
      <c r="B1177" s="41"/>
      <c r="C1177" s="17"/>
      <c r="D1177" s="294"/>
      <c r="E1177" s="294"/>
      <c r="G1177" s="41"/>
      <c r="H1177" s="17"/>
      <c r="I1177" s="294"/>
      <c r="J1177" s="294"/>
      <c r="L1177" s="41"/>
      <c r="M1177" s="296"/>
      <c r="N1177" s="294"/>
      <c r="O1177" s="294"/>
      <c r="Q1177" s="203"/>
      <c r="R1177" s="131" t="s">
        <v>2177</v>
      </c>
      <c r="S1177" s="17" t="s">
        <v>2341</v>
      </c>
      <c r="T1177" s="210">
        <v>17956438</v>
      </c>
      <c r="U1177" s="210">
        <v>0</v>
      </c>
    </row>
    <row r="1178" spans="2:21" x14ac:dyDescent="0.3">
      <c r="B1178" s="41"/>
      <c r="C1178" s="17"/>
      <c r="D1178" s="294"/>
      <c r="E1178" s="294"/>
      <c r="G1178" s="41"/>
      <c r="H1178" s="17"/>
      <c r="I1178" s="294"/>
      <c r="J1178" s="294"/>
      <c r="L1178" s="41"/>
      <c r="M1178" s="296"/>
      <c r="N1178" s="294"/>
      <c r="O1178" s="294"/>
      <c r="Q1178" s="203"/>
      <c r="R1178" s="131" t="s">
        <v>2183</v>
      </c>
      <c r="S1178" s="17" t="s">
        <v>2182</v>
      </c>
      <c r="T1178" s="210">
        <v>12248220</v>
      </c>
      <c r="U1178" s="210">
        <v>0</v>
      </c>
    </row>
    <row r="1179" spans="2:21" x14ac:dyDescent="0.3">
      <c r="B1179" s="41"/>
      <c r="C1179" s="17"/>
      <c r="D1179" s="294"/>
      <c r="E1179" s="294"/>
      <c r="G1179" s="41"/>
      <c r="H1179" s="17"/>
      <c r="I1179" s="294"/>
      <c r="J1179" s="294"/>
      <c r="L1179" s="41"/>
      <c r="M1179" s="296"/>
      <c r="N1179" s="294"/>
      <c r="O1179" s="294"/>
      <c r="Q1179" s="203"/>
      <c r="R1179" s="131" t="s">
        <v>2185</v>
      </c>
      <c r="S1179" s="17" t="s">
        <v>2184</v>
      </c>
      <c r="T1179" s="210">
        <v>11775081</v>
      </c>
      <c r="U1179" s="210">
        <v>0</v>
      </c>
    </row>
    <row r="1180" spans="2:21" x14ac:dyDescent="0.3">
      <c r="B1180" s="41"/>
      <c r="C1180" s="17"/>
      <c r="D1180" s="294"/>
      <c r="E1180" s="294"/>
      <c r="G1180" s="41"/>
      <c r="H1180" s="17"/>
      <c r="I1180" s="294"/>
      <c r="J1180" s="294"/>
      <c r="L1180" s="41"/>
      <c r="M1180" s="296"/>
      <c r="N1180" s="294"/>
      <c r="O1180" s="294"/>
      <c r="Q1180" s="203"/>
      <c r="R1180" s="131" t="s">
        <v>2187</v>
      </c>
      <c r="S1180" s="17" t="s">
        <v>2186</v>
      </c>
      <c r="T1180" s="210">
        <v>14215409</v>
      </c>
      <c r="U1180" s="210">
        <v>0</v>
      </c>
    </row>
    <row r="1181" spans="2:21" x14ac:dyDescent="0.3">
      <c r="B1181" s="41"/>
      <c r="C1181" s="17"/>
      <c r="D1181" s="294"/>
      <c r="E1181" s="294"/>
      <c r="G1181" s="41"/>
      <c r="H1181" s="17"/>
      <c r="I1181" s="294"/>
      <c r="J1181" s="294"/>
      <c r="L1181" s="41"/>
      <c r="M1181" s="296"/>
      <c r="N1181" s="294"/>
      <c r="O1181" s="294"/>
      <c r="Q1181" s="203"/>
      <c r="R1181" s="131" t="s">
        <v>2187</v>
      </c>
      <c r="S1181" s="17" t="s">
        <v>2186</v>
      </c>
      <c r="T1181" s="210">
        <v>1566121</v>
      </c>
      <c r="U1181" s="210">
        <v>0</v>
      </c>
    </row>
    <row r="1182" spans="2:21" x14ac:dyDescent="0.3">
      <c r="B1182" s="41"/>
      <c r="C1182" s="17"/>
      <c r="D1182" s="294"/>
      <c r="E1182" s="294"/>
      <c r="G1182" s="41"/>
      <c r="H1182" s="17"/>
      <c r="I1182" s="294"/>
      <c r="J1182" s="294"/>
      <c r="L1182" s="41"/>
      <c r="M1182" s="296"/>
      <c r="N1182" s="294"/>
      <c r="O1182" s="294"/>
      <c r="Q1182" s="203"/>
      <c r="R1182" s="131" t="s">
        <v>2342</v>
      </c>
      <c r="S1182" s="17" t="s">
        <v>2188</v>
      </c>
      <c r="T1182" s="210">
        <v>1734483</v>
      </c>
      <c r="U1182" s="210">
        <v>0</v>
      </c>
    </row>
    <row r="1183" spans="2:21" x14ac:dyDescent="0.3">
      <c r="B1183" s="41"/>
      <c r="C1183" s="17"/>
      <c r="D1183" s="294"/>
      <c r="E1183" s="294"/>
      <c r="G1183" s="41"/>
      <c r="H1183" s="17"/>
      <c r="I1183" s="294"/>
      <c r="J1183" s="294"/>
      <c r="L1183" s="41"/>
      <c r="M1183" s="296"/>
      <c r="N1183" s="294"/>
      <c r="O1183" s="294"/>
      <c r="Q1183" s="203"/>
      <c r="R1183" s="131" t="s">
        <v>2342</v>
      </c>
      <c r="S1183" s="17" t="s">
        <v>2188</v>
      </c>
      <c r="T1183" s="210">
        <v>946751</v>
      </c>
      <c r="U1183" s="210">
        <v>0</v>
      </c>
    </row>
    <row r="1184" spans="2:21" x14ac:dyDescent="0.3">
      <c r="B1184" s="41"/>
      <c r="C1184" s="17"/>
      <c r="D1184" s="294"/>
      <c r="E1184" s="294"/>
      <c r="G1184" s="41"/>
      <c r="H1184" s="17"/>
      <c r="I1184" s="294"/>
      <c r="J1184" s="294"/>
      <c r="L1184" s="41"/>
      <c r="M1184" s="296"/>
      <c r="N1184" s="294"/>
      <c r="O1184" s="294"/>
      <c r="Q1184" s="203"/>
      <c r="R1184" s="131" t="s">
        <v>2190</v>
      </c>
      <c r="S1184" s="17" t="s">
        <v>2189</v>
      </c>
      <c r="T1184" s="210">
        <v>6056139</v>
      </c>
      <c r="U1184" s="210">
        <v>0</v>
      </c>
    </row>
    <row r="1185" spans="2:21" x14ac:dyDescent="0.3">
      <c r="B1185" s="41"/>
      <c r="C1185" s="17"/>
      <c r="D1185" s="294"/>
      <c r="E1185" s="294"/>
      <c r="G1185" s="41"/>
      <c r="H1185" s="17"/>
      <c r="I1185" s="294"/>
      <c r="J1185" s="294"/>
      <c r="L1185" s="41"/>
      <c r="M1185" s="296"/>
      <c r="N1185" s="294"/>
      <c r="O1185" s="294"/>
      <c r="Q1185" s="203"/>
      <c r="R1185" s="131" t="s">
        <v>2192</v>
      </c>
      <c r="S1185" s="17" t="s">
        <v>2191</v>
      </c>
      <c r="T1185" s="210">
        <v>2854685</v>
      </c>
      <c r="U1185" s="210">
        <v>0</v>
      </c>
    </row>
    <row r="1186" spans="2:21" x14ac:dyDescent="0.3">
      <c r="B1186" s="41"/>
      <c r="C1186" s="17"/>
      <c r="D1186" s="294"/>
      <c r="E1186" s="294"/>
      <c r="G1186" s="41"/>
      <c r="H1186" s="17"/>
      <c r="I1186" s="294"/>
      <c r="J1186" s="294"/>
      <c r="L1186" s="41"/>
      <c r="M1186" s="296"/>
      <c r="N1186" s="294"/>
      <c r="O1186" s="294"/>
      <c r="Q1186" s="203"/>
      <c r="R1186" s="131" t="s">
        <v>1896</v>
      </c>
      <c r="S1186" s="17" t="s">
        <v>2193</v>
      </c>
      <c r="T1186" s="210">
        <v>3585814</v>
      </c>
      <c r="U1186" s="210">
        <v>0</v>
      </c>
    </row>
    <row r="1187" spans="2:21" x14ac:dyDescent="0.3">
      <c r="B1187" s="41"/>
      <c r="C1187" s="17"/>
      <c r="D1187" s="294"/>
      <c r="E1187" s="294"/>
      <c r="G1187" s="41"/>
      <c r="H1187" s="17"/>
      <c r="I1187" s="294"/>
      <c r="J1187" s="294"/>
      <c r="L1187" s="41"/>
      <c r="M1187" s="296"/>
      <c r="N1187" s="294"/>
      <c r="O1187" s="294"/>
      <c r="Q1187" s="203"/>
      <c r="R1187" s="131" t="s">
        <v>2343</v>
      </c>
      <c r="S1187" s="17" t="s">
        <v>2194</v>
      </c>
      <c r="T1187" s="210">
        <v>47322450</v>
      </c>
      <c r="U1187" s="210">
        <v>0</v>
      </c>
    </row>
    <row r="1188" spans="2:21" x14ac:dyDescent="0.3">
      <c r="B1188" s="41"/>
      <c r="C1188" s="17"/>
      <c r="D1188" s="294"/>
      <c r="E1188" s="294"/>
      <c r="G1188" s="41"/>
      <c r="H1188" s="17"/>
      <c r="I1188" s="294"/>
      <c r="J1188" s="294"/>
      <c r="L1188" s="41"/>
      <c r="M1188" s="296"/>
      <c r="N1188" s="294"/>
      <c r="O1188" s="294"/>
      <c r="Q1188" s="203"/>
      <c r="R1188" s="131" t="s">
        <v>3291</v>
      </c>
      <c r="S1188" s="17" t="s">
        <v>2171</v>
      </c>
      <c r="T1188" s="210">
        <v>5495380</v>
      </c>
      <c r="U1188" s="210">
        <v>0</v>
      </c>
    </row>
    <row r="1189" spans="2:21" x14ac:dyDescent="0.3">
      <c r="B1189" s="41"/>
      <c r="C1189" s="17"/>
      <c r="D1189" s="294"/>
      <c r="E1189" s="294"/>
      <c r="G1189" s="41"/>
      <c r="H1189" s="17"/>
      <c r="I1189" s="294"/>
      <c r="J1189" s="294"/>
      <c r="L1189" s="41"/>
      <c r="M1189" s="296"/>
      <c r="N1189" s="294"/>
      <c r="O1189" s="294"/>
      <c r="Q1189" s="203"/>
      <c r="R1189" s="131" t="s">
        <v>1898</v>
      </c>
      <c r="S1189" s="17" t="s">
        <v>2218</v>
      </c>
      <c r="T1189" s="210">
        <v>1515840</v>
      </c>
      <c r="U1189" s="210">
        <v>0</v>
      </c>
    </row>
    <row r="1190" spans="2:21" x14ac:dyDescent="0.3">
      <c r="B1190" s="41"/>
      <c r="C1190" s="17"/>
      <c r="D1190" s="294"/>
      <c r="E1190" s="294"/>
      <c r="G1190" s="41"/>
      <c r="H1190" s="17"/>
      <c r="I1190" s="294"/>
      <c r="J1190" s="294"/>
      <c r="L1190" s="41"/>
      <c r="M1190" s="296"/>
      <c r="N1190" s="294"/>
      <c r="O1190" s="294"/>
      <c r="Q1190" s="203"/>
      <c r="R1190" s="131" t="s">
        <v>2219</v>
      </c>
      <c r="S1190" s="17" t="s">
        <v>2220</v>
      </c>
      <c r="T1190" s="210">
        <v>328076</v>
      </c>
      <c r="U1190" s="210">
        <v>0</v>
      </c>
    </row>
    <row r="1191" spans="2:21" x14ac:dyDescent="0.3">
      <c r="B1191" s="41"/>
      <c r="C1191" s="17"/>
      <c r="D1191" s="294"/>
      <c r="E1191" s="294"/>
      <c r="G1191" s="41"/>
      <c r="H1191" s="17"/>
      <c r="I1191" s="294"/>
      <c r="J1191" s="294"/>
      <c r="L1191" s="41"/>
      <c r="M1191" s="296"/>
      <c r="N1191" s="294"/>
      <c r="O1191" s="294"/>
      <c r="Q1191" s="203"/>
      <c r="R1191" s="131" t="s">
        <v>2221</v>
      </c>
      <c r="S1191" s="17" t="s">
        <v>2222</v>
      </c>
      <c r="T1191" s="210">
        <v>84900</v>
      </c>
      <c r="U1191" s="210">
        <v>0</v>
      </c>
    </row>
    <row r="1192" spans="2:21" x14ac:dyDescent="0.3">
      <c r="B1192" s="41"/>
      <c r="C1192" s="17"/>
      <c r="D1192" s="294"/>
      <c r="E1192" s="294"/>
      <c r="G1192" s="41"/>
      <c r="H1192" s="17"/>
      <c r="I1192" s="294"/>
      <c r="J1192" s="294"/>
      <c r="L1192" s="41"/>
      <c r="M1192" s="296"/>
      <c r="N1192" s="294"/>
      <c r="O1192" s="294"/>
      <c r="Q1192" s="203"/>
      <c r="R1192" s="131" t="s">
        <v>2223</v>
      </c>
      <c r="S1192" s="17" t="s">
        <v>2224</v>
      </c>
      <c r="T1192" s="210">
        <v>1446760</v>
      </c>
      <c r="U1192" s="210">
        <v>0</v>
      </c>
    </row>
    <row r="1193" spans="2:21" x14ac:dyDescent="0.3">
      <c r="B1193" s="41"/>
      <c r="C1193" s="17"/>
      <c r="D1193" s="294"/>
      <c r="E1193" s="294"/>
      <c r="G1193" s="41"/>
      <c r="H1193" s="17"/>
      <c r="I1193" s="294"/>
      <c r="J1193" s="294"/>
      <c r="L1193" s="41"/>
      <c r="M1193" s="296"/>
      <c r="N1193" s="294"/>
      <c r="O1193" s="294"/>
      <c r="Q1193" s="203"/>
      <c r="R1193" s="131" t="s">
        <v>2226</v>
      </c>
      <c r="S1193" s="17" t="s">
        <v>2227</v>
      </c>
      <c r="T1193" s="210">
        <v>713330</v>
      </c>
      <c r="U1193" s="210">
        <v>0</v>
      </c>
    </row>
    <row r="1194" spans="2:21" x14ac:dyDescent="0.3">
      <c r="B1194" s="41"/>
      <c r="C1194" s="17"/>
      <c r="D1194" s="294"/>
      <c r="E1194" s="294"/>
      <c r="G1194" s="41"/>
      <c r="H1194" s="17"/>
      <c r="I1194" s="294"/>
      <c r="J1194" s="294"/>
      <c r="L1194" s="41"/>
      <c r="M1194" s="296"/>
      <c r="N1194" s="294"/>
      <c r="O1194" s="294"/>
      <c r="Q1194" s="203"/>
      <c r="R1194" s="131" t="s">
        <v>2228</v>
      </c>
      <c r="S1194" s="17" t="s">
        <v>1990</v>
      </c>
      <c r="T1194" s="210">
        <v>42630</v>
      </c>
      <c r="U1194" s="210">
        <v>0</v>
      </c>
    </row>
    <row r="1195" spans="2:21" x14ac:dyDescent="0.3">
      <c r="B1195" s="41"/>
      <c r="C1195" s="17"/>
      <c r="D1195" s="294"/>
      <c r="E1195" s="294"/>
      <c r="G1195" s="41"/>
      <c r="H1195" s="17"/>
      <c r="I1195" s="294"/>
      <c r="J1195" s="294"/>
      <c r="L1195" s="41"/>
      <c r="M1195" s="296"/>
      <c r="N1195" s="294"/>
      <c r="O1195" s="294"/>
      <c r="Q1195" s="203"/>
      <c r="R1195" s="131" t="s">
        <v>2228</v>
      </c>
      <c r="S1195" s="17" t="s">
        <v>1990</v>
      </c>
      <c r="T1195" s="210">
        <v>159182</v>
      </c>
      <c r="U1195" s="210">
        <v>0</v>
      </c>
    </row>
    <row r="1196" spans="2:21" x14ac:dyDescent="0.3">
      <c r="B1196" s="41"/>
      <c r="C1196" s="17"/>
      <c r="D1196" s="294"/>
      <c r="E1196" s="294"/>
      <c r="G1196" s="41"/>
      <c r="H1196" s="17"/>
      <c r="I1196" s="294"/>
      <c r="J1196" s="294"/>
      <c r="L1196" s="41"/>
      <c r="M1196" s="296"/>
      <c r="N1196" s="294"/>
      <c r="O1196" s="294"/>
      <c r="Q1196" s="203"/>
      <c r="R1196" s="131" t="s">
        <v>2229</v>
      </c>
      <c r="S1196" s="17" t="s">
        <v>1987</v>
      </c>
      <c r="T1196" s="210">
        <v>190295</v>
      </c>
      <c r="U1196" s="210">
        <v>0</v>
      </c>
    </row>
    <row r="1197" spans="2:21" x14ac:dyDescent="0.3">
      <c r="B1197" s="41"/>
      <c r="C1197" s="17"/>
      <c r="D1197" s="294"/>
      <c r="E1197" s="294"/>
      <c r="G1197" s="41"/>
      <c r="H1197" s="17"/>
      <c r="I1197" s="294"/>
      <c r="J1197" s="294"/>
      <c r="L1197" s="41"/>
      <c r="M1197" s="296"/>
      <c r="N1197" s="294"/>
      <c r="O1197" s="294"/>
      <c r="Q1197" s="203"/>
      <c r="R1197" s="131" t="s">
        <v>2232</v>
      </c>
      <c r="S1197" s="17" t="s">
        <v>1988</v>
      </c>
      <c r="T1197" s="210">
        <v>838200</v>
      </c>
      <c r="U1197" s="210">
        <v>0</v>
      </c>
    </row>
    <row r="1198" spans="2:21" x14ac:dyDescent="0.3">
      <c r="B1198" s="41"/>
      <c r="C1198" s="17"/>
      <c r="D1198" s="294"/>
      <c r="E1198" s="294"/>
      <c r="G1198" s="41"/>
      <c r="H1198" s="17"/>
      <c r="I1198" s="294"/>
      <c r="J1198" s="294"/>
      <c r="L1198" s="41"/>
      <c r="M1198" s="296"/>
      <c r="N1198" s="294"/>
      <c r="O1198" s="294"/>
      <c r="Q1198" s="203"/>
      <c r="R1198" s="131" t="s">
        <v>2233</v>
      </c>
      <c r="S1198" s="17" t="s">
        <v>1989</v>
      </c>
      <c r="T1198" s="210">
        <v>52626</v>
      </c>
      <c r="U1198" s="210">
        <v>0</v>
      </c>
    </row>
    <row r="1199" spans="2:21" x14ac:dyDescent="0.3">
      <c r="B1199" s="41"/>
      <c r="C1199" s="17"/>
      <c r="D1199" s="294"/>
      <c r="E1199" s="294"/>
      <c r="G1199" s="41"/>
      <c r="H1199" s="17"/>
      <c r="I1199" s="294"/>
      <c r="J1199" s="294"/>
      <c r="L1199" s="41"/>
      <c r="M1199" s="296"/>
      <c r="N1199" s="294"/>
      <c r="O1199" s="294"/>
      <c r="Q1199" s="203"/>
      <c r="R1199" s="131" t="s">
        <v>2234</v>
      </c>
      <c r="S1199" s="17" t="s">
        <v>2235</v>
      </c>
      <c r="T1199" s="210">
        <v>167799</v>
      </c>
      <c r="U1199" s="210">
        <v>0</v>
      </c>
    </row>
    <row r="1200" spans="2:21" x14ac:dyDescent="0.3">
      <c r="B1200" s="41"/>
      <c r="C1200" s="17"/>
      <c r="D1200" s="294"/>
      <c r="E1200" s="294"/>
      <c r="G1200" s="41"/>
      <c r="H1200" s="17"/>
      <c r="I1200" s="294"/>
      <c r="J1200" s="294"/>
      <c r="L1200" s="41"/>
      <c r="M1200" s="296"/>
      <c r="N1200" s="294"/>
      <c r="O1200" s="294"/>
      <c r="Q1200" s="203">
        <v>40020010</v>
      </c>
      <c r="R1200" s="204"/>
      <c r="S1200" s="205" t="s">
        <v>1042</v>
      </c>
      <c r="T1200" s="206">
        <v>0</v>
      </c>
      <c r="U1200" s="206">
        <v>0</v>
      </c>
    </row>
    <row r="1201" spans="2:21" x14ac:dyDescent="0.3">
      <c r="B1201" s="41"/>
      <c r="C1201" s="17"/>
      <c r="D1201" s="294"/>
      <c r="E1201" s="294"/>
      <c r="G1201" s="41"/>
      <c r="H1201" s="17"/>
      <c r="I1201" s="294"/>
      <c r="J1201" s="294"/>
      <c r="L1201" s="41"/>
      <c r="M1201" s="296"/>
      <c r="N1201" s="294"/>
      <c r="O1201" s="294"/>
      <c r="Q1201" s="203">
        <v>40020011</v>
      </c>
      <c r="R1201" s="204"/>
      <c r="S1201" s="205" t="s">
        <v>1043</v>
      </c>
      <c r="T1201" s="206">
        <v>0</v>
      </c>
      <c r="U1201" s="206">
        <f>SUM(U1202:U1224)-SUM(T1202:T1224)</f>
        <v>17082319</v>
      </c>
    </row>
    <row r="1202" spans="2:21" x14ac:dyDescent="0.3">
      <c r="B1202" s="41"/>
      <c r="C1202" s="17"/>
      <c r="D1202" s="294"/>
      <c r="E1202" s="294"/>
      <c r="G1202" s="41"/>
      <c r="H1202" s="17"/>
      <c r="I1202" s="294"/>
      <c r="J1202" s="294"/>
      <c r="L1202" s="41"/>
      <c r="M1202" s="296"/>
      <c r="N1202" s="294"/>
      <c r="O1202" s="294"/>
      <c r="Q1202" s="41"/>
      <c r="R1202" s="131" t="s">
        <v>2160</v>
      </c>
      <c r="S1202" s="17" t="s">
        <v>2161</v>
      </c>
      <c r="T1202" s="150">
        <v>0</v>
      </c>
      <c r="U1202" s="150">
        <v>331249</v>
      </c>
    </row>
    <row r="1203" spans="2:21" x14ac:dyDescent="0.3">
      <c r="B1203" s="41"/>
      <c r="C1203" s="17"/>
      <c r="D1203" s="294"/>
      <c r="E1203" s="294"/>
      <c r="G1203" s="41"/>
      <c r="H1203" s="17"/>
      <c r="I1203" s="294"/>
      <c r="J1203" s="294"/>
      <c r="L1203" s="41"/>
      <c r="M1203" s="296"/>
      <c r="N1203" s="294"/>
      <c r="O1203" s="294"/>
      <c r="Q1203" s="41"/>
      <c r="R1203" s="131" t="s">
        <v>2340</v>
      </c>
      <c r="S1203" s="17" t="s">
        <v>2159</v>
      </c>
      <c r="T1203" s="150">
        <v>0</v>
      </c>
      <c r="U1203" s="150">
        <v>1763179</v>
      </c>
    </row>
    <row r="1204" spans="2:21" x14ac:dyDescent="0.3">
      <c r="B1204" s="41"/>
      <c r="C1204" s="17"/>
      <c r="D1204" s="294"/>
      <c r="E1204" s="294"/>
      <c r="G1204" s="41"/>
      <c r="H1204" s="17"/>
      <c r="I1204" s="294"/>
      <c r="J1204" s="294"/>
      <c r="L1204" s="41"/>
      <c r="M1204" s="296"/>
      <c r="N1204" s="294"/>
      <c r="O1204" s="294"/>
      <c r="Q1204" s="41"/>
      <c r="R1204" s="131" t="s">
        <v>3313</v>
      </c>
      <c r="S1204" s="17" t="s">
        <v>2211</v>
      </c>
      <c r="T1204" s="150">
        <v>0</v>
      </c>
      <c r="U1204" s="150">
        <v>915</v>
      </c>
    </row>
    <row r="1205" spans="2:21" x14ac:dyDescent="0.3">
      <c r="B1205" s="41"/>
      <c r="C1205" s="17"/>
      <c r="D1205" s="294"/>
      <c r="E1205" s="294"/>
      <c r="G1205" s="41"/>
      <c r="H1205" s="17"/>
      <c r="I1205" s="294"/>
      <c r="J1205" s="294"/>
      <c r="L1205" s="41"/>
      <c r="M1205" s="296"/>
      <c r="N1205" s="294"/>
      <c r="O1205" s="294"/>
      <c r="Q1205" s="41"/>
      <c r="R1205" s="131" t="s">
        <v>2165</v>
      </c>
      <c r="S1205" s="17" t="s">
        <v>2166</v>
      </c>
      <c r="T1205" s="150">
        <v>0</v>
      </c>
      <c r="U1205" s="150">
        <v>404414</v>
      </c>
    </row>
    <row r="1206" spans="2:21" x14ac:dyDescent="0.3">
      <c r="B1206" s="41"/>
      <c r="C1206" s="17"/>
      <c r="D1206" s="294"/>
      <c r="E1206" s="294"/>
      <c r="G1206" s="41"/>
      <c r="H1206" s="17"/>
      <c r="I1206" s="294"/>
      <c r="J1206" s="294"/>
      <c r="L1206" s="41"/>
      <c r="M1206" s="296"/>
      <c r="N1206" s="294"/>
      <c r="O1206" s="294"/>
      <c r="Q1206" s="41"/>
      <c r="R1206" s="131" t="s">
        <v>2168</v>
      </c>
      <c r="S1206" s="17" t="s">
        <v>2169</v>
      </c>
      <c r="T1206" s="150">
        <v>0</v>
      </c>
      <c r="U1206" s="150">
        <v>265117</v>
      </c>
    </row>
    <row r="1207" spans="2:21" x14ac:dyDescent="0.3">
      <c r="B1207" s="41"/>
      <c r="C1207" s="17"/>
      <c r="D1207" s="294"/>
      <c r="E1207" s="294"/>
      <c r="G1207" s="41"/>
      <c r="H1207" s="17"/>
      <c r="I1207" s="294"/>
      <c r="J1207" s="294"/>
      <c r="L1207" s="41"/>
      <c r="M1207" s="296"/>
      <c r="N1207" s="294"/>
      <c r="O1207" s="294"/>
      <c r="Q1207" s="41"/>
      <c r="R1207" s="131" t="s">
        <v>2162</v>
      </c>
      <c r="S1207" s="17" t="s">
        <v>2163</v>
      </c>
      <c r="T1207" s="150">
        <v>0</v>
      </c>
      <c r="U1207" s="150">
        <v>370498</v>
      </c>
    </row>
    <row r="1208" spans="2:21" x14ac:dyDescent="0.3">
      <c r="B1208" s="41"/>
      <c r="C1208" s="17"/>
      <c r="D1208" s="294"/>
      <c r="E1208" s="294"/>
      <c r="G1208" s="41"/>
      <c r="H1208" s="17"/>
      <c r="I1208" s="294"/>
      <c r="J1208" s="294"/>
      <c r="L1208" s="41"/>
      <c r="M1208" s="296"/>
      <c r="N1208" s="294"/>
      <c r="O1208" s="294"/>
      <c r="Q1208" s="41"/>
      <c r="R1208" s="131" t="s">
        <v>3291</v>
      </c>
      <c r="S1208" s="17" t="s">
        <v>2171</v>
      </c>
      <c r="T1208" s="150">
        <v>0</v>
      </c>
      <c r="U1208" s="150">
        <v>634108</v>
      </c>
    </row>
    <row r="1209" spans="2:21" x14ac:dyDescent="0.3">
      <c r="B1209" s="41"/>
      <c r="C1209" s="17"/>
      <c r="D1209" s="294"/>
      <c r="E1209" s="294"/>
      <c r="G1209" s="41"/>
      <c r="H1209" s="17"/>
      <c r="I1209" s="294"/>
      <c r="J1209" s="294"/>
      <c r="L1209" s="41"/>
      <c r="M1209" s="296"/>
      <c r="N1209" s="294"/>
      <c r="O1209" s="294"/>
      <c r="Q1209" s="41"/>
      <c r="R1209" s="131" t="s">
        <v>2183</v>
      </c>
      <c r="S1209" s="17" t="s">
        <v>2182</v>
      </c>
      <c r="T1209" s="150">
        <v>0</v>
      </c>
      <c r="U1209" s="150">
        <v>1100938</v>
      </c>
    </row>
    <row r="1210" spans="2:21" x14ac:dyDescent="0.3">
      <c r="B1210" s="41"/>
      <c r="C1210" s="17"/>
      <c r="D1210" s="294"/>
      <c r="E1210" s="294"/>
      <c r="G1210" s="41"/>
      <c r="H1210" s="17"/>
      <c r="I1210" s="294"/>
      <c r="J1210" s="294"/>
      <c r="L1210" s="41"/>
      <c r="M1210" s="296"/>
      <c r="N1210" s="294"/>
      <c r="O1210" s="294"/>
      <c r="Q1210" s="41"/>
      <c r="R1210" s="131" t="s">
        <v>1895</v>
      </c>
      <c r="S1210" s="17" t="s">
        <v>2174</v>
      </c>
      <c r="T1210" s="150">
        <v>0</v>
      </c>
      <c r="U1210" s="150">
        <v>722328</v>
      </c>
    </row>
    <row r="1211" spans="2:21" x14ac:dyDescent="0.3">
      <c r="B1211" s="41"/>
      <c r="C1211" s="17"/>
      <c r="D1211" s="294"/>
      <c r="E1211" s="294"/>
      <c r="G1211" s="41"/>
      <c r="H1211" s="17"/>
      <c r="I1211" s="294"/>
      <c r="J1211" s="294"/>
      <c r="L1211" s="41"/>
      <c r="M1211" s="296"/>
      <c r="N1211" s="294"/>
      <c r="O1211" s="294"/>
      <c r="Q1211" s="41"/>
      <c r="R1211" s="131" t="s">
        <v>2192</v>
      </c>
      <c r="S1211" s="17" t="s">
        <v>2191</v>
      </c>
      <c r="T1211" s="150">
        <v>0</v>
      </c>
      <c r="U1211" s="150">
        <v>355929</v>
      </c>
    </row>
    <row r="1212" spans="2:21" x14ac:dyDescent="0.3">
      <c r="B1212" s="41"/>
      <c r="C1212" s="17"/>
      <c r="D1212" s="294"/>
      <c r="E1212" s="294"/>
      <c r="G1212" s="41"/>
      <c r="H1212" s="17"/>
      <c r="I1212" s="294"/>
      <c r="J1212" s="294"/>
      <c r="L1212" s="41"/>
      <c r="M1212" s="296"/>
      <c r="N1212" s="294"/>
      <c r="O1212" s="294"/>
      <c r="Q1212" s="41"/>
      <c r="R1212" s="131" t="s">
        <v>1896</v>
      </c>
      <c r="S1212" s="17" t="s">
        <v>2193</v>
      </c>
      <c r="T1212" s="150">
        <v>0</v>
      </c>
      <c r="U1212" s="150">
        <v>373021</v>
      </c>
    </row>
    <row r="1213" spans="2:21" x14ac:dyDescent="0.3">
      <c r="B1213" s="41"/>
      <c r="C1213" s="17"/>
      <c r="D1213" s="294"/>
      <c r="E1213" s="294"/>
      <c r="G1213" s="41"/>
      <c r="H1213" s="17"/>
      <c r="I1213" s="294"/>
      <c r="J1213" s="294"/>
      <c r="L1213" s="41"/>
      <c r="M1213" s="296"/>
      <c r="N1213" s="294"/>
      <c r="O1213" s="294"/>
      <c r="Q1213" s="41"/>
      <c r="R1213" s="131" t="s">
        <v>2185</v>
      </c>
      <c r="S1213" s="17" t="s">
        <v>2184</v>
      </c>
      <c r="T1213" s="150">
        <v>0</v>
      </c>
      <c r="U1213" s="150">
        <v>1027066</v>
      </c>
    </row>
    <row r="1214" spans="2:21" x14ac:dyDescent="0.3">
      <c r="B1214" s="41"/>
      <c r="C1214" s="17"/>
      <c r="D1214" s="294"/>
      <c r="E1214" s="294"/>
      <c r="G1214" s="41"/>
      <c r="H1214" s="17"/>
      <c r="I1214" s="294"/>
      <c r="J1214" s="294"/>
      <c r="L1214" s="41"/>
      <c r="M1214" s="296"/>
      <c r="N1214" s="294"/>
      <c r="O1214" s="294"/>
      <c r="Q1214" s="41"/>
      <c r="R1214" s="131" t="s">
        <v>2343</v>
      </c>
      <c r="S1214" s="17" t="s">
        <v>2194</v>
      </c>
      <c r="T1214" s="150">
        <v>0</v>
      </c>
      <c r="U1214" s="150">
        <v>5286483</v>
      </c>
    </row>
    <row r="1215" spans="2:21" x14ac:dyDescent="0.3">
      <c r="B1215" s="41"/>
      <c r="C1215" s="17"/>
      <c r="D1215" s="294"/>
      <c r="E1215" s="294"/>
      <c r="G1215" s="41"/>
      <c r="H1215" s="17"/>
      <c r="I1215" s="294"/>
      <c r="J1215" s="294"/>
      <c r="L1215" s="41"/>
      <c r="M1215" s="296"/>
      <c r="N1215" s="294"/>
      <c r="O1215" s="294"/>
      <c r="Q1215" s="41"/>
      <c r="R1215" s="131" t="s">
        <v>2342</v>
      </c>
      <c r="S1215" s="17" t="s">
        <v>2188</v>
      </c>
      <c r="T1215" s="150">
        <v>0</v>
      </c>
      <c r="U1215" s="150">
        <v>426000</v>
      </c>
    </row>
    <row r="1216" spans="2:21" x14ac:dyDescent="0.3">
      <c r="B1216" s="41"/>
      <c r="C1216" s="17"/>
      <c r="D1216" s="294"/>
      <c r="E1216" s="294"/>
      <c r="G1216" s="41"/>
      <c r="H1216" s="17"/>
      <c r="I1216" s="294"/>
      <c r="J1216" s="294"/>
      <c r="L1216" s="41"/>
      <c r="M1216" s="296"/>
      <c r="N1216" s="294"/>
      <c r="O1216" s="294"/>
      <c r="Q1216" s="41"/>
      <c r="R1216" s="131" t="s">
        <v>2177</v>
      </c>
      <c r="S1216" s="17" t="s">
        <v>2341</v>
      </c>
      <c r="T1216" s="150">
        <v>0</v>
      </c>
      <c r="U1216" s="150">
        <v>1820036</v>
      </c>
    </row>
    <row r="1217" spans="2:21" x14ac:dyDescent="0.3">
      <c r="B1217" s="41"/>
      <c r="C1217" s="17"/>
      <c r="D1217" s="294"/>
      <c r="E1217" s="294"/>
      <c r="G1217" s="41"/>
      <c r="H1217" s="17"/>
      <c r="I1217" s="294"/>
      <c r="J1217" s="294"/>
      <c r="L1217" s="41"/>
      <c r="M1217" s="296"/>
      <c r="N1217" s="294"/>
      <c r="O1217" s="294"/>
      <c r="Q1217" s="41"/>
      <c r="R1217" s="131" t="s">
        <v>2190</v>
      </c>
      <c r="S1217" s="17" t="s">
        <v>2189</v>
      </c>
      <c r="T1217" s="150">
        <v>0</v>
      </c>
      <c r="U1217" s="150">
        <v>528820</v>
      </c>
    </row>
    <row r="1218" spans="2:21" x14ac:dyDescent="0.3">
      <c r="B1218" s="41"/>
      <c r="C1218" s="17"/>
      <c r="D1218" s="294"/>
      <c r="E1218" s="294"/>
      <c r="G1218" s="41"/>
      <c r="H1218" s="17"/>
      <c r="I1218" s="294"/>
      <c r="J1218" s="294"/>
      <c r="L1218" s="41"/>
      <c r="M1218" s="296"/>
      <c r="N1218" s="294"/>
      <c r="O1218" s="294"/>
      <c r="Q1218" s="41"/>
      <c r="R1218" s="131" t="s">
        <v>2187</v>
      </c>
      <c r="S1218" s="17" t="s">
        <v>2186</v>
      </c>
      <c r="T1218" s="150">
        <v>0</v>
      </c>
      <c r="U1218" s="150">
        <v>1285082</v>
      </c>
    </row>
    <row r="1219" spans="2:21" x14ac:dyDescent="0.3">
      <c r="B1219" s="41"/>
      <c r="C1219" s="17"/>
      <c r="D1219" s="294"/>
      <c r="E1219" s="294"/>
      <c r="G1219" s="41"/>
      <c r="H1219" s="17"/>
      <c r="I1219" s="294"/>
      <c r="J1219" s="294"/>
      <c r="L1219" s="41"/>
      <c r="M1219" s="296"/>
      <c r="N1219" s="294"/>
      <c r="O1219" s="294"/>
      <c r="Q1219" s="41"/>
      <c r="R1219" s="131" t="s">
        <v>2187</v>
      </c>
      <c r="S1219" s="17" t="s">
        <v>2186</v>
      </c>
      <c r="T1219" s="150">
        <v>0</v>
      </c>
      <c r="U1219" s="150">
        <v>172743</v>
      </c>
    </row>
    <row r="1220" spans="2:21" x14ac:dyDescent="0.3">
      <c r="B1220" s="41"/>
      <c r="C1220" s="17"/>
      <c r="D1220" s="294"/>
      <c r="E1220" s="294"/>
      <c r="G1220" s="41"/>
      <c r="H1220" s="17"/>
      <c r="I1220" s="294"/>
      <c r="J1220" s="294"/>
      <c r="L1220" s="41"/>
      <c r="M1220" s="296"/>
      <c r="N1220" s="294"/>
      <c r="O1220" s="294"/>
      <c r="Q1220" s="41"/>
      <c r="R1220" s="131" t="s">
        <v>1931</v>
      </c>
      <c r="S1220" s="17" t="s">
        <v>1932</v>
      </c>
      <c r="T1220" s="150">
        <v>0</v>
      </c>
      <c r="U1220" s="150">
        <v>10871</v>
      </c>
    </row>
    <row r="1221" spans="2:21" x14ac:dyDescent="0.3">
      <c r="B1221" s="41"/>
      <c r="C1221" s="17"/>
      <c r="D1221" s="294"/>
      <c r="E1221" s="294"/>
      <c r="G1221" s="41"/>
      <c r="H1221" s="17"/>
      <c r="I1221" s="294"/>
      <c r="J1221" s="294"/>
      <c r="L1221" s="41"/>
      <c r="M1221" s="296"/>
      <c r="N1221" s="294"/>
      <c r="O1221" s="294"/>
      <c r="Q1221" s="41"/>
      <c r="R1221" s="131" t="s">
        <v>1985</v>
      </c>
      <c r="S1221" s="17" t="s">
        <v>2197</v>
      </c>
      <c r="T1221" s="150">
        <v>0</v>
      </c>
      <c r="U1221" s="150">
        <v>54508</v>
      </c>
    </row>
    <row r="1222" spans="2:21" x14ac:dyDescent="0.3">
      <c r="B1222" s="41"/>
      <c r="C1222" s="17"/>
      <c r="D1222" s="294"/>
      <c r="E1222" s="294"/>
      <c r="G1222" s="41"/>
      <c r="H1222" s="17"/>
      <c r="I1222" s="294"/>
      <c r="J1222" s="294"/>
      <c r="L1222" s="41"/>
      <c r="M1222" s="296"/>
      <c r="N1222" s="294"/>
      <c r="O1222" s="294"/>
      <c r="Q1222" s="41"/>
      <c r="R1222" s="131" t="s">
        <v>1934</v>
      </c>
      <c r="S1222" s="17" t="s">
        <v>2196</v>
      </c>
      <c r="T1222" s="150">
        <v>0</v>
      </c>
      <c r="U1222" s="150">
        <v>14237</v>
      </c>
    </row>
    <row r="1223" spans="2:21" x14ac:dyDescent="0.3">
      <c r="B1223" s="41"/>
      <c r="C1223" s="17"/>
      <c r="D1223" s="294"/>
      <c r="E1223" s="294"/>
      <c r="G1223" s="41"/>
      <c r="H1223" s="17"/>
      <c r="I1223" s="294"/>
      <c r="J1223" s="294"/>
      <c r="L1223" s="41"/>
      <c r="M1223" s="296"/>
      <c r="N1223" s="294"/>
      <c r="O1223" s="294"/>
      <c r="Q1223" s="41"/>
      <c r="R1223" s="131" t="s">
        <v>2168</v>
      </c>
      <c r="S1223" s="17" t="s">
        <v>2169</v>
      </c>
      <c r="T1223" s="150">
        <v>0</v>
      </c>
      <c r="U1223" s="150">
        <v>69807</v>
      </c>
    </row>
    <row r="1224" spans="2:21" x14ac:dyDescent="0.3">
      <c r="B1224" s="41"/>
      <c r="C1224" s="17"/>
      <c r="D1224" s="294"/>
      <c r="E1224" s="294"/>
      <c r="G1224" s="41"/>
      <c r="H1224" s="17"/>
      <c r="I1224" s="294"/>
      <c r="J1224" s="294"/>
      <c r="L1224" s="41"/>
      <c r="M1224" s="296"/>
      <c r="N1224" s="294"/>
      <c r="O1224" s="294"/>
      <c r="Q1224" s="41"/>
      <c r="R1224" s="131" t="s">
        <v>2342</v>
      </c>
      <c r="S1224" s="17" t="s">
        <v>2188</v>
      </c>
      <c r="T1224" s="150">
        <v>0</v>
      </c>
      <c r="U1224" s="150">
        <v>64970</v>
      </c>
    </row>
    <row r="1225" spans="2:21" x14ac:dyDescent="0.3">
      <c r="B1225" s="41"/>
      <c r="C1225" s="17"/>
      <c r="D1225" s="294"/>
      <c r="E1225" s="294"/>
      <c r="G1225" s="41"/>
      <c r="H1225" s="17"/>
      <c r="I1225" s="294"/>
      <c r="J1225" s="294"/>
      <c r="L1225" s="41"/>
      <c r="M1225" s="296"/>
      <c r="N1225" s="294"/>
      <c r="O1225" s="294"/>
      <c r="Q1225" s="203">
        <v>40020012</v>
      </c>
      <c r="R1225" s="204"/>
      <c r="S1225" s="205" t="s">
        <v>1044</v>
      </c>
      <c r="T1225" s="206">
        <v>0</v>
      </c>
      <c r="U1225" s="206">
        <f>SUM(U1226:U1268)-SUM(T1226:T1268)</f>
        <v>45549559</v>
      </c>
    </row>
    <row r="1226" spans="2:21" x14ac:dyDescent="0.3">
      <c r="B1226" s="41"/>
      <c r="C1226" s="17"/>
      <c r="D1226" s="294"/>
      <c r="E1226" s="294"/>
      <c r="G1226" s="41"/>
      <c r="H1226" s="17"/>
      <c r="I1226" s="294"/>
      <c r="J1226" s="294"/>
      <c r="L1226" s="41"/>
      <c r="M1226" s="296"/>
      <c r="N1226" s="294"/>
      <c r="O1226" s="294"/>
      <c r="Q1226" s="41"/>
      <c r="R1226" s="131" t="s">
        <v>2160</v>
      </c>
      <c r="S1226" s="17" t="s">
        <v>2161</v>
      </c>
      <c r="T1226" s="150">
        <v>0</v>
      </c>
      <c r="U1226" s="150">
        <v>753116</v>
      </c>
    </row>
    <row r="1227" spans="2:21" x14ac:dyDescent="0.3">
      <c r="B1227" s="41"/>
      <c r="C1227" s="17"/>
      <c r="D1227" s="294"/>
      <c r="E1227" s="294"/>
      <c r="G1227" s="41"/>
      <c r="H1227" s="17"/>
      <c r="I1227" s="294"/>
      <c r="J1227" s="294"/>
      <c r="L1227" s="41"/>
      <c r="M1227" s="296"/>
      <c r="N1227" s="294"/>
      <c r="O1227" s="294"/>
      <c r="Q1227" s="41"/>
      <c r="R1227" s="131" t="s">
        <v>2340</v>
      </c>
      <c r="S1227" s="17" t="s">
        <v>2159</v>
      </c>
      <c r="T1227" s="150">
        <v>0</v>
      </c>
      <c r="U1227" s="150">
        <v>2523325</v>
      </c>
    </row>
    <row r="1228" spans="2:21" x14ac:dyDescent="0.3">
      <c r="B1228" s="41"/>
      <c r="C1228" s="17"/>
      <c r="D1228" s="294"/>
      <c r="E1228" s="294"/>
      <c r="G1228" s="41"/>
      <c r="H1228" s="17"/>
      <c r="I1228" s="294"/>
      <c r="J1228" s="294"/>
      <c r="L1228" s="41"/>
      <c r="M1228" s="296"/>
      <c r="N1228" s="294"/>
      <c r="O1228" s="294"/>
      <c r="Q1228" s="41"/>
      <c r="R1228" s="131" t="s">
        <v>1898</v>
      </c>
      <c r="S1228" s="17" t="s">
        <v>2218</v>
      </c>
      <c r="T1228" s="150">
        <v>0</v>
      </c>
      <c r="U1228" s="150">
        <v>252640</v>
      </c>
    </row>
    <row r="1229" spans="2:21" x14ac:dyDescent="0.3">
      <c r="B1229" s="41"/>
      <c r="C1229" s="17"/>
      <c r="D1229" s="294"/>
      <c r="E1229" s="294"/>
      <c r="G1229" s="41"/>
      <c r="H1229" s="17"/>
      <c r="I1229" s="294"/>
      <c r="J1229" s="294"/>
      <c r="L1229" s="41"/>
      <c r="M1229" s="296"/>
      <c r="N1229" s="294"/>
      <c r="O1229" s="294"/>
      <c r="Q1229" s="41"/>
      <c r="R1229" s="131" t="s">
        <v>2199</v>
      </c>
      <c r="S1229" s="17" t="s">
        <v>2200</v>
      </c>
      <c r="T1229" s="150">
        <v>0</v>
      </c>
      <c r="U1229" s="150">
        <v>1793956</v>
      </c>
    </row>
    <row r="1230" spans="2:21" x14ac:dyDescent="0.3">
      <c r="B1230" s="41"/>
      <c r="C1230" s="17"/>
      <c r="D1230" s="294"/>
      <c r="E1230" s="294"/>
      <c r="G1230" s="41"/>
      <c r="H1230" s="17"/>
      <c r="I1230" s="294"/>
      <c r="J1230" s="294"/>
      <c r="L1230" s="41"/>
      <c r="M1230" s="296"/>
      <c r="N1230" s="294"/>
      <c r="O1230" s="294"/>
      <c r="Q1230" s="41"/>
      <c r="R1230" s="131" t="s">
        <v>3313</v>
      </c>
      <c r="S1230" s="17" t="s">
        <v>2211</v>
      </c>
      <c r="T1230" s="150">
        <v>0</v>
      </c>
      <c r="U1230" s="150">
        <v>2372565</v>
      </c>
    </row>
    <row r="1231" spans="2:21" x14ac:dyDescent="0.3">
      <c r="B1231" s="41"/>
      <c r="C1231" s="17"/>
      <c r="D1231" s="294"/>
      <c r="E1231" s="294"/>
      <c r="G1231" s="41"/>
      <c r="H1231" s="17"/>
      <c r="I1231" s="294"/>
      <c r="J1231" s="294"/>
      <c r="L1231" s="41"/>
      <c r="M1231" s="296"/>
      <c r="N1231" s="294"/>
      <c r="O1231" s="294"/>
      <c r="Q1231" s="41"/>
      <c r="R1231" s="131" t="s">
        <v>2209</v>
      </c>
      <c r="S1231" s="17" t="s">
        <v>2210</v>
      </c>
      <c r="T1231" s="150">
        <v>0</v>
      </c>
      <c r="U1231" s="150">
        <v>1373370</v>
      </c>
    </row>
    <row r="1232" spans="2:21" x14ac:dyDescent="0.3">
      <c r="B1232" s="41"/>
      <c r="C1232" s="17"/>
      <c r="D1232" s="294"/>
      <c r="E1232" s="294"/>
      <c r="G1232" s="41"/>
      <c r="H1232" s="17"/>
      <c r="I1232" s="294"/>
      <c r="J1232" s="294"/>
      <c r="L1232" s="41"/>
      <c r="M1232" s="296"/>
      <c r="N1232" s="294"/>
      <c r="O1232" s="294"/>
      <c r="Q1232" s="41"/>
      <c r="R1232" s="131" t="s">
        <v>2165</v>
      </c>
      <c r="S1232" s="17" t="s">
        <v>2166</v>
      </c>
      <c r="T1232" s="150">
        <v>0</v>
      </c>
      <c r="U1232" s="150">
        <v>902224</v>
      </c>
    </row>
    <row r="1233" spans="2:21" x14ac:dyDescent="0.3">
      <c r="B1233" s="41"/>
      <c r="C1233" s="17"/>
      <c r="D1233" s="294"/>
      <c r="E1233" s="294"/>
      <c r="G1233" s="41"/>
      <c r="H1233" s="17"/>
      <c r="I1233" s="294"/>
      <c r="J1233" s="294"/>
      <c r="L1233" s="41"/>
      <c r="M1233" s="296"/>
      <c r="N1233" s="294"/>
      <c r="O1233" s="294"/>
      <c r="Q1233" s="41"/>
      <c r="R1233" s="131" t="s">
        <v>2168</v>
      </c>
      <c r="S1233" s="17" t="s">
        <v>2169</v>
      </c>
      <c r="T1233" s="150">
        <v>0</v>
      </c>
      <c r="U1233" s="150">
        <v>552039</v>
      </c>
    </row>
    <row r="1234" spans="2:21" x14ac:dyDescent="0.3">
      <c r="B1234" s="41"/>
      <c r="C1234" s="17"/>
      <c r="D1234" s="294"/>
      <c r="E1234" s="294"/>
      <c r="G1234" s="41"/>
      <c r="H1234" s="17"/>
      <c r="I1234" s="294"/>
      <c r="J1234" s="294"/>
      <c r="L1234" s="41"/>
      <c r="M1234" s="296"/>
      <c r="N1234" s="294"/>
      <c r="O1234" s="294"/>
      <c r="Q1234" s="41"/>
      <c r="R1234" s="131" t="s">
        <v>2223</v>
      </c>
      <c r="S1234" s="17" t="s">
        <v>2224</v>
      </c>
      <c r="T1234" s="150">
        <v>0</v>
      </c>
      <c r="U1234" s="150">
        <v>201759</v>
      </c>
    </row>
    <row r="1235" spans="2:21" x14ac:dyDescent="0.3">
      <c r="B1235" s="41"/>
      <c r="C1235" s="17"/>
      <c r="D1235" s="294"/>
      <c r="E1235" s="294"/>
      <c r="G1235" s="41"/>
      <c r="H1235" s="17"/>
      <c r="I1235" s="294"/>
      <c r="J1235" s="294"/>
      <c r="L1235" s="41"/>
      <c r="M1235" s="296"/>
      <c r="N1235" s="294"/>
      <c r="O1235" s="294"/>
      <c r="Q1235" s="41"/>
      <c r="R1235" s="131" t="s">
        <v>2219</v>
      </c>
      <c r="S1235" s="17" t="s">
        <v>2220</v>
      </c>
      <c r="T1235" s="150">
        <v>0</v>
      </c>
      <c r="U1235" s="150">
        <v>57696</v>
      </c>
    </row>
    <row r="1236" spans="2:21" x14ac:dyDescent="0.3">
      <c r="B1236" s="41"/>
      <c r="C1236" s="17"/>
      <c r="D1236" s="294"/>
      <c r="E1236" s="294"/>
      <c r="G1236" s="41"/>
      <c r="H1236" s="17"/>
      <c r="I1236" s="294"/>
      <c r="J1236" s="294"/>
      <c r="L1236" s="41"/>
      <c r="M1236" s="296"/>
      <c r="N1236" s="294"/>
      <c r="O1236" s="294"/>
      <c r="Q1236" s="41"/>
      <c r="R1236" s="131" t="s">
        <v>2203</v>
      </c>
      <c r="S1236" s="17" t="s">
        <v>2204</v>
      </c>
      <c r="T1236" s="150">
        <v>0</v>
      </c>
      <c r="U1236" s="150">
        <v>431399</v>
      </c>
    </row>
    <row r="1237" spans="2:21" x14ac:dyDescent="0.3">
      <c r="B1237" s="41"/>
      <c r="C1237" s="17"/>
      <c r="D1237" s="294"/>
      <c r="E1237" s="294"/>
      <c r="G1237" s="41"/>
      <c r="H1237" s="17"/>
      <c r="I1237" s="294"/>
      <c r="J1237" s="294"/>
      <c r="L1237" s="41"/>
      <c r="M1237" s="296"/>
      <c r="N1237" s="294"/>
      <c r="O1237" s="294"/>
      <c r="Q1237" s="41"/>
      <c r="R1237" s="131" t="s">
        <v>2162</v>
      </c>
      <c r="S1237" s="17" t="s">
        <v>2163</v>
      </c>
      <c r="T1237" s="150">
        <v>0</v>
      </c>
      <c r="U1237" s="150">
        <v>846345</v>
      </c>
    </row>
    <row r="1238" spans="2:21" x14ac:dyDescent="0.3">
      <c r="B1238" s="41"/>
      <c r="C1238" s="17"/>
      <c r="D1238" s="294"/>
      <c r="E1238" s="294"/>
      <c r="G1238" s="41"/>
      <c r="H1238" s="17"/>
      <c r="I1238" s="294"/>
      <c r="J1238" s="294"/>
      <c r="L1238" s="41"/>
      <c r="M1238" s="296"/>
      <c r="N1238" s="294"/>
      <c r="O1238" s="294"/>
      <c r="Q1238" s="41"/>
      <c r="R1238" s="131" t="s">
        <v>2205</v>
      </c>
      <c r="S1238" s="17" t="s">
        <v>2206</v>
      </c>
      <c r="T1238" s="150">
        <v>0</v>
      </c>
      <c r="U1238" s="150">
        <v>813469</v>
      </c>
    </row>
    <row r="1239" spans="2:21" x14ac:dyDescent="0.3">
      <c r="B1239" s="41"/>
      <c r="C1239" s="17"/>
      <c r="D1239" s="294"/>
      <c r="E1239" s="294"/>
      <c r="G1239" s="41"/>
      <c r="H1239" s="17"/>
      <c r="I1239" s="294"/>
      <c r="J1239" s="294"/>
      <c r="L1239" s="41"/>
      <c r="M1239" s="296"/>
      <c r="N1239" s="294"/>
      <c r="O1239" s="294"/>
      <c r="Q1239" s="41"/>
      <c r="R1239" s="131" t="s">
        <v>3291</v>
      </c>
      <c r="S1239" s="17" t="s">
        <v>2171</v>
      </c>
      <c r="T1239" s="150">
        <v>0</v>
      </c>
      <c r="U1239" s="150">
        <v>951256</v>
      </c>
    </row>
    <row r="1240" spans="2:21" x14ac:dyDescent="0.3">
      <c r="B1240" s="41"/>
      <c r="C1240" s="17"/>
      <c r="D1240" s="294"/>
      <c r="E1240" s="294"/>
      <c r="G1240" s="41"/>
      <c r="H1240" s="17"/>
      <c r="I1240" s="294"/>
      <c r="J1240" s="294"/>
      <c r="L1240" s="41"/>
      <c r="M1240" s="296"/>
      <c r="N1240" s="294"/>
      <c r="O1240" s="294"/>
      <c r="Q1240" s="41"/>
      <c r="R1240" s="131" t="s">
        <v>2183</v>
      </c>
      <c r="S1240" s="17" t="s">
        <v>2182</v>
      </c>
      <c r="T1240" s="150">
        <v>0</v>
      </c>
      <c r="U1240" s="150">
        <v>2153899</v>
      </c>
    </row>
    <row r="1241" spans="2:21" x14ac:dyDescent="0.3">
      <c r="B1241" s="41"/>
      <c r="C1241" s="17"/>
      <c r="D1241" s="294"/>
      <c r="E1241" s="294"/>
      <c r="G1241" s="41"/>
      <c r="H1241" s="17"/>
      <c r="I1241" s="294"/>
      <c r="J1241" s="294"/>
      <c r="L1241" s="41"/>
      <c r="M1241" s="296"/>
      <c r="N1241" s="294"/>
      <c r="O1241" s="294"/>
      <c r="Q1241" s="41"/>
      <c r="R1241" s="131" t="s">
        <v>2226</v>
      </c>
      <c r="S1241" s="17" t="s">
        <v>2227</v>
      </c>
      <c r="T1241" s="150">
        <v>0</v>
      </c>
      <c r="U1241" s="150">
        <v>55877</v>
      </c>
    </row>
    <row r="1242" spans="2:21" x14ac:dyDescent="0.3">
      <c r="B1242" s="41"/>
      <c r="C1242" s="17"/>
      <c r="D1242" s="294"/>
      <c r="E1242" s="294"/>
      <c r="G1242" s="41"/>
      <c r="H1242" s="17"/>
      <c r="I1242" s="294"/>
      <c r="J1242" s="294"/>
      <c r="L1242" s="41"/>
      <c r="M1242" s="296"/>
      <c r="N1242" s="294"/>
      <c r="O1242" s="294"/>
      <c r="Q1242" s="41"/>
      <c r="R1242" s="131" t="s">
        <v>2221</v>
      </c>
      <c r="S1242" s="17" t="s">
        <v>2222</v>
      </c>
      <c r="T1242" s="150">
        <v>0</v>
      </c>
      <c r="U1242" s="150">
        <v>2400</v>
      </c>
    </row>
    <row r="1243" spans="2:21" x14ac:dyDescent="0.3">
      <c r="B1243" s="41"/>
      <c r="C1243" s="17"/>
      <c r="D1243" s="294"/>
      <c r="E1243" s="294"/>
      <c r="G1243" s="41"/>
      <c r="H1243" s="17"/>
      <c r="I1243" s="294"/>
      <c r="J1243" s="294"/>
      <c r="L1243" s="41"/>
      <c r="M1243" s="296"/>
      <c r="N1243" s="294"/>
      <c r="O1243" s="294"/>
      <c r="Q1243" s="41"/>
      <c r="R1243" s="131" t="s">
        <v>2201</v>
      </c>
      <c r="S1243" s="17" t="s">
        <v>2202</v>
      </c>
      <c r="T1243" s="150">
        <v>0</v>
      </c>
      <c r="U1243" s="150">
        <v>824585</v>
      </c>
    </row>
    <row r="1244" spans="2:21" x14ac:dyDescent="0.3">
      <c r="B1244" s="41"/>
      <c r="C1244" s="17"/>
      <c r="D1244" s="294"/>
      <c r="E1244" s="294"/>
      <c r="G1244" s="41"/>
      <c r="H1244" s="17"/>
      <c r="I1244" s="294"/>
      <c r="J1244" s="294"/>
      <c r="L1244" s="41"/>
      <c r="M1244" s="296"/>
      <c r="N1244" s="294"/>
      <c r="O1244" s="294"/>
      <c r="Q1244" s="41"/>
      <c r="R1244" s="131" t="s">
        <v>1895</v>
      </c>
      <c r="S1244" s="17" t="s">
        <v>2174</v>
      </c>
      <c r="T1244" s="150">
        <v>0</v>
      </c>
      <c r="U1244" s="150">
        <v>1210105</v>
      </c>
    </row>
    <row r="1245" spans="2:21" x14ac:dyDescent="0.3">
      <c r="B1245" s="41"/>
      <c r="C1245" s="17"/>
      <c r="D1245" s="294"/>
      <c r="E1245" s="294"/>
      <c r="G1245" s="41"/>
      <c r="H1245" s="17"/>
      <c r="I1245" s="294"/>
      <c r="J1245" s="294"/>
      <c r="L1245" s="41"/>
      <c r="M1245" s="296"/>
      <c r="N1245" s="294"/>
      <c r="O1245" s="294"/>
      <c r="Q1245" s="41"/>
      <c r="R1245" s="131" t="s">
        <v>2192</v>
      </c>
      <c r="S1245" s="17" t="s">
        <v>2191</v>
      </c>
      <c r="T1245" s="150">
        <v>0</v>
      </c>
      <c r="U1245" s="150">
        <v>455238</v>
      </c>
    </row>
    <row r="1246" spans="2:21" x14ac:dyDescent="0.3">
      <c r="B1246" s="41"/>
      <c r="C1246" s="17"/>
      <c r="D1246" s="294"/>
      <c r="E1246" s="294"/>
      <c r="G1246" s="41"/>
      <c r="H1246" s="17"/>
      <c r="I1246" s="294"/>
      <c r="J1246" s="294"/>
      <c r="L1246" s="41"/>
      <c r="M1246" s="296"/>
      <c r="N1246" s="294"/>
      <c r="O1246" s="294"/>
      <c r="Q1246" s="41"/>
      <c r="R1246" s="131" t="s">
        <v>1896</v>
      </c>
      <c r="S1246" s="17" t="s">
        <v>2193</v>
      </c>
      <c r="T1246" s="150">
        <v>0</v>
      </c>
      <c r="U1246" s="150">
        <v>586321</v>
      </c>
    </row>
    <row r="1247" spans="2:21" x14ac:dyDescent="0.3">
      <c r="B1247" s="41"/>
      <c r="C1247" s="17"/>
      <c r="D1247" s="294"/>
      <c r="E1247" s="294"/>
      <c r="G1247" s="41"/>
      <c r="H1247" s="17"/>
      <c r="I1247" s="294"/>
      <c r="J1247" s="294"/>
      <c r="L1247" s="41"/>
      <c r="M1247" s="296"/>
      <c r="N1247" s="294"/>
      <c r="O1247" s="294"/>
      <c r="Q1247" s="41"/>
      <c r="R1247" s="131" t="s">
        <v>2185</v>
      </c>
      <c r="S1247" s="17" t="s">
        <v>2184</v>
      </c>
      <c r="T1247" s="150">
        <v>0</v>
      </c>
      <c r="U1247" s="150">
        <v>1588048</v>
      </c>
    </row>
    <row r="1248" spans="2:21" x14ac:dyDescent="0.3">
      <c r="B1248" s="41"/>
      <c r="C1248" s="17"/>
      <c r="D1248" s="294"/>
      <c r="E1248" s="294"/>
      <c r="G1248" s="41"/>
      <c r="H1248" s="17"/>
      <c r="I1248" s="294"/>
      <c r="J1248" s="294"/>
      <c r="L1248" s="41"/>
      <c r="M1248" s="296"/>
      <c r="N1248" s="294"/>
      <c r="O1248" s="294"/>
      <c r="Q1248" s="41"/>
      <c r="R1248" s="131" t="s">
        <v>2212</v>
      </c>
      <c r="S1248" s="17" t="s">
        <v>2213</v>
      </c>
      <c r="T1248" s="150">
        <v>0</v>
      </c>
      <c r="U1248" s="150">
        <v>914508</v>
      </c>
    </row>
    <row r="1249" spans="2:21" x14ac:dyDescent="0.3">
      <c r="B1249" s="41"/>
      <c r="C1249" s="17"/>
      <c r="D1249" s="294"/>
      <c r="E1249" s="294"/>
      <c r="G1249" s="41"/>
      <c r="H1249" s="17"/>
      <c r="I1249" s="294"/>
      <c r="J1249" s="294"/>
      <c r="L1249" s="41"/>
      <c r="M1249" s="296"/>
      <c r="N1249" s="294"/>
      <c r="O1249" s="294"/>
      <c r="Q1249" s="41"/>
      <c r="R1249" s="131" t="s">
        <v>2343</v>
      </c>
      <c r="S1249" s="17" t="s">
        <v>2194</v>
      </c>
      <c r="T1249" s="150">
        <v>0</v>
      </c>
      <c r="U1249" s="150">
        <v>11205132</v>
      </c>
    </row>
    <row r="1250" spans="2:21" x14ac:dyDescent="0.3">
      <c r="B1250" s="41"/>
      <c r="C1250" s="17"/>
      <c r="D1250" s="294"/>
      <c r="E1250" s="294"/>
      <c r="G1250" s="41"/>
      <c r="H1250" s="17"/>
      <c r="I1250" s="294"/>
      <c r="J1250" s="294"/>
      <c r="L1250" s="41"/>
      <c r="M1250" s="296"/>
      <c r="N1250" s="294"/>
      <c r="O1250" s="294"/>
      <c r="Q1250" s="41"/>
      <c r="R1250" s="131" t="s">
        <v>2216</v>
      </c>
      <c r="S1250" s="17" t="s">
        <v>2217</v>
      </c>
      <c r="T1250" s="150">
        <v>0</v>
      </c>
      <c r="U1250" s="150">
        <v>1888860</v>
      </c>
    </row>
    <row r="1251" spans="2:21" x14ac:dyDescent="0.3">
      <c r="B1251" s="41"/>
      <c r="C1251" s="17"/>
      <c r="D1251" s="294"/>
      <c r="E1251" s="294"/>
      <c r="G1251" s="41"/>
      <c r="H1251" s="17"/>
      <c r="I1251" s="294"/>
      <c r="J1251" s="294"/>
      <c r="L1251" s="41"/>
      <c r="M1251" s="296"/>
      <c r="N1251" s="294"/>
      <c r="O1251" s="294"/>
      <c r="Q1251" s="41"/>
      <c r="R1251" s="131" t="s">
        <v>2228</v>
      </c>
      <c r="S1251" s="17" t="s">
        <v>1990</v>
      </c>
      <c r="T1251" s="150">
        <v>0</v>
      </c>
      <c r="U1251" s="150">
        <v>3480</v>
      </c>
    </row>
    <row r="1252" spans="2:21" x14ac:dyDescent="0.3">
      <c r="B1252" s="41"/>
      <c r="C1252" s="17"/>
      <c r="D1252" s="294"/>
      <c r="E1252" s="294"/>
      <c r="G1252" s="41"/>
      <c r="H1252" s="17"/>
      <c r="I1252" s="294"/>
      <c r="J1252" s="294"/>
      <c r="L1252" s="41"/>
      <c r="M1252" s="296"/>
      <c r="N1252" s="294"/>
      <c r="O1252" s="294"/>
      <c r="Q1252" s="41"/>
      <c r="R1252" s="131" t="s">
        <v>2342</v>
      </c>
      <c r="S1252" s="17" t="s">
        <v>2188</v>
      </c>
      <c r="T1252" s="150">
        <v>0</v>
      </c>
      <c r="U1252" s="150">
        <v>341654</v>
      </c>
    </row>
    <row r="1253" spans="2:21" x14ac:dyDescent="0.3">
      <c r="B1253" s="41"/>
      <c r="C1253" s="17"/>
      <c r="D1253" s="294"/>
      <c r="E1253" s="294"/>
      <c r="G1253" s="41"/>
      <c r="H1253" s="17"/>
      <c r="I1253" s="294"/>
      <c r="J1253" s="294"/>
      <c r="L1253" s="41"/>
      <c r="M1253" s="296"/>
      <c r="N1253" s="294"/>
      <c r="O1253" s="294"/>
      <c r="Q1253" s="41"/>
      <c r="R1253" s="131" t="s">
        <v>2177</v>
      </c>
      <c r="S1253" s="17" t="s">
        <v>2341</v>
      </c>
      <c r="T1253" s="150">
        <v>0</v>
      </c>
      <c r="U1253" s="150">
        <v>3148635</v>
      </c>
    </row>
    <row r="1254" spans="2:21" x14ac:dyDescent="0.3">
      <c r="B1254" s="41"/>
      <c r="C1254" s="17"/>
      <c r="D1254" s="294"/>
      <c r="E1254" s="294"/>
      <c r="G1254" s="41"/>
      <c r="H1254" s="17"/>
      <c r="I1254" s="294"/>
      <c r="J1254" s="294"/>
      <c r="L1254" s="41"/>
      <c r="M1254" s="296"/>
      <c r="N1254" s="294"/>
      <c r="O1254" s="294"/>
      <c r="Q1254" s="41"/>
      <c r="R1254" s="131" t="s">
        <v>2190</v>
      </c>
      <c r="S1254" s="17" t="s">
        <v>2189</v>
      </c>
      <c r="T1254" s="150">
        <v>0</v>
      </c>
      <c r="U1254" s="150">
        <v>951023</v>
      </c>
    </row>
    <row r="1255" spans="2:21" x14ac:dyDescent="0.3">
      <c r="B1255" s="41"/>
      <c r="C1255" s="17"/>
      <c r="D1255" s="294"/>
      <c r="E1255" s="294"/>
      <c r="G1255" s="41"/>
      <c r="H1255" s="17"/>
      <c r="I1255" s="294"/>
      <c r="J1255" s="294"/>
      <c r="L1255" s="41"/>
      <c r="M1255" s="296"/>
      <c r="N1255" s="294"/>
      <c r="O1255" s="294"/>
      <c r="Q1255" s="41"/>
      <c r="R1255" s="131" t="s">
        <v>2207</v>
      </c>
      <c r="S1255" s="17" t="s">
        <v>2208</v>
      </c>
      <c r="T1255" s="150">
        <v>0</v>
      </c>
      <c r="U1255" s="150">
        <v>1378662</v>
      </c>
    </row>
    <row r="1256" spans="2:21" x14ac:dyDescent="0.3">
      <c r="B1256" s="41"/>
      <c r="C1256" s="17"/>
      <c r="D1256" s="294"/>
      <c r="E1256" s="294"/>
      <c r="G1256" s="41"/>
      <c r="H1256" s="17"/>
      <c r="I1256" s="294"/>
      <c r="J1256" s="294"/>
      <c r="L1256" s="41"/>
      <c r="M1256" s="296"/>
      <c r="N1256" s="294"/>
      <c r="O1256" s="294"/>
      <c r="Q1256" s="41"/>
      <c r="R1256" s="131" t="s">
        <v>2214</v>
      </c>
      <c r="S1256" s="17" t="s">
        <v>2215</v>
      </c>
      <c r="T1256" s="150">
        <v>0</v>
      </c>
      <c r="U1256" s="150">
        <v>1295135</v>
      </c>
    </row>
    <row r="1257" spans="2:21" x14ac:dyDescent="0.3">
      <c r="B1257" s="41"/>
      <c r="C1257" s="17"/>
      <c r="D1257" s="294"/>
      <c r="E1257" s="294"/>
      <c r="G1257" s="41"/>
      <c r="H1257" s="17"/>
      <c r="I1257" s="294"/>
      <c r="J1257" s="294"/>
      <c r="L1257" s="41"/>
      <c r="M1257" s="296"/>
      <c r="N1257" s="294"/>
      <c r="O1257" s="294"/>
      <c r="Q1257" s="41"/>
      <c r="R1257" s="131" t="s">
        <v>2234</v>
      </c>
      <c r="S1257" s="17" t="s">
        <v>2235</v>
      </c>
      <c r="T1257" s="150">
        <v>0</v>
      </c>
      <c r="U1257" s="150">
        <v>7202</v>
      </c>
    </row>
    <row r="1258" spans="2:21" x14ac:dyDescent="0.3">
      <c r="B1258" s="41"/>
      <c r="C1258" s="17"/>
      <c r="D1258" s="294"/>
      <c r="E1258" s="294"/>
      <c r="G1258" s="41"/>
      <c r="H1258" s="17"/>
      <c r="I1258" s="294"/>
      <c r="J1258" s="294"/>
      <c r="L1258" s="41"/>
      <c r="M1258" s="296"/>
      <c r="N1258" s="294"/>
      <c r="O1258" s="294"/>
      <c r="Q1258" s="41"/>
      <c r="R1258" s="131" t="s">
        <v>2187</v>
      </c>
      <c r="S1258" s="17" t="s">
        <v>2186</v>
      </c>
      <c r="T1258" s="150">
        <v>0</v>
      </c>
      <c r="U1258" s="150">
        <v>2314745</v>
      </c>
    </row>
    <row r="1259" spans="2:21" x14ac:dyDescent="0.3">
      <c r="B1259" s="41"/>
      <c r="C1259" s="17"/>
      <c r="D1259" s="294"/>
      <c r="E1259" s="294"/>
      <c r="G1259" s="41"/>
      <c r="H1259" s="17"/>
      <c r="I1259" s="294"/>
      <c r="J1259" s="294"/>
      <c r="L1259" s="41"/>
      <c r="M1259" s="296"/>
      <c r="N1259" s="294"/>
      <c r="O1259" s="294"/>
      <c r="Q1259" s="41"/>
      <c r="R1259" s="131" t="s">
        <v>2229</v>
      </c>
      <c r="S1259" s="17" t="s">
        <v>1987</v>
      </c>
      <c r="T1259" s="150">
        <v>0</v>
      </c>
      <c r="U1259" s="150">
        <v>52020</v>
      </c>
    </row>
    <row r="1260" spans="2:21" x14ac:dyDescent="0.3">
      <c r="B1260" s="41"/>
      <c r="C1260" s="17"/>
      <c r="D1260" s="294"/>
      <c r="E1260" s="294"/>
      <c r="G1260" s="41"/>
      <c r="H1260" s="17"/>
      <c r="I1260" s="294"/>
      <c r="J1260" s="294"/>
      <c r="L1260" s="41"/>
      <c r="M1260" s="296"/>
      <c r="N1260" s="294"/>
      <c r="O1260" s="294"/>
      <c r="Q1260" s="41"/>
      <c r="R1260" s="131" t="s">
        <v>2232</v>
      </c>
      <c r="S1260" s="17" t="s">
        <v>1988</v>
      </c>
      <c r="T1260" s="150">
        <v>0</v>
      </c>
      <c r="U1260" s="150">
        <v>3600</v>
      </c>
    </row>
    <row r="1261" spans="2:21" x14ac:dyDescent="0.3">
      <c r="B1261" s="41"/>
      <c r="C1261" s="17"/>
      <c r="D1261" s="294"/>
      <c r="E1261" s="294"/>
      <c r="G1261" s="41"/>
      <c r="H1261" s="17"/>
      <c r="I1261" s="294"/>
      <c r="J1261" s="294"/>
      <c r="L1261" s="41"/>
      <c r="M1261" s="296"/>
      <c r="N1261" s="294"/>
      <c r="O1261" s="294"/>
      <c r="Q1261" s="41"/>
      <c r="R1261" s="131" t="s">
        <v>2187</v>
      </c>
      <c r="S1261" s="17" t="s">
        <v>2186</v>
      </c>
      <c r="T1261" s="150">
        <v>0</v>
      </c>
      <c r="U1261" s="150">
        <v>295113</v>
      </c>
    </row>
    <row r="1262" spans="2:21" x14ac:dyDescent="0.3">
      <c r="B1262" s="41"/>
      <c r="C1262" s="17"/>
      <c r="D1262" s="294"/>
      <c r="E1262" s="294"/>
      <c r="G1262" s="41"/>
      <c r="H1262" s="17"/>
      <c r="I1262" s="294"/>
      <c r="J1262" s="294"/>
      <c r="L1262" s="41"/>
      <c r="M1262" s="296"/>
      <c r="N1262" s="294"/>
      <c r="O1262" s="294"/>
      <c r="Q1262" s="41"/>
      <c r="R1262" s="131" t="s">
        <v>1931</v>
      </c>
      <c r="S1262" s="17" t="s">
        <v>1932</v>
      </c>
      <c r="T1262" s="150">
        <v>0</v>
      </c>
      <c r="U1262" s="150">
        <v>603814</v>
      </c>
    </row>
    <row r="1263" spans="2:21" x14ac:dyDescent="0.3">
      <c r="B1263" s="41"/>
      <c r="C1263" s="17"/>
      <c r="D1263" s="294"/>
      <c r="E1263" s="294"/>
      <c r="G1263" s="41"/>
      <c r="H1263" s="17"/>
      <c r="I1263" s="294"/>
      <c r="J1263" s="294"/>
      <c r="L1263" s="41"/>
      <c r="M1263" s="296"/>
      <c r="N1263" s="294"/>
      <c r="O1263" s="294"/>
      <c r="Q1263" s="41"/>
      <c r="R1263" s="131" t="s">
        <v>2233</v>
      </c>
      <c r="S1263" s="17" t="s">
        <v>1989</v>
      </c>
      <c r="T1263" s="150">
        <v>0</v>
      </c>
      <c r="U1263" s="150">
        <v>4296</v>
      </c>
    </row>
    <row r="1264" spans="2:21" x14ac:dyDescent="0.3">
      <c r="B1264" s="41"/>
      <c r="C1264" s="17"/>
      <c r="D1264" s="294"/>
      <c r="E1264" s="294"/>
      <c r="G1264" s="41"/>
      <c r="H1264" s="17"/>
      <c r="I1264" s="294"/>
      <c r="J1264" s="294"/>
      <c r="L1264" s="41"/>
      <c r="M1264" s="296"/>
      <c r="N1264" s="294"/>
      <c r="O1264" s="294"/>
      <c r="Q1264" s="41"/>
      <c r="R1264" s="131" t="s">
        <v>2228</v>
      </c>
      <c r="S1264" s="17" t="s">
        <v>1990</v>
      </c>
      <c r="T1264" s="150">
        <v>0</v>
      </c>
      <c r="U1264" s="150">
        <v>67272</v>
      </c>
    </row>
    <row r="1265" spans="2:21" x14ac:dyDescent="0.3">
      <c r="B1265" s="41"/>
      <c r="C1265" s="17"/>
      <c r="D1265" s="294"/>
      <c r="E1265" s="294"/>
      <c r="G1265" s="41"/>
      <c r="H1265" s="17"/>
      <c r="I1265" s="294"/>
      <c r="J1265" s="294"/>
      <c r="L1265" s="41"/>
      <c r="M1265" s="296"/>
      <c r="N1265" s="294"/>
      <c r="O1265" s="294"/>
      <c r="Q1265" s="41"/>
      <c r="R1265" s="131" t="s">
        <v>1985</v>
      </c>
      <c r="S1265" s="17" t="s">
        <v>2197</v>
      </c>
      <c r="T1265" s="150">
        <v>0</v>
      </c>
      <c r="U1265" s="150">
        <v>71780</v>
      </c>
    </row>
    <row r="1266" spans="2:21" x14ac:dyDescent="0.3">
      <c r="B1266" s="41"/>
      <c r="C1266" s="17"/>
      <c r="D1266" s="294"/>
      <c r="E1266" s="294"/>
      <c r="G1266" s="41"/>
      <c r="H1266" s="17"/>
      <c r="I1266" s="294"/>
      <c r="J1266" s="294"/>
      <c r="L1266" s="41"/>
      <c r="M1266" s="296"/>
      <c r="N1266" s="294"/>
      <c r="O1266" s="294"/>
      <c r="Q1266" s="41"/>
      <c r="R1266" s="131" t="s">
        <v>1934</v>
      </c>
      <c r="S1266" s="17" t="s">
        <v>2196</v>
      </c>
      <c r="T1266" s="150">
        <v>0</v>
      </c>
      <c r="U1266" s="150">
        <v>63920</v>
      </c>
    </row>
    <row r="1267" spans="2:21" x14ac:dyDescent="0.3">
      <c r="B1267" s="41"/>
      <c r="C1267" s="17"/>
      <c r="D1267" s="294"/>
      <c r="E1267" s="294"/>
      <c r="G1267" s="41"/>
      <c r="H1267" s="17"/>
      <c r="I1267" s="294"/>
      <c r="J1267" s="294"/>
      <c r="L1267" s="41"/>
      <c r="M1267" s="296"/>
      <c r="N1267" s="294"/>
      <c r="O1267" s="294"/>
      <c r="Q1267" s="41"/>
      <c r="R1267" s="131" t="s">
        <v>2168</v>
      </c>
      <c r="S1267" s="17" t="s">
        <v>2169</v>
      </c>
      <c r="T1267" s="150">
        <v>0</v>
      </c>
      <c r="U1267" s="150">
        <v>110884</v>
      </c>
    </row>
    <row r="1268" spans="2:21" x14ac:dyDescent="0.3">
      <c r="B1268" s="41"/>
      <c r="C1268" s="17"/>
      <c r="D1268" s="294"/>
      <c r="E1268" s="294"/>
      <c r="G1268" s="41"/>
      <c r="H1268" s="17"/>
      <c r="I1268" s="294"/>
      <c r="J1268" s="294"/>
      <c r="L1268" s="41"/>
      <c r="M1268" s="296"/>
      <c r="N1268" s="294"/>
      <c r="O1268" s="294"/>
      <c r="Q1268" s="41"/>
      <c r="R1268" s="131" t="s">
        <v>2342</v>
      </c>
      <c r="S1268" s="17" t="s">
        <v>2188</v>
      </c>
      <c r="T1268" s="150">
        <v>0</v>
      </c>
      <c r="U1268" s="150">
        <v>126192</v>
      </c>
    </row>
    <row r="1269" spans="2:21" x14ac:dyDescent="0.3">
      <c r="B1269" s="41"/>
      <c r="C1269" s="17"/>
      <c r="D1269" s="294"/>
      <c r="E1269" s="294"/>
      <c r="G1269" s="41"/>
      <c r="H1269" s="17"/>
      <c r="I1269" s="294"/>
      <c r="J1269" s="294"/>
      <c r="L1269" s="41"/>
      <c r="M1269" s="296"/>
      <c r="N1269" s="294"/>
      <c r="O1269" s="294"/>
      <c r="Q1269" s="203">
        <v>40020013</v>
      </c>
      <c r="R1269" s="204"/>
      <c r="S1269" s="205" t="s">
        <v>1045</v>
      </c>
      <c r="T1269" s="206">
        <f>SUM(T1270:T1314)-SUM(U1270:U1314)</f>
        <v>807815094</v>
      </c>
      <c r="U1269" s="206">
        <v>0</v>
      </c>
    </row>
    <row r="1270" spans="2:21" x14ac:dyDescent="0.3">
      <c r="B1270" s="41"/>
      <c r="C1270" s="17"/>
      <c r="D1270" s="294"/>
      <c r="E1270" s="294"/>
      <c r="G1270" s="41"/>
      <c r="H1270" s="17"/>
      <c r="I1270" s="294"/>
      <c r="J1270" s="294"/>
      <c r="L1270" s="41"/>
      <c r="M1270" s="296"/>
      <c r="N1270" s="294"/>
      <c r="O1270" s="294"/>
      <c r="Q1270" s="41"/>
      <c r="R1270" s="131" t="s">
        <v>2203</v>
      </c>
      <c r="S1270" s="17" t="s">
        <v>2204</v>
      </c>
      <c r="T1270" s="150">
        <v>10171095</v>
      </c>
      <c r="U1270" s="150">
        <v>0</v>
      </c>
    </row>
    <row r="1271" spans="2:21" x14ac:dyDescent="0.3">
      <c r="B1271" s="41"/>
      <c r="C1271" s="17"/>
      <c r="D1271" s="294"/>
      <c r="E1271" s="294"/>
      <c r="G1271" s="41"/>
      <c r="H1271" s="17"/>
      <c r="I1271" s="294"/>
      <c r="J1271" s="294"/>
      <c r="L1271" s="41"/>
      <c r="M1271" s="296"/>
      <c r="N1271" s="294"/>
      <c r="O1271" s="294"/>
      <c r="Q1271" s="41"/>
      <c r="R1271" s="131" t="s">
        <v>2162</v>
      </c>
      <c r="S1271" s="17" t="s">
        <v>2163</v>
      </c>
      <c r="T1271" s="150">
        <v>21028906</v>
      </c>
      <c r="U1271" s="150">
        <v>0</v>
      </c>
    </row>
    <row r="1272" spans="2:21" x14ac:dyDescent="0.3">
      <c r="B1272" s="41"/>
      <c r="C1272" s="17"/>
      <c r="D1272" s="294"/>
      <c r="E1272" s="294"/>
      <c r="G1272" s="41"/>
      <c r="H1272" s="17"/>
      <c r="I1272" s="294"/>
      <c r="J1272" s="294"/>
      <c r="L1272" s="41"/>
      <c r="M1272" s="296"/>
      <c r="N1272" s="294"/>
      <c r="O1272" s="294"/>
      <c r="Q1272" s="41"/>
      <c r="R1272" s="131" t="s">
        <v>2205</v>
      </c>
      <c r="S1272" s="17" t="s">
        <v>2206</v>
      </c>
      <c r="T1272" s="150">
        <v>19268648</v>
      </c>
      <c r="U1272" s="150">
        <v>0</v>
      </c>
    </row>
    <row r="1273" spans="2:21" x14ac:dyDescent="0.3">
      <c r="B1273" s="41"/>
      <c r="C1273" s="17"/>
      <c r="D1273" s="294"/>
      <c r="E1273" s="294"/>
      <c r="G1273" s="41"/>
      <c r="H1273" s="17"/>
      <c r="I1273" s="294"/>
      <c r="J1273" s="294"/>
      <c r="L1273" s="41"/>
      <c r="M1273" s="296"/>
      <c r="N1273" s="294"/>
      <c r="O1273" s="294"/>
      <c r="Q1273" s="41"/>
      <c r="R1273" s="131" t="s">
        <v>3291</v>
      </c>
      <c r="S1273" s="17" t="s">
        <v>2171</v>
      </c>
      <c r="T1273" s="150">
        <v>19136490</v>
      </c>
      <c r="U1273" s="150">
        <v>0</v>
      </c>
    </row>
    <row r="1274" spans="2:21" x14ac:dyDescent="0.3">
      <c r="B1274" s="41"/>
      <c r="C1274" s="17"/>
      <c r="D1274" s="294"/>
      <c r="E1274" s="294"/>
      <c r="G1274" s="41"/>
      <c r="H1274" s="17"/>
      <c r="I1274" s="294"/>
      <c r="J1274" s="294"/>
      <c r="L1274" s="41"/>
      <c r="M1274" s="296"/>
      <c r="N1274" s="294"/>
      <c r="O1274" s="294"/>
      <c r="Q1274" s="41"/>
      <c r="R1274" s="131" t="s">
        <v>2183</v>
      </c>
      <c r="S1274" s="17" t="s">
        <v>2182</v>
      </c>
      <c r="T1274" s="150">
        <v>34819124</v>
      </c>
      <c r="U1274" s="150">
        <v>0</v>
      </c>
    </row>
    <row r="1275" spans="2:21" x14ac:dyDescent="0.3">
      <c r="B1275" s="41"/>
      <c r="C1275" s="17"/>
      <c r="D1275" s="294"/>
      <c r="E1275" s="294"/>
      <c r="G1275" s="41"/>
      <c r="H1275" s="17"/>
      <c r="I1275" s="294"/>
      <c r="J1275" s="294"/>
      <c r="L1275" s="41"/>
      <c r="M1275" s="296"/>
      <c r="N1275" s="294"/>
      <c r="O1275" s="294"/>
      <c r="Q1275" s="41"/>
      <c r="R1275" s="131" t="s">
        <v>2226</v>
      </c>
      <c r="S1275" s="17" t="s">
        <v>2227</v>
      </c>
      <c r="T1275" s="150">
        <v>7711523</v>
      </c>
      <c r="U1275" s="150">
        <v>0</v>
      </c>
    </row>
    <row r="1276" spans="2:21" x14ac:dyDescent="0.3">
      <c r="B1276" s="41"/>
      <c r="C1276" s="17"/>
      <c r="D1276" s="294"/>
      <c r="E1276" s="294"/>
      <c r="G1276" s="41"/>
      <c r="H1276" s="17"/>
      <c r="I1276" s="294"/>
      <c r="J1276" s="294"/>
      <c r="L1276" s="41"/>
      <c r="M1276" s="296"/>
      <c r="N1276" s="294"/>
      <c r="O1276" s="294"/>
      <c r="Q1276" s="41"/>
      <c r="R1276" s="131" t="s">
        <v>2236</v>
      </c>
      <c r="S1276" s="17" t="s">
        <v>38</v>
      </c>
      <c r="T1276" s="150">
        <v>2414370</v>
      </c>
      <c r="U1276" s="150">
        <v>0</v>
      </c>
    </row>
    <row r="1277" spans="2:21" x14ac:dyDescent="0.3">
      <c r="B1277" s="41"/>
      <c r="C1277" s="17"/>
      <c r="D1277" s="294"/>
      <c r="E1277" s="294"/>
      <c r="G1277" s="41"/>
      <c r="H1277" s="17"/>
      <c r="I1277" s="294"/>
      <c r="J1277" s="294"/>
      <c r="L1277" s="41"/>
      <c r="M1277" s="296"/>
      <c r="N1277" s="294"/>
      <c r="O1277" s="294"/>
      <c r="Q1277" s="41"/>
      <c r="R1277" s="131" t="s">
        <v>2221</v>
      </c>
      <c r="S1277" s="17" t="s">
        <v>2222</v>
      </c>
      <c r="T1277" s="150">
        <v>9218615</v>
      </c>
      <c r="U1277" s="150">
        <v>0</v>
      </c>
    </row>
    <row r="1278" spans="2:21" x14ac:dyDescent="0.3">
      <c r="B1278" s="41"/>
      <c r="C1278" s="17"/>
      <c r="D1278" s="294"/>
      <c r="E1278" s="294"/>
      <c r="G1278" s="41"/>
      <c r="H1278" s="17"/>
      <c r="I1278" s="294"/>
      <c r="J1278" s="294"/>
      <c r="L1278" s="41"/>
      <c r="M1278" s="296"/>
      <c r="N1278" s="294"/>
      <c r="O1278" s="294"/>
      <c r="Q1278" s="41"/>
      <c r="R1278" s="131" t="s">
        <v>2201</v>
      </c>
      <c r="S1278" s="17" t="s">
        <v>2202</v>
      </c>
      <c r="T1278" s="150">
        <v>20295678</v>
      </c>
      <c r="U1278" s="150">
        <v>0</v>
      </c>
    </row>
    <row r="1279" spans="2:21" x14ac:dyDescent="0.3">
      <c r="B1279" s="41"/>
      <c r="C1279" s="17"/>
      <c r="D1279" s="294"/>
      <c r="E1279" s="294"/>
      <c r="G1279" s="41"/>
      <c r="H1279" s="17"/>
      <c r="I1279" s="294"/>
      <c r="J1279" s="294"/>
      <c r="L1279" s="41"/>
      <c r="M1279" s="296"/>
      <c r="N1279" s="294"/>
      <c r="O1279" s="294"/>
      <c r="Q1279" s="41"/>
      <c r="R1279" s="131" t="s">
        <v>1895</v>
      </c>
      <c r="S1279" s="17" t="s">
        <v>2174</v>
      </c>
      <c r="T1279" s="150">
        <v>28373785</v>
      </c>
      <c r="U1279" s="150">
        <v>0</v>
      </c>
    </row>
    <row r="1280" spans="2:21" x14ac:dyDescent="0.3">
      <c r="B1280" s="41"/>
      <c r="C1280" s="17"/>
      <c r="D1280" s="294"/>
      <c r="E1280" s="294"/>
      <c r="G1280" s="41"/>
      <c r="H1280" s="17"/>
      <c r="I1280" s="294"/>
      <c r="J1280" s="294"/>
      <c r="L1280" s="41"/>
      <c r="M1280" s="296"/>
      <c r="N1280" s="294"/>
      <c r="O1280" s="294"/>
      <c r="Q1280" s="41"/>
      <c r="R1280" s="131" t="s">
        <v>2192</v>
      </c>
      <c r="S1280" s="17" t="s">
        <v>2191</v>
      </c>
      <c r="T1280" s="150">
        <v>9973672</v>
      </c>
      <c r="U1280" s="150">
        <v>0</v>
      </c>
    </row>
    <row r="1281" spans="2:21" x14ac:dyDescent="0.3">
      <c r="B1281" s="41"/>
      <c r="C1281" s="17"/>
      <c r="D1281" s="294"/>
      <c r="E1281" s="294"/>
      <c r="G1281" s="41"/>
      <c r="H1281" s="17"/>
      <c r="I1281" s="294"/>
      <c r="J1281" s="294"/>
      <c r="L1281" s="41"/>
      <c r="M1281" s="296"/>
      <c r="N1281" s="294"/>
      <c r="O1281" s="294"/>
      <c r="Q1281" s="41"/>
      <c r="R1281" s="131" t="s">
        <v>1896</v>
      </c>
      <c r="S1281" s="17" t="s">
        <v>2193</v>
      </c>
      <c r="T1281" s="150">
        <v>11642903</v>
      </c>
      <c r="U1281" s="150">
        <v>0</v>
      </c>
    </row>
    <row r="1282" spans="2:21" x14ac:dyDescent="0.3">
      <c r="B1282" s="41"/>
      <c r="C1282" s="17"/>
      <c r="D1282" s="294"/>
      <c r="E1282" s="294"/>
      <c r="G1282" s="41"/>
      <c r="H1282" s="17"/>
      <c r="I1282" s="294"/>
      <c r="J1282" s="294"/>
      <c r="L1282" s="41"/>
      <c r="M1282" s="296"/>
      <c r="N1282" s="294"/>
      <c r="O1282" s="294"/>
      <c r="Q1282" s="41"/>
      <c r="R1282" s="131" t="s">
        <v>2185</v>
      </c>
      <c r="S1282" s="17" t="s">
        <v>2184</v>
      </c>
      <c r="T1282" s="150">
        <v>39123827</v>
      </c>
      <c r="U1282" s="150">
        <v>0</v>
      </c>
    </row>
    <row r="1283" spans="2:21" x14ac:dyDescent="0.3">
      <c r="B1283" s="41"/>
      <c r="C1283" s="17"/>
      <c r="D1283" s="294"/>
      <c r="E1283" s="294"/>
      <c r="G1283" s="41"/>
      <c r="H1283" s="17"/>
      <c r="I1283" s="294"/>
      <c r="J1283" s="294"/>
      <c r="L1283" s="41"/>
      <c r="M1283" s="296"/>
      <c r="N1283" s="294"/>
      <c r="O1283" s="294"/>
      <c r="Q1283" s="41"/>
      <c r="R1283" s="131" t="s">
        <v>2212</v>
      </c>
      <c r="S1283" s="17" t="s">
        <v>2213</v>
      </c>
      <c r="T1283" s="150">
        <v>15080602</v>
      </c>
      <c r="U1283" s="150">
        <v>0</v>
      </c>
    </row>
    <row r="1284" spans="2:21" x14ac:dyDescent="0.3">
      <c r="B1284" s="41"/>
      <c r="C1284" s="17"/>
      <c r="D1284" s="294"/>
      <c r="E1284" s="294"/>
      <c r="G1284" s="41"/>
      <c r="H1284" s="17"/>
      <c r="I1284" s="294"/>
      <c r="J1284" s="294"/>
      <c r="L1284" s="41"/>
      <c r="M1284" s="296"/>
      <c r="N1284" s="294"/>
      <c r="O1284" s="294"/>
      <c r="Q1284" s="41"/>
      <c r="R1284" s="131" t="s">
        <v>2343</v>
      </c>
      <c r="S1284" s="17" t="s">
        <v>2194</v>
      </c>
      <c r="T1284" s="150">
        <v>29039278</v>
      </c>
      <c r="U1284" s="150">
        <v>0</v>
      </c>
    </row>
    <row r="1285" spans="2:21" x14ac:dyDescent="0.3">
      <c r="B1285" s="41"/>
      <c r="C1285" s="17"/>
      <c r="D1285" s="294"/>
      <c r="E1285" s="294"/>
      <c r="G1285" s="41"/>
      <c r="H1285" s="17"/>
      <c r="I1285" s="294"/>
      <c r="J1285" s="294"/>
      <c r="L1285" s="41"/>
      <c r="M1285" s="296"/>
      <c r="N1285" s="294"/>
      <c r="O1285" s="294"/>
      <c r="Q1285" s="41"/>
      <c r="R1285" s="131" t="s">
        <v>2216</v>
      </c>
      <c r="S1285" s="17" t="s">
        <v>2217</v>
      </c>
      <c r="T1285" s="150">
        <v>2850674</v>
      </c>
      <c r="U1285" s="150">
        <v>0</v>
      </c>
    </row>
    <row r="1286" spans="2:21" x14ac:dyDescent="0.3">
      <c r="B1286" s="41"/>
      <c r="C1286" s="17"/>
      <c r="D1286" s="294"/>
      <c r="E1286" s="294"/>
      <c r="G1286" s="41"/>
      <c r="H1286" s="17"/>
      <c r="I1286" s="294"/>
      <c r="J1286" s="294"/>
      <c r="L1286" s="41"/>
      <c r="M1286" s="296"/>
      <c r="N1286" s="294"/>
      <c r="O1286" s="294"/>
      <c r="Q1286" s="41"/>
      <c r="R1286" s="131" t="s">
        <v>2228</v>
      </c>
      <c r="S1286" s="17" t="s">
        <v>1990</v>
      </c>
      <c r="T1286" s="150">
        <v>341596</v>
      </c>
      <c r="U1286" s="150">
        <v>0</v>
      </c>
    </row>
    <row r="1287" spans="2:21" x14ac:dyDescent="0.3">
      <c r="B1287" s="41"/>
      <c r="C1287" s="17"/>
      <c r="D1287" s="294"/>
      <c r="E1287" s="294"/>
      <c r="G1287" s="41"/>
      <c r="H1287" s="17"/>
      <c r="I1287" s="294"/>
      <c r="J1287" s="294"/>
      <c r="L1287" s="41"/>
      <c r="M1287" s="296"/>
      <c r="N1287" s="294"/>
      <c r="O1287" s="294"/>
      <c r="Q1287" s="41"/>
      <c r="R1287" s="131" t="s">
        <v>2230</v>
      </c>
      <c r="S1287" s="17" t="s">
        <v>2231</v>
      </c>
      <c r="T1287" s="150">
        <v>4446084</v>
      </c>
      <c r="U1287" s="150">
        <v>0</v>
      </c>
    </row>
    <row r="1288" spans="2:21" x14ac:dyDescent="0.3">
      <c r="B1288" s="41"/>
      <c r="C1288" s="17"/>
      <c r="D1288" s="294"/>
      <c r="E1288" s="294"/>
      <c r="G1288" s="41"/>
      <c r="H1288" s="17"/>
      <c r="I1288" s="294"/>
      <c r="J1288" s="294"/>
      <c r="L1288" s="41"/>
      <c r="M1288" s="296"/>
      <c r="N1288" s="294"/>
      <c r="O1288" s="294"/>
      <c r="Q1288" s="41"/>
      <c r="R1288" s="131" t="s">
        <v>2342</v>
      </c>
      <c r="S1288" s="17" t="s">
        <v>2188</v>
      </c>
      <c r="T1288" s="150">
        <v>8956801</v>
      </c>
      <c r="U1288" s="150">
        <v>0</v>
      </c>
    </row>
    <row r="1289" spans="2:21" x14ac:dyDescent="0.3">
      <c r="B1289" s="41"/>
      <c r="C1289" s="17"/>
      <c r="D1289" s="294"/>
      <c r="E1289" s="294"/>
      <c r="G1289" s="41"/>
      <c r="H1289" s="17"/>
      <c r="I1289" s="294"/>
      <c r="J1289" s="294"/>
      <c r="L1289" s="41"/>
      <c r="M1289" s="296"/>
      <c r="N1289" s="294"/>
      <c r="O1289" s="294"/>
      <c r="Q1289" s="41"/>
      <c r="R1289" s="131" t="s">
        <v>2177</v>
      </c>
      <c r="S1289" s="17" t="s">
        <v>2341</v>
      </c>
      <c r="T1289" s="150">
        <v>57677164</v>
      </c>
      <c r="U1289" s="150">
        <v>0</v>
      </c>
    </row>
    <row r="1290" spans="2:21" x14ac:dyDescent="0.3">
      <c r="B1290" s="41"/>
      <c r="C1290" s="17"/>
      <c r="D1290" s="294"/>
      <c r="E1290" s="294"/>
      <c r="G1290" s="41"/>
      <c r="H1290" s="17"/>
      <c r="I1290" s="294"/>
      <c r="J1290" s="294"/>
      <c r="L1290" s="41"/>
      <c r="M1290" s="296"/>
      <c r="N1290" s="294"/>
      <c r="O1290" s="294"/>
      <c r="Q1290" s="41"/>
      <c r="R1290" s="131" t="s">
        <v>2190</v>
      </c>
      <c r="S1290" s="17" t="s">
        <v>2189</v>
      </c>
      <c r="T1290" s="150">
        <v>21036248</v>
      </c>
      <c r="U1290" s="150">
        <v>0</v>
      </c>
    </row>
    <row r="1291" spans="2:21" x14ac:dyDescent="0.3">
      <c r="B1291" s="41"/>
      <c r="C1291" s="17"/>
      <c r="D1291" s="294"/>
      <c r="E1291" s="294"/>
      <c r="G1291" s="41"/>
      <c r="H1291" s="17"/>
      <c r="I1291" s="294"/>
      <c r="J1291" s="294"/>
      <c r="L1291" s="41"/>
      <c r="M1291" s="296"/>
      <c r="N1291" s="294"/>
      <c r="O1291" s="294"/>
      <c r="Q1291" s="41"/>
      <c r="R1291" s="131" t="s">
        <v>2207</v>
      </c>
      <c r="S1291" s="17" t="s">
        <v>2208</v>
      </c>
      <c r="T1291" s="150">
        <v>35042915</v>
      </c>
      <c r="U1291" s="150">
        <v>0</v>
      </c>
    </row>
    <row r="1292" spans="2:21" x14ac:dyDescent="0.3">
      <c r="B1292" s="41"/>
      <c r="C1292" s="17"/>
      <c r="D1292" s="294"/>
      <c r="E1292" s="294"/>
      <c r="G1292" s="41"/>
      <c r="H1292" s="17"/>
      <c r="I1292" s="294"/>
      <c r="J1292" s="294"/>
      <c r="L1292" s="41"/>
      <c r="M1292" s="296"/>
      <c r="N1292" s="294"/>
      <c r="O1292" s="294"/>
      <c r="Q1292" s="41"/>
      <c r="R1292" s="131" t="s">
        <v>2214</v>
      </c>
      <c r="S1292" s="17" t="s">
        <v>2215</v>
      </c>
      <c r="T1292" s="150">
        <v>24963880</v>
      </c>
      <c r="U1292" s="150">
        <v>0</v>
      </c>
    </row>
    <row r="1293" spans="2:21" x14ac:dyDescent="0.3">
      <c r="B1293" s="41"/>
      <c r="C1293" s="17"/>
      <c r="D1293" s="294"/>
      <c r="E1293" s="294"/>
      <c r="G1293" s="41"/>
      <c r="H1293" s="17"/>
      <c r="I1293" s="294"/>
      <c r="J1293" s="294"/>
      <c r="L1293" s="41"/>
      <c r="M1293" s="296"/>
      <c r="N1293" s="294"/>
      <c r="O1293" s="294"/>
      <c r="Q1293" s="41"/>
      <c r="R1293" s="131" t="s">
        <v>2234</v>
      </c>
      <c r="S1293" s="17" t="s">
        <v>2235</v>
      </c>
      <c r="T1293" s="150">
        <v>822050</v>
      </c>
      <c r="U1293" s="150">
        <v>0</v>
      </c>
    </row>
    <row r="1294" spans="2:21" x14ac:dyDescent="0.3">
      <c r="B1294" s="41"/>
      <c r="C1294" s="17"/>
      <c r="D1294" s="294"/>
      <c r="E1294" s="294"/>
      <c r="G1294" s="41"/>
      <c r="H1294" s="17"/>
      <c r="I1294" s="294"/>
      <c r="J1294" s="294"/>
      <c r="L1294" s="41"/>
      <c r="M1294" s="296"/>
      <c r="N1294" s="294"/>
      <c r="O1294" s="294"/>
      <c r="Q1294" s="41"/>
      <c r="R1294" s="131" t="s">
        <v>2187</v>
      </c>
      <c r="S1294" s="17" t="s">
        <v>2186</v>
      </c>
      <c r="T1294" s="150">
        <v>51039684</v>
      </c>
      <c r="U1294" s="150">
        <v>0</v>
      </c>
    </row>
    <row r="1295" spans="2:21" x14ac:dyDescent="0.3">
      <c r="B1295" s="41"/>
      <c r="C1295" s="17"/>
      <c r="D1295" s="294"/>
      <c r="E1295" s="294"/>
      <c r="G1295" s="41"/>
      <c r="H1295" s="17"/>
      <c r="I1295" s="294"/>
      <c r="J1295" s="294"/>
      <c r="L1295" s="41"/>
      <c r="M1295" s="296"/>
      <c r="N1295" s="294"/>
      <c r="O1295" s="294"/>
      <c r="Q1295" s="41"/>
      <c r="R1295" s="131" t="s">
        <v>2229</v>
      </c>
      <c r="S1295" s="17" t="s">
        <v>1987</v>
      </c>
      <c r="T1295" s="150">
        <v>771729</v>
      </c>
      <c r="U1295" s="150">
        <v>0</v>
      </c>
    </row>
    <row r="1296" spans="2:21" x14ac:dyDescent="0.3">
      <c r="B1296" s="41"/>
      <c r="C1296" s="17"/>
      <c r="D1296" s="294"/>
      <c r="E1296" s="294"/>
      <c r="G1296" s="41"/>
      <c r="H1296" s="17"/>
      <c r="I1296" s="294"/>
      <c r="J1296" s="294"/>
      <c r="L1296" s="41"/>
      <c r="M1296" s="296"/>
      <c r="N1296" s="294"/>
      <c r="O1296" s="294"/>
      <c r="Q1296" s="41"/>
      <c r="R1296" s="131" t="s">
        <v>2232</v>
      </c>
      <c r="S1296" s="17" t="s">
        <v>1988</v>
      </c>
      <c r="T1296" s="150">
        <v>5185847</v>
      </c>
      <c r="U1296" s="150">
        <v>0</v>
      </c>
    </row>
    <row r="1297" spans="2:21" x14ac:dyDescent="0.3">
      <c r="B1297" s="41"/>
      <c r="C1297" s="17"/>
      <c r="D1297" s="294"/>
      <c r="E1297" s="294"/>
      <c r="G1297" s="41"/>
      <c r="H1297" s="17"/>
      <c r="I1297" s="294"/>
      <c r="J1297" s="294"/>
      <c r="L1297" s="41"/>
      <c r="M1297" s="296"/>
      <c r="N1297" s="294"/>
      <c r="O1297" s="294"/>
      <c r="Q1297" s="41"/>
      <c r="R1297" s="131" t="s">
        <v>2187</v>
      </c>
      <c r="S1297" s="17" t="s">
        <v>2186</v>
      </c>
      <c r="T1297" s="150">
        <v>5531457</v>
      </c>
      <c r="U1297" s="150">
        <v>0</v>
      </c>
    </row>
    <row r="1298" spans="2:21" x14ac:dyDescent="0.3">
      <c r="B1298" s="41"/>
      <c r="C1298" s="17"/>
      <c r="D1298" s="294"/>
      <c r="E1298" s="294"/>
      <c r="G1298" s="41"/>
      <c r="H1298" s="17"/>
      <c r="I1298" s="294"/>
      <c r="J1298" s="294"/>
      <c r="L1298" s="41"/>
      <c r="M1298" s="296"/>
      <c r="N1298" s="294"/>
      <c r="O1298" s="294"/>
      <c r="Q1298" s="41"/>
      <c r="R1298" s="131" t="s">
        <v>1931</v>
      </c>
      <c r="S1298" s="17" t="s">
        <v>1932</v>
      </c>
      <c r="T1298" s="150">
        <v>10791887</v>
      </c>
      <c r="U1298" s="150">
        <v>0</v>
      </c>
    </row>
    <row r="1299" spans="2:21" x14ac:dyDescent="0.3">
      <c r="B1299" s="41"/>
      <c r="C1299" s="17"/>
      <c r="D1299" s="294"/>
      <c r="E1299" s="294"/>
      <c r="G1299" s="41"/>
      <c r="H1299" s="17"/>
      <c r="I1299" s="294"/>
      <c r="J1299" s="294"/>
      <c r="L1299" s="41"/>
      <c r="M1299" s="296"/>
      <c r="N1299" s="294"/>
      <c r="O1299" s="294"/>
      <c r="Q1299" s="41"/>
      <c r="R1299" s="131" t="s">
        <v>2233</v>
      </c>
      <c r="S1299" s="17" t="s">
        <v>1989</v>
      </c>
      <c r="T1299" s="150">
        <v>740178</v>
      </c>
      <c r="U1299" s="150">
        <v>0</v>
      </c>
    </row>
    <row r="1300" spans="2:21" x14ac:dyDescent="0.3">
      <c r="B1300" s="41"/>
      <c r="C1300" s="17"/>
      <c r="D1300" s="294"/>
      <c r="E1300" s="294"/>
      <c r="G1300" s="41"/>
      <c r="H1300" s="17"/>
      <c r="I1300" s="294"/>
      <c r="J1300" s="294"/>
      <c r="L1300" s="41"/>
      <c r="M1300" s="296"/>
      <c r="N1300" s="294"/>
      <c r="O1300" s="294"/>
      <c r="Q1300" s="41"/>
      <c r="R1300" s="131" t="s">
        <v>2228</v>
      </c>
      <c r="S1300" s="17" t="s">
        <v>1990</v>
      </c>
      <c r="T1300" s="150">
        <v>3153007</v>
      </c>
      <c r="U1300" s="150">
        <v>0</v>
      </c>
    </row>
    <row r="1301" spans="2:21" x14ac:dyDescent="0.3">
      <c r="B1301" s="41"/>
      <c r="C1301" s="17"/>
      <c r="D1301" s="294"/>
      <c r="E1301" s="294"/>
      <c r="G1301" s="41"/>
      <c r="H1301" s="17"/>
      <c r="I1301" s="294"/>
      <c r="J1301" s="294"/>
      <c r="L1301" s="41"/>
      <c r="M1301" s="296"/>
      <c r="N1301" s="294"/>
      <c r="O1301" s="294"/>
      <c r="Q1301" s="41"/>
      <c r="R1301" s="131" t="s">
        <v>1985</v>
      </c>
      <c r="S1301" s="17" t="s">
        <v>2197</v>
      </c>
      <c r="T1301" s="150">
        <v>3057006</v>
      </c>
      <c r="U1301" s="150">
        <v>0</v>
      </c>
    </row>
    <row r="1302" spans="2:21" x14ac:dyDescent="0.3">
      <c r="B1302" s="41"/>
      <c r="C1302" s="17"/>
      <c r="D1302" s="294"/>
      <c r="E1302" s="294"/>
      <c r="G1302" s="41"/>
      <c r="H1302" s="17"/>
      <c r="I1302" s="294"/>
      <c r="J1302" s="294"/>
      <c r="L1302" s="41"/>
      <c r="M1302" s="296"/>
      <c r="N1302" s="294"/>
      <c r="O1302" s="294"/>
      <c r="Q1302" s="41"/>
      <c r="R1302" s="131" t="s">
        <v>1934</v>
      </c>
      <c r="S1302" s="17" t="s">
        <v>2196</v>
      </c>
      <c r="T1302" s="150">
        <v>1047193</v>
      </c>
      <c r="U1302" s="150">
        <v>0</v>
      </c>
    </row>
    <row r="1303" spans="2:21" x14ac:dyDescent="0.3">
      <c r="B1303" s="41"/>
      <c r="C1303" s="17"/>
      <c r="D1303" s="294"/>
      <c r="E1303" s="294"/>
      <c r="G1303" s="41"/>
      <c r="H1303" s="17"/>
      <c r="I1303" s="294"/>
      <c r="J1303" s="294"/>
      <c r="L1303" s="41"/>
      <c r="M1303" s="296"/>
      <c r="N1303" s="294"/>
      <c r="O1303" s="294"/>
      <c r="Q1303" s="41"/>
      <c r="R1303" s="131" t="s">
        <v>2168</v>
      </c>
      <c r="S1303" s="17" t="s">
        <v>2169</v>
      </c>
      <c r="T1303" s="150">
        <v>2135650</v>
      </c>
      <c r="U1303" s="150">
        <v>0</v>
      </c>
    </row>
    <row r="1304" spans="2:21" x14ac:dyDescent="0.3">
      <c r="B1304" s="41"/>
      <c r="C1304" s="17"/>
      <c r="D1304" s="294"/>
      <c r="E1304" s="294"/>
      <c r="G1304" s="41"/>
      <c r="H1304" s="17"/>
      <c r="I1304" s="294"/>
      <c r="J1304" s="294"/>
      <c r="L1304" s="41"/>
      <c r="M1304" s="296"/>
      <c r="N1304" s="294"/>
      <c r="O1304" s="294"/>
      <c r="Q1304" s="41"/>
      <c r="R1304" s="131" t="s">
        <v>2342</v>
      </c>
      <c r="S1304" s="17" t="s">
        <v>2188</v>
      </c>
      <c r="T1304" s="150">
        <v>3032459</v>
      </c>
      <c r="U1304" s="150">
        <v>0</v>
      </c>
    </row>
    <row r="1305" spans="2:21" x14ac:dyDescent="0.3">
      <c r="B1305" s="41"/>
      <c r="C1305" s="17"/>
      <c r="D1305" s="294"/>
      <c r="E1305" s="294"/>
      <c r="G1305" s="41"/>
      <c r="H1305" s="17"/>
      <c r="I1305" s="294"/>
      <c r="J1305" s="294"/>
      <c r="L1305" s="41"/>
      <c r="M1305" s="296"/>
      <c r="N1305" s="294"/>
      <c r="O1305" s="294"/>
      <c r="Q1305" s="41"/>
      <c r="R1305" s="131" t="s">
        <v>2160</v>
      </c>
      <c r="S1305" s="17" t="s">
        <v>2161</v>
      </c>
      <c r="T1305" s="150">
        <v>15510028</v>
      </c>
      <c r="U1305" s="150">
        <v>0</v>
      </c>
    </row>
    <row r="1306" spans="2:21" x14ac:dyDescent="0.3">
      <c r="B1306" s="41"/>
      <c r="C1306" s="17"/>
      <c r="D1306" s="294"/>
      <c r="E1306" s="294"/>
      <c r="G1306" s="41"/>
      <c r="H1306" s="17"/>
      <c r="I1306" s="294"/>
      <c r="J1306" s="294"/>
      <c r="L1306" s="41"/>
      <c r="M1306" s="296"/>
      <c r="N1306" s="294"/>
      <c r="O1306" s="294"/>
      <c r="Q1306" s="41"/>
      <c r="R1306" s="131" t="s">
        <v>2340</v>
      </c>
      <c r="S1306" s="17" t="s">
        <v>2159</v>
      </c>
      <c r="T1306" s="150">
        <v>61279720</v>
      </c>
      <c r="U1306" s="150">
        <v>0</v>
      </c>
    </row>
    <row r="1307" spans="2:21" x14ac:dyDescent="0.3">
      <c r="B1307" s="41"/>
      <c r="C1307" s="17"/>
      <c r="D1307" s="294"/>
      <c r="E1307" s="294"/>
      <c r="G1307" s="41"/>
      <c r="H1307" s="17"/>
      <c r="I1307" s="294"/>
      <c r="J1307" s="294"/>
      <c r="L1307" s="41"/>
      <c r="M1307" s="296"/>
      <c r="N1307" s="294"/>
      <c r="O1307" s="294"/>
      <c r="Q1307" s="41"/>
      <c r="R1307" s="131" t="s">
        <v>1898</v>
      </c>
      <c r="S1307" s="17" t="s">
        <v>2218</v>
      </c>
      <c r="T1307" s="150">
        <v>17741973</v>
      </c>
      <c r="U1307" s="150">
        <v>0</v>
      </c>
    </row>
    <row r="1308" spans="2:21" x14ac:dyDescent="0.3">
      <c r="B1308" s="41"/>
      <c r="C1308" s="17"/>
      <c r="D1308" s="294"/>
      <c r="E1308" s="294"/>
      <c r="G1308" s="41"/>
      <c r="H1308" s="17"/>
      <c r="I1308" s="294"/>
      <c r="J1308" s="294"/>
      <c r="L1308" s="41"/>
      <c r="M1308" s="296"/>
      <c r="N1308" s="294"/>
      <c r="O1308" s="294"/>
      <c r="Q1308" s="41"/>
      <c r="R1308" s="131" t="s">
        <v>2199</v>
      </c>
      <c r="S1308" s="17" t="s">
        <v>2200</v>
      </c>
      <c r="T1308" s="150">
        <v>47501580</v>
      </c>
      <c r="U1308" s="150">
        <v>0</v>
      </c>
    </row>
    <row r="1309" spans="2:21" x14ac:dyDescent="0.3">
      <c r="B1309" s="41"/>
      <c r="C1309" s="17"/>
      <c r="D1309" s="294"/>
      <c r="E1309" s="294"/>
      <c r="G1309" s="41"/>
      <c r="H1309" s="17"/>
      <c r="I1309" s="294"/>
      <c r="J1309" s="294"/>
      <c r="L1309" s="41"/>
      <c r="M1309" s="296"/>
      <c r="N1309" s="294"/>
      <c r="O1309" s="294"/>
      <c r="Q1309" s="41"/>
      <c r="R1309" s="131" t="s">
        <v>3313</v>
      </c>
      <c r="S1309" s="17" t="s">
        <v>2211</v>
      </c>
      <c r="T1309" s="150">
        <v>32554322</v>
      </c>
      <c r="U1309" s="150">
        <v>0</v>
      </c>
    </row>
    <row r="1310" spans="2:21" x14ac:dyDescent="0.3">
      <c r="B1310" s="41"/>
      <c r="C1310" s="17"/>
      <c r="D1310" s="294"/>
      <c r="E1310" s="294"/>
      <c r="G1310" s="41"/>
      <c r="H1310" s="17"/>
      <c r="I1310" s="294"/>
      <c r="J1310" s="294"/>
      <c r="L1310" s="41"/>
      <c r="M1310" s="296"/>
      <c r="N1310" s="294"/>
      <c r="O1310" s="294"/>
      <c r="Q1310" s="41"/>
      <c r="R1310" s="131" t="s">
        <v>2209</v>
      </c>
      <c r="S1310" s="17" t="s">
        <v>2210</v>
      </c>
      <c r="T1310" s="150">
        <v>45720624</v>
      </c>
      <c r="U1310" s="150">
        <v>0</v>
      </c>
    </row>
    <row r="1311" spans="2:21" x14ac:dyDescent="0.3">
      <c r="B1311" s="41"/>
      <c r="C1311" s="17"/>
      <c r="D1311" s="294"/>
      <c r="E1311" s="294"/>
      <c r="G1311" s="41"/>
      <c r="H1311" s="17"/>
      <c r="I1311" s="294"/>
      <c r="J1311" s="294"/>
      <c r="L1311" s="41"/>
      <c r="M1311" s="296"/>
      <c r="N1311" s="294"/>
      <c r="O1311" s="294"/>
      <c r="Q1311" s="41"/>
      <c r="R1311" s="131" t="s">
        <v>2165</v>
      </c>
      <c r="S1311" s="17" t="s">
        <v>2166</v>
      </c>
      <c r="T1311" s="150">
        <v>30555300</v>
      </c>
      <c r="U1311" s="150">
        <v>0</v>
      </c>
    </row>
    <row r="1312" spans="2:21" x14ac:dyDescent="0.3">
      <c r="B1312" s="41"/>
      <c r="C1312" s="17"/>
      <c r="D1312" s="294"/>
      <c r="E1312" s="294"/>
      <c r="G1312" s="41"/>
      <c r="H1312" s="17"/>
      <c r="I1312" s="294"/>
      <c r="J1312" s="294"/>
      <c r="L1312" s="41"/>
      <c r="M1312" s="296"/>
      <c r="N1312" s="294"/>
      <c r="O1312" s="294"/>
      <c r="Q1312" s="41"/>
      <c r="R1312" s="131" t="s">
        <v>2168</v>
      </c>
      <c r="S1312" s="17" t="s">
        <v>2169</v>
      </c>
      <c r="T1312" s="150">
        <v>11742130</v>
      </c>
      <c r="U1312" s="150">
        <v>0</v>
      </c>
    </row>
    <row r="1313" spans="1:21" x14ac:dyDescent="0.3">
      <c r="B1313" s="41"/>
      <c r="C1313" s="17"/>
      <c r="D1313" s="294"/>
      <c r="E1313" s="294"/>
      <c r="G1313" s="41"/>
      <c r="H1313" s="17"/>
      <c r="I1313" s="294"/>
      <c r="J1313" s="294"/>
      <c r="L1313" s="41"/>
      <c r="M1313" s="296"/>
      <c r="N1313" s="294"/>
      <c r="O1313" s="294"/>
      <c r="Q1313" s="41"/>
      <c r="R1313" s="131" t="s">
        <v>2223</v>
      </c>
      <c r="S1313" s="17" t="s">
        <v>2224</v>
      </c>
      <c r="T1313" s="150">
        <v>16111860</v>
      </c>
      <c r="U1313" s="150">
        <v>0</v>
      </c>
    </row>
    <row r="1314" spans="1:21" x14ac:dyDescent="0.3">
      <c r="B1314" s="41"/>
      <c r="C1314" s="17"/>
      <c r="D1314" s="294"/>
      <c r="E1314" s="294"/>
      <c r="G1314" s="41"/>
      <c r="H1314" s="17"/>
      <c r="I1314" s="294"/>
      <c r="J1314" s="294"/>
      <c r="L1314" s="41"/>
      <c r="M1314" s="296"/>
      <c r="N1314" s="294"/>
      <c r="O1314" s="294"/>
      <c r="Q1314" s="41"/>
      <c r="R1314" s="131" t="s">
        <v>2219</v>
      </c>
      <c r="S1314" s="17" t="s">
        <v>2220</v>
      </c>
      <c r="T1314" s="150">
        <v>9175532</v>
      </c>
      <c r="U1314" s="150">
        <v>0</v>
      </c>
    </row>
    <row r="1315" spans="1:21" x14ac:dyDescent="0.3">
      <c r="B1315" s="41"/>
      <c r="C1315" s="17"/>
      <c r="D1315" s="294"/>
      <c r="E1315" s="294"/>
      <c r="G1315" s="41"/>
      <c r="H1315" s="17"/>
      <c r="I1315" s="294"/>
      <c r="J1315" s="294"/>
      <c r="L1315" s="41"/>
      <c r="M1315" s="296"/>
      <c r="N1315" s="294"/>
      <c r="O1315" s="294"/>
      <c r="Q1315" s="203">
        <v>40020014</v>
      </c>
      <c r="R1315" s="204"/>
      <c r="S1315" s="205" t="s">
        <v>1046</v>
      </c>
      <c r="T1315" s="206">
        <v>0</v>
      </c>
      <c r="U1315" s="206">
        <v>0</v>
      </c>
    </row>
    <row r="1316" spans="1:21" x14ac:dyDescent="0.3">
      <c r="B1316" s="42"/>
      <c r="C1316" s="18"/>
      <c r="D1316" s="295"/>
      <c r="E1316" s="295"/>
      <c r="G1316" s="42"/>
      <c r="H1316" s="18"/>
      <c r="I1316" s="295"/>
      <c r="J1316" s="295"/>
      <c r="L1316" s="42"/>
      <c r="M1316" s="297"/>
      <c r="N1316" s="295"/>
      <c r="O1316" s="295"/>
      <c r="Q1316" s="42"/>
      <c r="R1316" s="132"/>
      <c r="S1316" s="18"/>
      <c r="T1316" s="151"/>
      <c r="U1316" s="151"/>
    </row>
    <row r="1318" spans="1:21" s="11" customFormat="1" x14ac:dyDescent="0.3">
      <c r="A1318" s="12">
        <v>5</v>
      </c>
      <c r="B1318" s="306">
        <v>5</v>
      </c>
      <c r="C1318" s="305" t="s">
        <v>2129</v>
      </c>
      <c r="D1318" s="304">
        <v>0</v>
      </c>
      <c r="E1318" s="329">
        <f>J1318</f>
        <v>40939216.359999999</v>
      </c>
      <c r="F1318" s="12">
        <v>50</v>
      </c>
      <c r="G1318" s="211">
        <v>50</v>
      </c>
      <c r="H1318" s="305" t="s">
        <v>2130</v>
      </c>
      <c r="I1318" s="304">
        <v>0</v>
      </c>
      <c r="J1318" s="304">
        <f>O1318</f>
        <v>40939216.359999999</v>
      </c>
      <c r="K1318" s="12">
        <v>5001</v>
      </c>
      <c r="L1318" s="211">
        <v>5001</v>
      </c>
      <c r="M1318" s="213" t="s">
        <v>2130</v>
      </c>
      <c r="N1318" s="304">
        <v>0</v>
      </c>
      <c r="O1318" s="304">
        <f>(U1318+U1320+U1322+U1324+U1325+U1326+U1327+U1328+U1329+U1330)-(T1318+T1320+T1322+T1324+T1325+T1326+T1327+T1328+T1329+T1330)</f>
        <v>40939216.359999999</v>
      </c>
      <c r="P1318" s="12"/>
      <c r="Q1318" s="211">
        <v>50010001</v>
      </c>
      <c r="R1318" s="212"/>
      <c r="S1318" s="213" t="s">
        <v>1047</v>
      </c>
      <c r="T1318" s="214">
        <v>0</v>
      </c>
      <c r="U1318" s="215">
        <f>SUM(U1319)-SUM(T1319)</f>
        <v>39523572.359999999</v>
      </c>
    </row>
    <row r="1319" spans="1:21" s="11" customFormat="1" x14ac:dyDescent="0.3">
      <c r="A1319" s="12"/>
      <c r="B1319" s="19"/>
      <c r="C1319" s="43"/>
      <c r="D1319" s="302"/>
      <c r="E1319" s="264"/>
      <c r="F1319" s="12"/>
      <c r="G1319" s="45"/>
      <c r="H1319" s="20"/>
      <c r="I1319" s="264"/>
      <c r="J1319" s="264"/>
      <c r="K1319" s="12"/>
      <c r="L1319" s="45"/>
      <c r="M1319" s="20"/>
      <c r="N1319" s="302"/>
      <c r="O1319" s="328"/>
      <c r="P1319" s="12"/>
      <c r="Q1319" s="45"/>
      <c r="R1319" s="133" t="s">
        <v>2138</v>
      </c>
      <c r="S1319" s="20" t="s">
        <v>7</v>
      </c>
      <c r="T1319" s="152">
        <v>0</v>
      </c>
      <c r="U1319" s="152">
        <v>39523572.359999999</v>
      </c>
    </row>
    <row r="1320" spans="1:21" s="11" customFormat="1" x14ac:dyDescent="0.3">
      <c r="A1320" s="12"/>
      <c r="B1320" s="19"/>
      <c r="C1320" s="43"/>
      <c r="D1320" s="302"/>
      <c r="E1320" s="330"/>
      <c r="F1320" s="12"/>
      <c r="G1320" s="45"/>
      <c r="H1320" s="43"/>
      <c r="I1320" s="302"/>
      <c r="J1320" s="302"/>
      <c r="K1320" s="12"/>
      <c r="L1320" s="45"/>
      <c r="M1320" s="20"/>
      <c r="N1320" s="302"/>
      <c r="O1320" s="302"/>
      <c r="P1320" s="12"/>
      <c r="Q1320" s="216">
        <v>50010002</v>
      </c>
      <c r="R1320" s="217"/>
      <c r="S1320" s="218" t="s">
        <v>2126</v>
      </c>
      <c r="T1320" s="219">
        <f>SUM(T1321)-SUM(U1321)</f>
        <v>350313</v>
      </c>
      <c r="U1320" s="219">
        <v>0</v>
      </c>
    </row>
    <row r="1321" spans="1:21" s="11" customFormat="1" x14ac:dyDescent="0.3">
      <c r="A1321" s="12"/>
      <c r="B1321" s="19"/>
      <c r="C1321" s="43"/>
      <c r="D1321" s="302"/>
      <c r="E1321" s="264"/>
      <c r="F1321" s="12"/>
      <c r="G1321" s="45"/>
      <c r="H1321" s="20"/>
      <c r="I1321" s="264"/>
      <c r="J1321" s="264"/>
      <c r="K1321" s="12"/>
      <c r="L1321" s="45"/>
      <c r="M1321" s="20"/>
      <c r="N1321" s="302"/>
      <c r="O1321" s="328"/>
      <c r="P1321" s="12"/>
      <c r="Q1321" s="45"/>
      <c r="R1321" s="133" t="s">
        <v>2138</v>
      </c>
      <c r="S1321" s="20" t="s">
        <v>7</v>
      </c>
      <c r="T1321" s="152">
        <v>350313</v>
      </c>
      <c r="U1321" s="152">
        <v>0</v>
      </c>
    </row>
    <row r="1322" spans="1:21" s="11" customFormat="1" x14ac:dyDescent="0.3">
      <c r="A1322" s="12"/>
      <c r="B1322" s="19"/>
      <c r="C1322" s="43"/>
      <c r="D1322" s="302"/>
      <c r="E1322" s="330"/>
      <c r="F1322" s="12"/>
      <c r="G1322" s="45"/>
      <c r="H1322" s="43"/>
      <c r="I1322" s="302"/>
      <c r="J1322" s="302"/>
      <c r="K1322" s="12"/>
      <c r="L1322" s="45"/>
      <c r="M1322" s="20"/>
      <c r="N1322" s="302"/>
      <c r="O1322" s="302"/>
      <c r="P1322" s="12"/>
      <c r="Q1322" s="216">
        <v>50010003</v>
      </c>
      <c r="R1322" s="217"/>
      <c r="S1322" s="218" t="s">
        <v>1048</v>
      </c>
      <c r="T1322" s="220">
        <v>0</v>
      </c>
      <c r="U1322" s="219">
        <f>SUM(U1323:U1324)-SUM(T1323:T1324)</f>
        <v>1765957</v>
      </c>
    </row>
    <row r="1323" spans="1:21" s="11" customFormat="1" x14ac:dyDescent="0.3">
      <c r="A1323" s="12"/>
      <c r="B1323" s="19"/>
      <c r="C1323" s="43"/>
      <c r="D1323" s="302"/>
      <c r="E1323" s="264"/>
      <c r="F1323" s="12"/>
      <c r="G1323" s="45"/>
      <c r="H1323" s="20"/>
      <c r="I1323" s="264"/>
      <c r="J1323" s="264"/>
      <c r="K1323" s="12"/>
      <c r="L1323" s="45"/>
      <c r="M1323" s="20"/>
      <c r="N1323" s="302"/>
      <c r="O1323" s="328"/>
      <c r="P1323" s="12"/>
      <c r="Q1323" s="45"/>
      <c r="R1323" s="133" t="s">
        <v>2138</v>
      </c>
      <c r="S1323" s="20" t="s">
        <v>7</v>
      </c>
      <c r="T1323" s="221">
        <v>0</v>
      </c>
      <c r="U1323" s="152">
        <v>1765957</v>
      </c>
    </row>
    <row r="1324" spans="1:21" s="11" customFormat="1" x14ac:dyDescent="0.3">
      <c r="A1324" s="12"/>
      <c r="B1324" s="19"/>
      <c r="C1324" s="43"/>
      <c r="D1324" s="302"/>
      <c r="E1324" s="330"/>
      <c r="F1324" s="12"/>
      <c r="G1324" s="45"/>
      <c r="H1324" s="43"/>
      <c r="I1324" s="302"/>
      <c r="J1324" s="302"/>
      <c r="K1324" s="12"/>
      <c r="L1324" s="45"/>
      <c r="M1324" s="20"/>
      <c r="N1324" s="302"/>
      <c r="O1324" s="302"/>
      <c r="P1324" s="12"/>
      <c r="Q1324" s="216">
        <v>50010004</v>
      </c>
      <c r="R1324" s="217"/>
      <c r="S1324" s="218" t="s">
        <v>2114</v>
      </c>
      <c r="T1324" s="219">
        <v>0</v>
      </c>
      <c r="U1324" s="219">
        <v>0</v>
      </c>
    </row>
    <row r="1325" spans="1:21" s="11" customFormat="1" x14ac:dyDescent="0.3">
      <c r="A1325" s="12"/>
      <c r="B1325" s="19"/>
      <c r="C1325" s="43"/>
      <c r="D1325" s="302"/>
      <c r="E1325" s="330"/>
      <c r="F1325" s="12"/>
      <c r="G1325" s="45"/>
      <c r="H1325" s="43"/>
      <c r="I1325" s="302"/>
      <c r="J1325" s="302"/>
      <c r="K1325" s="12"/>
      <c r="L1325" s="45"/>
      <c r="M1325" s="20"/>
      <c r="N1325" s="302"/>
      <c r="O1325" s="302"/>
      <c r="P1325" s="12"/>
      <c r="Q1325" s="216">
        <v>50010005</v>
      </c>
      <c r="R1325" s="217"/>
      <c r="S1325" s="218" t="s">
        <v>2115</v>
      </c>
      <c r="T1325" s="219">
        <v>0</v>
      </c>
      <c r="U1325" s="219">
        <v>0</v>
      </c>
    </row>
    <row r="1326" spans="1:21" s="11" customFormat="1" x14ac:dyDescent="0.3">
      <c r="A1326" s="12"/>
      <c r="B1326" s="19"/>
      <c r="C1326" s="43"/>
      <c r="D1326" s="302"/>
      <c r="E1326" s="330"/>
      <c r="F1326" s="12"/>
      <c r="G1326" s="45"/>
      <c r="H1326" s="43"/>
      <c r="I1326" s="302"/>
      <c r="J1326" s="302"/>
      <c r="K1326" s="12"/>
      <c r="L1326" s="45"/>
      <c r="M1326" s="20"/>
      <c r="N1326" s="302"/>
      <c r="O1326" s="302"/>
      <c r="P1326" s="12"/>
      <c r="Q1326" s="216">
        <v>50010006</v>
      </c>
      <c r="R1326" s="217"/>
      <c r="S1326" s="218" t="s">
        <v>1049</v>
      </c>
      <c r="T1326" s="219">
        <v>0</v>
      </c>
      <c r="U1326" s="219">
        <v>0</v>
      </c>
    </row>
    <row r="1327" spans="1:21" s="11" customFormat="1" x14ac:dyDescent="0.3">
      <c r="A1327" s="12"/>
      <c r="B1327" s="19"/>
      <c r="C1327" s="43"/>
      <c r="D1327" s="302"/>
      <c r="E1327" s="330"/>
      <c r="F1327" s="12"/>
      <c r="G1327" s="45"/>
      <c r="H1327" s="43"/>
      <c r="I1327" s="302"/>
      <c r="J1327" s="302"/>
      <c r="K1327" s="12"/>
      <c r="L1327" s="45"/>
      <c r="M1327" s="20"/>
      <c r="N1327" s="302"/>
      <c r="O1327" s="302"/>
      <c r="P1327" s="12"/>
      <c r="Q1327" s="216">
        <v>50010007</v>
      </c>
      <c r="R1327" s="217"/>
      <c r="S1327" s="218" t="s">
        <v>2116</v>
      </c>
      <c r="T1327" s="219">
        <v>0</v>
      </c>
      <c r="U1327" s="219">
        <v>0</v>
      </c>
    </row>
    <row r="1328" spans="1:21" s="11" customFormat="1" x14ac:dyDescent="0.3">
      <c r="A1328" s="12"/>
      <c r="B1328" s="19"/>
      <c r="C1328" s="43"/>
      <c r="D1328" s="302"/>
      <c r="E1328" s="330"/>
      <c r="F1328" s="12"/>
      <c r="G1328" s="45"/>
      <c r="H1328" s="43"/>
      <c r="I1328" s="302"/>
      <c r="J1328" s="302"/>
      <c r="K1328" s="12"/>
      <c r="L1328" s="45"/>
      <c r="M1328" s="20"/>
      <c r="N1328" s="302"/>
      <c r="O1328" s="302"/>
      <c r="P1328" s="12"/>
      <c r="Q1328" s="216">
        <v>50010008</v>
      </c>
      <c r="R1328" s="217"/>
      <c r="S1328" s="218" t="s">
        <v>2117</v>
      </c>
      <c r="T1328" s="219">
        <v>0</v>
      </c>
      <c r="U1328" s="219">
        <v>0</v>
      </c>
    </row>
    <row r="1329" spans="1:21" s="11" customFormat="1" x14ac:dyDescent="0.3">
      <c r="A1329" s="12"/>
      <c r="B1329" s="19"/>
      <c r="C1329" s="43"/>
      <c r="D1329" s="302"/>
      <c r="E1329" s="330"/>
      <c r="F1329" s="12"/>
      <c r="G1329" s="45"/>
      <c r="H1329" s="43"/>
      <c r="I1329" s="302"/>
      <c r="J1329" s="302"/>
      <c r="K1329" s="12"/>
      <c r="L1329" s="45"/>
      <c r="M1329" s="20"/>
      <c r="N1329" s="302"/>
      <c r="O1329" s="302"/>
      <c r="P1329" s="12"/>
      <c r="Q1329" s="216">
        <v>50010009</v>
      </c>
      <c r="R1329" s="217"/>
      <c r="S1329" s="218" t="s">
        <v>1050</v>
      </c>
      <c r="T1329" s="219">
        <v>0</v>
      </c>
      <c r="U1329" s="219">
        <v>0</v>
      </c>
    </row>
    <row r="1330" spans="1:21" s="11" customFormat="1" x14ac:dyDescent="0.3">
      <c r="A1330" s="12"/>
      <c r="B1330" s="21"/>
      <c r="C1330" s="44"/>
      <c r="D1330" s="303"/>
      <c r="E1330" s="331"/>
      <c r="F1330" s="12"/>
      <c r="G1330" s="46"/>
      <c r="H1330" s="44"/>
      <c r="I1330" s="303"/>
      <c r="J1330" s="303"/>
      <c r="K1330" s="12"/>
      <c r="L1330" s="46"/>
      <c r="M1330" s="22"/>
      <c r="N1330" s="303"/>
      <c r="O1330" s="303"/>
      <c r="P1330" s="12"/>
      <c r="Q1330" s="222">
        <v>50010010</v>
      </c>
      <c r="R1330" s="223"/>
      <c r="S1330" s="224" t="s">
        <v>2118</v>
      </c>
      <c r="T1330" s="225">
        <v>0</v>
      </c>
      <c r="U1330" s="225">
        <v>0</v>
      </c>
    </row>
    <row r="1332" spans="1:21" x14ac:dyDescent="0.3">
      <c r="A1332">
        <v>6</v>
      </c>
      <c r="B1332" s="310">
        <v>6</v>
      </c>
      <c r="C1332" s="311" t="s">
        <v>2063</v>
      </c>
      <c r="D1332" s="325">
        <f>I1332</f>
        <v>2120724265</v>
      </c>
      <c r="E1332" s="325">
        <v>0</v>
      </c>
      <c r="F1332">
        <v>60</v>
      </c>
      <c r="G1332" s="226">
        <v>60</v>
      </c>
      <c r="H1332" s="326" t="s">
        <v>876</v>
      </c>
      <c r="I1332" s="325">
        <f>(N1332+N1341+N1360+N1369)-(O1332+O1341+O1360+O1369)</f>
        <v>2120724265</v>
      </c>
      <c r="J1332" s="325">
        <v>0</v>
      </c>
      <c r="K1332">
        <v>6001</v>
      </c>
      <c r="L1332" s="226">
        <v>6001</v>
      </c>
      <c r="M1332" s="228" t="s">
        <v>903</v>
      </c>
      <c r="N1332" s="325">
        <f>(T1332+T1333+T1339)-(U1332+U1333+U1339)</f>
        <v>1149740769</v>
      </c>
      <c r="O1332" s="325">
        <v>0</v>
      </c>
      <c r="Q1332" s="226">
        <v>60010001</v>
      </c>
      <c r="R1332" s="227"/>
      <c r="S1332" s="228" t="s">
        <v>1051</v>
      </c>
      <c r="T1332" s="229">
        <v>0</v>
      </c>
      <c r="U1332" s="229">
        <v>0</v>
      </c>
    </row>
    <row r="1333" spans="1:21" x14ac:dyDescent="0.3">
      <c r="B1333" s="5"/>
      <c r="C1333" s="30"/>
      <c r="D1333" s="307"/>
      <c r="E1333" s="307"/>
      <c r="G1333" s="32"/>
      <c r="H1333" s="263"/>
      <c r="I1333" s="307"/>
      <c r="J1333" s="307"/>
      <c r="L1333" s="32"/>
      <c r="M1333" s="2"/>
      <c r="N1333" s="307"/>
      <c r="O1333" s="307"/>
      <c r="Q1333" s="230">
        <v>60010002</v>
      </c>
      <c r="R1333" s="231"/>
      <c r="S1333" s="232" t="s">
        <v>1052</v>
      </c>
      <c r="T1333" s="233">
        <f>SUM(T1334:T1338)-SUM(U1334:U1338)</f>
        <v>1149740769</v>
      </c>
      <c r="U1333" s="233">
        <v>0</v>
      </c>
    </row>
    <row r="1334" spans="1:21" x14ac:dyDescent="0.3">
      <c r="B1334" s="5"/>
      <c r="C1334" s="30"/>
      <c r="D1334" s="307"/>
      <c r="E1334" s="323"/>
      <c r="G1334" s="32"/>
      <c r="H1334" s="263"/>
      <c r="I1334" s="307"/>
      <c r="J1334" s="307"/>
      <c r="L1334" s="32"/>
      <c r="M1334" s="2"/>
      <c r="N1334" s="307"/>
      <c r="O1334" s="307"/>
      <c r="Q1334" s="32"/>
      <c r="R1334" s="134" t="s">
        <v>2138</v>
      </c>
      <c r="S1334" s="2" t="s">
        <v>7</v>
      </c>
      <c r="T1334" s="153">
        <v>282079985</v>
      </c>
      <c r="U1334" s="153">
        <v>0</v>
      </c>
    </row>
    <row r="1335" spans="1:21" x14ac:dyDescent="0.3">
      <c r="B1335" s="5"/>
      <c r="C1335" s="30"/>
      <c r="D1335" s="307"/>
      <c r="E1335" s="323"/>
      <c r="G1335" s="32"/>
      <c r="H1335" s="263"/>
      <c r="I1335" s="307"/>
      <c r="J1335" s="307"/>
      <c r="L1335" s="32"/>
      <c r="M1335" s="2"/>
      <c r="N1335" s="307"/>
      <c r="O1335" s="307"/>
      <c r="Q1335" s="32"/>
      <c r="R1335" s="134" t="s">
        <v>1178</v>
      </c>
      <c r="S1335" s="2" t="s">
        <v>2143</v>
      </c>
      <c r="T1335" s="153">
        <v>386000211</v>
      </c>
      <c r="U1335" s="153">
        <v>0</v>
      </c>
    </row>
    <row r="1336" spans="1:21" x14ac:dyDescent="0.3">
      <c r="B1336" s="5"/>
      <c r="C1336" s="30"/>
      <c r="D1336" s="307"/>
      <c r="E1336" s="323"/>
      <c r="G1336" s="32"/>
      <c r="H1336" s="263"/>
      <c r="I1336" s="307"/>
      <c r="J1336" s="307"/>
      <c r="L1336" s="32"/>
      <c r="M1336" s="2"/>
      <c r="N1336" s="307"/>
      <c r="O1336" s="307"/>
      <c r="Q1336" s="32"/>
      <c r="R1336" s="134" t="s">
        <v>1179</v>
      </c>
      <c r="S1336" s="2" t="s">
        <v>2148</v>
      </c>
      <c r="T1336" s="153">
        <v>150374067</v>
      </c>
      <c r="U1336" s="153">
        <v>0</v>
      </c>
    </row>
    <row r="1337" spans="1:21" x14ac:dyDescent="0.3">
      <c r="B1337" s="5"/>
      <c r="C1337" s="30"/>
      <c r="D1337" s="307"/>
      <c r="E1337" s="323"/>
      <c r="G1337" s="32"/>
      <c r="H1337" s="263"/>
      <c r="I1337" s="307"/>
      <c r="J1337" s="307"/>
      <c r="L1337" s="32"/>
      <c r="M1337" s="2"/>
      <c r="N1337" s="307"/>
      <c r="O1337" s="307"/>
      <c r="Q1337" s="32"/>
      <c r="R1337" s="134" t="s">
        <v>1180</v>
      </c>
      <c r="S1337" s="2" t="s">
        <v>2149</v>
      </c>
      <c r="T1337" s="153">
        <v>127792673</v>
      </c>
      <c r="U1337" s="153">
        <v>0</v>
      </c>
    </row>
    <row r="1338" spans="1:21" x14ac:dyDescent="0.3">
      <c r="B1338" s="5"/>
      <c r="C1338" s="30"/>
      <c r="D1338" s="307"/>
      <c r="E1338" s="323"/>
      <c r="G1338" s="32"/>
      <c r="H1338" s="263"/>
      <c r="I1338" s="307"/>
      <c r="J1338" s="307"/>
      <c r="L1338" s="32"/>
      <c r="M1338" s="2"/>
      <c r="N1338" s="307"/>
      <c r="O1338" s="307"/>
      <c r="Q1338" s="32"/>
      <c r="R1338" s="134" t="s">
        <v>2152</v>
      </c>
      <c r="S1338" s="2" t="s">
        <v>2153</v>
      </c>
      <c r="T1338" s="153">
        <v>203493833</v>
      </c>
      <c r="U1338" s="153">
        <v>0</v>
      </c>
    </row>
    <row r="1339" spans="1:21" x14ac:dyDescent="0.3">
      <c r="B1339" s="5"/>
      <c r="C1339" s="30"/>
      <c r="D1339" s="307"/>
      <c r="E1339" s="307"/>
      <c r="G1339" s="32"/>
      <c r="H1339" s="263"/>
      <c r="I1339" s="307"/>
      <c r="J1339" s="307"/>
      <c r="L1339" s="32"/>
      <c r="M1339" s="2"/>
      <c r="N1339" s="307"/>
      <c r="O1339" s="307"/>
      <c r="Q1339" s="230">
        <v>60010003</v>
      </c>
      <c r="R1339" s="231"/>
      <c r="S1339" s="232" t="s">
        <v>1053</v>
      </c>
      <c r="T1339" s="233">
        <v>0</v>
      </c>
      <c r="U1339" s="153">
        <v>0</v>
      </c>
    </row>
    <row r="1340" spans="1:21" x14ac:dyDescent="0.3">
      <c r="B1340" s="5"/>
      <c r="C1340" s="30"/>
      <c r="D1340" s="307"/>
      <c r="E1340" s="323"/>
      <c r="G1340" s="32"/>
      <c r="H1340" s="263"/>
      <c r="I1340" s="307"/>
      <c r="J1340" s="307"/>
      <c r="L1340" s="32"/>
      <c r="M1340" s="2"/>
      <c r="N1340" s="307"/>
      <c r="O1340" s="307"/>
      <c r="Q1340" s="32"/>
      <c r="R1340" s="134"/>
      <c r="S1340" s="2"/>
      <c r="T1340" s="153"/>
      <c r="U1340" s="153"/>
    </row>
    <row r="1341" spans="1:21" x14ac:dyDescent="0.3">
      <c r="B1341" s="5"/>
      <c r="C1341" s="30"/>
      <c r="D1341" s="307"/>
      <c r="E1341" s="307"/>
      <c r="G1341" s="32"/>
      <c r="H1341" s="263"/>
      <c r="I1341" s="307"/>
      <c r="J1341" s="307"/>
      <c r="K1341">
        <v>6002</v>
      </c>
      <c r="L1341" s="230">
        <v>6002</v>
      </c>
      <c r="M1341" s="232" t="s">
        <v>904</v>
      </c>
      <c r="N1341" s="309">
        <f>(T1341+T1342+T1357)-(U1341+U1342+U1357)</f>
        <v>2148445799</v>
      </c>
      <c r="O1341" s="309">
        <v>0</v>
      </c>
      <c r="Q1341" s="230">
        <v>60020001</v>
      </c>
      <c r="R1341" s="231"/>
      <c r="S1341" s="232" t="s">
        <v>1054</v>
      </c>
      <c r="T1341" s="153">
        <v>0</v>
      </c>
      <c r="U1341" s="153">
        <v>0</v>
      </c>
    </row>
    <row r="1342" spans="1:21" x14ac:dyDescent="0.3">
      <c r="B1342" s="5"/>
      <c r="C1342" s="30"/>
      <c r="D1342" s="307"/>
      <c r="E1342" s="307"/>
      <c r="G1342" s="32"/>
      <c r="H1342" s="263"/>
      <c r="I1342" s="307"/>
      <c r="J1342" s="307"/>
      <c r="L1342" s="32"/>
      <c r="M1342" s="2"/>
      <c r="N1342" s="307"/>
      <c r="O1342" s="307"/>
      <c r="Q1342" s="230">
        <v>60020002</v>
      </c>
      <c r="R1342" s="231"/>
      <c r="S1342" s="232" t="s">
        <v>1055</v>
      </c>
      <c r="T1342" s="233">
        <f>SUM(T1343:T1356)-SUM(U1343:U1356)</f>
        <v>2148344743</v>
      </c>
      <c r="U1342" s="233">
        <v>0</v>
      </c>
    </row>
    <row r="1343" spans="1:21" x14ac:dyDescent="0.3">
      <c r="B1343" s="5"/>
      <c r="C1343" s="30"/>
      <c r="D1343" s="307"/>
      <c r="E1343" s="323"/>
      <c r="G1343" s="32"/>
      <c r="H1343" s="263"/>
      <c r="I1343" s="307"/>
      <c r="J1343" s="307"/>
      <c r="L1343" s="32"/>
      <c r="M1343" s="2"/>
      <c r="N1343" s="307"/>
      <c r="O1343" s="307"/>
      <c r="Q1343" s="32"/>
      <c r="R1343" s="134" t="s">
        <v>1878</v>
      </c>
      <c r="S1343" s="2" t="s">
        <v>859</v>
      </c>
      <c r="T1343" s="153">
        <v>733117361</v>
      </c>
      <c r="U1343" s="153">
        <v>0</v>
      </c>
    </row>
    <row r="1344" spans="1:21" x14ac:dyDescent="0.3">
      <c r="B1344" s="5"/>
      <c r="C1344" s="30"/>
      <c r="D1344" s="307"/>
      <c r="E1344" s="323"/>
      <c r="G1344" s="32"/>
      <c r="H1344" s="263"/>
      <c r="I1344" s="307"/>
      <c r="J1344" s="307"/>
      <c r="L1344" s="32"/>
      <c r="M1344" s="2"/>
      <c r="N1344" s="307"/>
      <c r="O1344" s="307"/>
      <c r="Q1344" s="32"/>
      <c r="R1344" s="134" t="s">
        <v>1879</v>
      </c>
      <c r="S1344" s="2" t="s">
        <v>860</v>
      </c>
      <c r="T1344" s="153">
        <v>247743110</v>
      </c>
      <c r="U1344" s="153">
        <v>0</v>
      </c>
    </row>
    <row r="1345" spans="2:21" x14ac:dyDescent="0.3">
      <c r="B1345" s="5"/>
      <c r="C1345" s="30"/>
      <c r="D1345" s="307"/>
      <c r="E1345" s="323"/>
      <c r="G1345" s="32"/>
      <c r="H1345" s="263"/>
      <c r="I1345" s="307"/>
      <c r="J1345" s="307"/>
      <c r="L1345" s="32"/>
      <c r="M1345" s="2"/>
      <c r="N1345" s="307"/>
      <c r="O1345" s="307"/>
      <c r="Q1345" s="32"/>
      <c r="R1345" s="134" t="s">
        <v>1879</v>
      </c>
      <c r="S1345" s="2" t="s">
        <v>860</v>
      </c>
      <c r="T1345" s="153">
        <v>122467643</v>
      </c>
      <c r="U1345" s="153">
        <v>0</v>
      </c>
    </row>
    <row r="1346" spans="2:21" x14ac:dyDescent="0.3">
      <c r="B1346" s="5"/>
      <c r="C1346" s="30"/>
      <c r="D1346" s="307"/>
      <c r="E1346" s="323"/>
      <c r="G1346" s="32"/>
      <c r="H1346" s="263"/>
      <c r="I1346" s="307"/>
      <c r="J1346" s="307"/>
      <c r="L1346" s="32"/>
      <c r="M1346" s="2"/>
      <c r="N1346" s="307"/>
      <c r="O1346" s="307"/>
      <c r="Q1346" s="32"/>
      <c r="R1346" s="134" t="s">
        <v>1880</v>
      </c>
      <c r="S1346" s="2" t="s">
        <v>864</v>
      </c>
      <c r="T1346" s="153">
        <v>40058340</v>
      </c>
      <c r="U1346" s="153">
        <v>0</v>
      </c>
    </row>
    <row r="1347" spans="2:21" x14ac:dyDescent="0.3">
      <c r="B1347" s="5"/>
      <c r="C1347" s="30"/>
      <c r="D1347" s="307"/>
      <c r="E1347" s="323"/>
      <c r="G1347" s="32"/>
      <c r="H1347" s="263"/>
      <c r="I1347" s="307"/>
      <c r="J1347" s="307"/>
      <c r="L1347" s="32"/>
      <c r="M1347" s="2"/>
      <c r="N1347" s="307"/>
      <c r="O1347" s="307"/>
      <c r="Q1347" s="32"/>
      <c r="R1347" s="134" t="s">
        <v>1882</v>
      </c>
      <c r="S1347" s="2" t="s">
        <v>866</v>
      </c>
      <c r="T1347" s="153">
        <v>74702870</v>
      </c>
      <c r="U1347" s="153">
        <v>0</v>
      </c>
    </row>
    <row r="1348" spans="2:21" x14ac:dyDescent="0.3">
      <c r="B1348" s="5"/>
      <c r="C1348" s="30"/>
      <c r="D1348" s="307"/>
      <c r="E1348" s="323"/>
      <c r="G1348" s="32"/>
      <c r="H1348" s="263"/>
      <c r="I1348" s="307"/>
      <c r="J1348" s="307"/>
      <c r="L1348" s="32"/>
      <c r="M1348" s="2"/>
      <c r="N1348" s="307"/>
      <c r="O1348" s="307"/>
      <c r="Q1348" s="32"/>
      <c r="R1348" s="134" t="s">
        <v>1883</v>
      </c>
      <c r="S1348" s="2" t="s">
        <v>861</v>
      </c>
      <c r="T1348" s="153">
        <v>162013813</v>
      </c>
      <c r="U1348" s="153">
        <v>0</v>
      </c>
    </row>
    <row r="1349" spans="2:21" x14ac:dyDescent="0.3">
      <c r="B1349" s="5"/>
      <c r="C1349" s="30"/>
      <c r="D1349" s="307"/>
      <c r="E1349" s="323"/>
      <c r="G1349" s="32"/>
      <c r="H1349" s="263"/>
      <c r="I1349" s="307"/>
      <c r="J1349" s="307"/>
      <c r="L1349" s="32"/>
      <c r="M1349" s="2"/>
      <c r="N1349" s="307"/>
      <c r="O1349" s="307"/>
      <c r="Q1349" s="32"/>
      <c r="R1349" s="134" t="s">
        <v>1884</v>
      </c>
      <c r="S1349" s="2" t="s">
        <v>867</v>
      </c>
      <c r="T1349" s="153">
        <v>374105691</v>
      </c>
      <c r="U1349" s="153">
        <v>0</v>
      </c>
    </row>
    <row r="1350" spans="2:21" x14ac:dyDescent="0.3">
      <c r="B1350" s="5"/>
      <c r="C1350" s="30"/>
      <c r="D1350" s="307"/>
      <c r="E1350" s="323"/>
      <c r="G1350" s="32"/>
      <c r="H1350" s="263"/>
      <c r="I1350" s="307"/>
      <c r="J1350" s="307"/>
      <c r="L1350" s="32"/>
      <c r="M1350" s="2"/>
      <c r="N1350" s="307"/>
      <c r="O1350" s="307"/>
      <c r="Q1350" s="32"/>
      <c r="R1350" s="134" t="s">
        <v>1885</v>
      </c>
      <c r="S1350" s="2" t="s">
        <v>18</v>
      </c>
      <c r="T1350" s="153">
        <v>185581090</v>
      </c>
      <c r="U1350" s="153">
        <v>0</v>
      </c>
    </row>
    <row r="1351" spans="2:21" x14ac:dyDescent="0.3">
      <c r="B1351" s="5"/>
      <c r="C1351" s="30"/>
      <c r="D1351" s="307"/>
      <c r="E1351" s="323"/>
      <c r="G1351" s="32"/>
      <c r="H1351" s="263"/>
      <c r="I1351" s="307"/>
      <c r="J1351" s="307"/>
      <c r="L1351" s="32"/>
      <c r="M1351" s="2"/>
      <c r="N1351" s="307"/>
      <c r="O1351" s="307"/>
      <c r="Q1351" s="32"/>
      <c r="R1351" s="134" t="s">
        <v>1886</v>
      </c>
      <c r="S1351" s="2" t="s">
        <v>868</v>
      </c>
      <c r="T1351" s="153">
        <v>166768596</v>
      </c>
      <c r="U1351" s="153">
        <v>0</v>
      </c>
    </row>
    <row r="1352" spans="2:21" x14ac:dyDescent="0.3">
      <c r="B1352" s="5"/>
      <c r="C1352" s="30"/>
      <c r="D1352" s="307"/>
      <c r="E1352" s="323"/>
      <c r="G1352" s="32"/>
      <c r="H1352" s="263"/>
      <c r="I1352" s="307"/>
      <c r="J1352" s="307"/>
      <c r="L1352" s="32"/>
      <c r="M1352" s="2"/>
      <c r="N1352" s="307"/>
      <c r="O1352" s="307"/>
      <c r="Q1352" s="32"/>
      <c r="R1352" s="134" t="s">
        <v>1887</v>
      </c>
      <c r="S1352" s="2" t="s">
        <v>54</v>
      </c>
      <c r="T1352" s="153">
        <v>8379718</v>
      </c>
      <c r="U1352" s="153">
        <v>0</v>
      </c>
    </row>
    <row r="1353" spans="2:21" x14ac:dyDescent="0.3">
      <c r="B1353" s="5"/>
      <c r="C1353" s="30"/>
      <c r="D1353" s="307"/>
      <c r="E1353" s="323"/>
      <c r="G1353" s="32"/>
      <c r="H1353" s="263"/>
      <c r="I1353" s="307"/>
      <c r="J1353" s="307"/>
      <c r="L1353" s="32"/>
      <c r="M1353" s="2"/>
      <c r="N1353" s="307"/>
      <c r="O1353" s="307"/>
      <c r="Q1353" s="32"/>
      <c r="R1353" s="134" t="s">
        <v>1888</v>
      </c>
      <c r="S1353" s="2" t="s">
        <v>865</v>
      </c>
      <c r="T1353" s="153">
        <v>5129726</v>
      </c>
      <c r="U1353" s="153">
        <v>0</v>
      </c>
    </row>
    <row r="1354" spans="2:21" x14ac:dyDescent="0.3">
      <c r="B1354" s="5"/>
      <c r="C1354" s="30"/>
      <c r="D1354" s="307"/>
      <c r="E1354" s="323"/>
      <c r="G1354" s="32"/>
      <c r="H1354" s="263"/>
      <c r="I1354" s="307"/>
      <c r="J1354" s="307"/>
      <c r="L1354" s="32"/>
      <c r="M1354" s="2"/>
      <c r="N1354" s="307"/>
      <c r="O1354" s="307"/>
      <c r="Q1354" s="32"/>
      <c r="R1354" s="134" t="s">
        <v>1889</v>
      </c>
      <c r="S1354" s="2" t="s">
        <v>870</v>
      </c>
      <c r="T1354" s="153">
        <v>3957436</v>
      </c>
      <c r="U1354" s="153">
        <v>0</v>
      </c>
    </row>
    <row r="1355" spans="2:21" x14ac:dyDescent="0.3">
      <c r="B1355" s="5"/>
      <c r="C1355" s="30"/>
      <c r="D1355" s="307"/>
      <c r="E1355" s="323"/>
      <c r="G1355" s="32"/>
      <c r="H1355" s="263"/>
      <c r="I1355" s="307"/>
      <c r="J1355" s="307"/>
      <c r="L1355" s="32"/>
      <c r="M1355" s="2"/>
      <c r="N1355" s="307"/>
      <c r="O1355" s="307"/>
      <c r="Q1355" s="32"/>
      <c r="R1355" s="134" t="s">
        <v>1890</v>
      </c>
      <c r="S1355" s="2" t="s">
        <v>2164</v>
      </c>
      <c r="T1355" s="153">
        <v>15857069</v>
      </c>
      <c r="U1355" s="153">
        <v>0</v>
      </c>
    </row>
    <row r="1356" spans="2:21" x14ac:dyDescent="0.3">
      <c r="B1356" s="5"/>
      <c r="C1356" s="30"/>
      <c r="D1356" s="307"/>
      <c r="E1356" s="323"/>
      <c r="G1356" s="32"/>
      <c r="H1356" s="263"/>
      <c r="I1356" s="307"/>
      <c r="J1356" s="307"/>
      <c r="L1356" s="32"/>
      <c r="M1356" s="2"/>
      <c r="N1356" s="307"/>
      <c r="O1356" s="307"/>
      <c r="Q1356" s="32"/>
      <c r="R1356" s="134" t="s">
        <v>2175</v>
      </c>
      <c r="S1356" s="2" t="s">
        <v>2173</v>
      </c>
      <c r="T1356" s="153">
        <v>8462280</v>
      </c>
      <c r="U1356" s="153">
        <v>0</v>
      </c>
    </row>
    <row r="1357" spans="2:21" x14ac:dyDescent="0.3">
      <c r="B1357" s="5"/>
      <c r="C1357" s="30"/>
      <c r="D1357" s="307"/>
      <c r="E1357" s="307"/>
      <c r="G1357" s="32"/>
      <c r="H1357" s="263"/>
      <c r="I1357" s="307"/>
      <c r="J1357" s="307"/>
      <c r="L1357" s="32"/>
      <c r="M1357" s="2"/>
      <c r="N1357" s="307"/>
      <c r="O1357" s="307"/>
      <c r="Q1357" s="230">
        <v>60020003</v>
      </c>
      <c r="R1357" s="231"/>
      <c r="S1357" s="232" t="s">
        <v>1056</v>
      </c>
      <c r="T1357" s="233">
        <f>SUM(T1358)-SUM(U1358)</f>
        <v>101056</v>
      </c>
      <c r="U1357" s="233">
        <v>0</v>
      </c>
    </row>
    <row r="1358" spans="2:21" x14ac:dyDescent="0.3">
      <c r="B1358" s="5"/>
      <c r="C1358" s="30"/>
      <c r="D1358" s="307"/>
      <c r="E1358" s="323"/>
      <c r="G1358" s="32"/>
      <c r="H1358" s="263"/>
      <c r="I1358" s="307"/>
      <c r="J1358" s="307"/>
      <c r="L1358" s="32"/>
      <c r="M1358" s="2"/>
      <c r="N1358" s="307"/>
      <c r="O1358" s="307"/>
      <c r="Q1358" s="32"/>
      <c r="R1358" s="134" t="s">
        <v>2179</v>
      </c>
      <c r="S1358" s="2" t="s">
        <v>2176</v>
      </c>
      <c r="T1358" s="153">
        <v>101056</v>
      </c>
      <c r="U1358" s="153">
        <v>0</v>
      </c>
    </row>
    <row r="1359" spans="2:21" x14ac:dyDescent="0.3">
      <c r="B1359" s="5"/>
      <c r="C1359" s="30"/>
      <c r="D1359" s="307"/>
      <c r="E1359" s="323"/>
      <c r="G1359" s="32"/>
      <c r="H1359" s="263"/>
      <c r="I1359" s="307"/>
      <c r="J1359" s="307"/>
      <c r="L1359" s="32"/>
      <c r="M1359" s="2"/>
      <c r="N1359" s="307"/>
      <c r="O1359" s="307"/>
      <c r="Q1359" s="32"/>
      <c r="R1359" s="134"/>
      <c r="S1359" s="2"/>
      <c r="T1359" s="153"/>
      <c r="U1359" s="153"/>
    </row>
    <row r="1360" spans="2:21" x14ac:dyDescent="0.3">
      <c r="B1360" s="5"/>
      <c r="C1360" s="30"/>
      <c r="D1360" s="307"/>
      <c r="E1360" s="307"/>
      <c r="G1360" s="32"/>
      <c r="H1360" s="263"/>
      <c r="I1360" s="307"/>
      <c r="J1360" s="307"/>
      <c r="K1360">
        <v>6003</v>
      </c>
      <c r="L1360" s="230">
        <v>6003</v>
      </c>
      <c r="M1360" s="232" t="s">
        <v>905</v>
      </c>
      <c r="N1360" s="309">
        <v>0</v>
      </c>
      <c r="O1360" s="309">
        <f>(U1360+U1361+U1367)-(T1360+T1361+T1367)</f>
        <v>1177462303</v>
      </c>
      <c r="Q1360" s="230">
        <v>60030001</v>
      </c>
      <c r="R1360" s="231"/>
      <c r="S1360" s="232" t="s">
        <v>1057</v>
      </c>
      <c r="T1360" s="233">
        <v>0</v>
      </c>
      <c r="U1360" s="233">
        <v>0</v>
      </c>
    </row>
    <row r="1361" spans="1:21" x14ac:dyDescent="0.3">
      <c r="B1361" s="5"/>
      <c r="C1361" s="30"/>
      <c r="D1361" s="307"/>
      <c r="E1361" s="307"/>
      <c r="G1361" s="32"/>
      <c r="H1361" s="263"/>
      <c r="I1361" s="307"/>
      <c r="J1361" s="307"/>
      <c r="L1361" s="32"/>
      <c r="M1361" s="2"/>
      <c r="N1361" s="307"/>
      <c r="O1361" s="307"/>
      <c r="Q1361" s="230">
        <v>60030002</v>
      </c>
      <c r="R1361" s="231"/>
      <c r="S1361" s="232" t="s">
        <v>1058</v>
      </c>
      <c r="T1361" s="233">
        <v>0</v>
      </c>
      <c r="U1361" s="233">
        <f>SUM(U1362:U1366)-SUM(T1362:T1366)</f>
        <v>1177462303</v>
      </c>
    </row>
    <row r="1362" spans="1:21" x14ac:dyDescent="0.3">
      <c r="B1362" s="5"/>
      <c r="C1362" s="30"/>
      <c r="D1362" s="307"/>
      <c r="E1362" s="323"/>
      <c r="G1362" s="32"/>
      <c r="H1362" s="263"/>
      <c r="I1362" s="307"/>
      <c r="J1362" s="307"/>
      <c r="L1362" s="32"/>
      <c r="M1362" s="2"/>
      <c r="N1362" s="307"/>
      <c r="O1362" s="307"/>
      <c r="Q1362" s="32"/>
      <c r="R1362" s="134" t="s">
        <v>2138</v>
      </c>
      <c r="S1362" s="2" t="s">
        <v>7</v>
      </c>
      <c r="T1362" s="153">
        <v>0</v>
      </c>
      <c r="U1362" s="153">
        <v>297401886</v>
      </c>
    </row>
    <row r="1363" spans="1:21" x14ac:dyDescent="0.3">
      <c r="B1363" s="5"/>
      <c r="C1363" s="30"/>
      <c r="D1363" s="307"/>
      <c r="E1363" s="323"/>
      <c r="G1363" s="32"/>
      <c r="H1363" s="263"/>
      <c r="I1363" s="307"/>
      <c r="J1363" s="307"/>
      <c r="L1363" s="32"/>
      <c r="M1363" s="2"/>
      <c r="N1363" s="307"/>
      <c r="O1363" s="307"/>
      <c r="Q1363" s="32"/>
      <c r="R1363" s="134" t="s">
        <v>2152</v>
      </c>
      <c r="S1363" s="2" t="s">
        <v>2153</v>
      </c>
      <c r="T1363" s="153">
        <v>0</v>
      </c>
      <c r="U1363" s="153">
        <v>196474136</v>
      </c>
    </row>
    <row r="1364" spans="1:21" x14ac:dyDescent="0.3">
      <c r="B1364" s="5"/>
      <c r="C1364" s="30"/>
      <c r="D1364" s="307"/>
      <c r="E1364" s="323"/>
      <c r="G1364" s="32"/>
      <c r="H1364" s="263"/>
      <c r="I1364" s="307"/>
      <c r="J1364" s="307"/>
      <c r="L1364" s="32"/>
      <c r="M1364" s="2"/>
      <c r="N1364" s="307"/>
      <c r="O1364" s="307"/>
      <c r="Q1364" s="32"/>
      <c r="R1364" s="134" t="s">
        <v>1179</v>
      </c>
      <c r="S1364" s="2" t="s">
        <v>2148</v>
      </c>
      <c r="T1364" s="153">
        <v>0</v>
      </c>
      <c r="U1364" s="153">
        <v>126256830</v>
      </c>
    </row>
    <row r="1365" spans="1:21" x14ac:dyDescent="0.3">
      <c r="B1365" s="5"/>
      <c r="C1365" s="30"/>
      <c r="D1365" s="307"/>
      <c r="E1365" s="323"/>
      <c r="G1365" s="32"/>
      <c r="H1365" s="263"/>
      <c r="I1365" s="307"/>
      <c r="J1365" s="307"/>
      <c r="L1365" s="32"/>
      <c r="M1365" s="2"/>
      <c r="N1365" s="307"/>
      <c r="O1365" s="307"/>
      <c r="Q1365" s="32"/>
      <c r="R1365" s="134" t="s">
        <v>1180</v>
      </c>
      <c r="S1365" s="2" t="s">
        <v>2149</v>
      </c>
      <c r="T1365" s="153">
        <v>0</v>
      </c>
      <c r="U1365" s="153">
        <v>114010140</v>
      </c>
    </row>
    <row r="1366" spans="1:21" x14ac:dyDescent="0.3">
      <c r="B1366" s="5"/>
      <c r="C1366" s="30"/>
      <c r="D1366" s="307"/>
      <c r="E1366" s="323"/>
      <c r="G1366" s="32"/>
      <c r="H1366" s="263"/>
      <c r="I1366" s="307"/>
      <c r="J1366" s="307"/>
      <c r="L1366" s="32"/>
      <c r="M1366" s="2"/>
      <c r="N1366" s="307"/>
      <c r="O1366" s="307"/>
      <c r="Q1366" s="32"/>
      <c r="R1366" s="134" t="s">
        <v>1178</v>
      </c>
      <c r="S1366" s="2" t="s">
        <v>2143</v>
      </c>
      <c r="T1366" s="153">
        <v>0</v>
      </c>
      <c r="U1366" s="153">
        <v>443319311</v>
      </c>
    </row>
    <row r="1367" spans="1:21" x14ac:dyDescent="0.3">
      <c r="B1367" s="5"/>
      <c r="C1367" s="30"/>
      <c r="D1367" s="307"/>
      <c r="E1367" s="307"/>
      <c r="G1367" s="32"/>
      <c r="H1367" s="263"/>
      <c r="I1367" s="307"/>
      <c r="J1367" s="307"/>
      <c r="L1367" s="32"/>
      <c r="M1367" s="2"/>
      <c r="N1367" s="307"/>
      <c r="O1367" s="307"/>
      <c r="Q1367" s="230">
        <v>60030003</v>
      </c>
      <c r="R1367" s="231"/>
      <c r="S1367" s="232" t="s">
        <v>1059</v>
      </c>
      <c r="T1367" s="233">
        <v>0</v>
      </c>
      <c r="U1367" s="233">
        <v>0</v>
      </c>
    </row>
    <row r="1368" spans="1:21" x14ac:dyDescent="0.3">
      <c r="B1368" s="5"/>
      <c r="C1368" s="30"/>
      <c r="D1368" s="307"/>
      <c r="E1368" s="323"/>
      <c r="G1368" s="32"/>
      <c r="H1368" s="263"/>
      <c r="I1368" s="307"/>
      <c r="J1368" s="307"/>
      <c r="L1368" s="32"/>
      <c r="M1368" s="2"/>
      <c r="N1368" s="307"/>
      <c r="O1368" s="307"/>
      <c r="Q1368" s="32"/>
      <c r="R1368" s="134"/>
      <c r="S1368" s="2"/>
      <c r="T1368" s="153"/>
      <c r="U1368" s="153"/>
    </row>
    <row r="1369" spans="1:21" x14ac:dyDescent="0.3">
      <c r="B1369" s="5"/>
      <c r="C1369" s="30"/>
      <c r="D1369" s="307"/>
      <c r="E1369" s="307"/>
      <c r="G1369" s="32"/>
      <c r="H1369" s="263"/>
      <c r="I1369" s="307"/>
      <c r="J1369" s="307"/>
      <c r="K1369">
        <v>6004</v>
      </c>
      <c r="L1369" s="230">
        <v>6004</v>
      </c>
      <c r="M1369" s="232" t="s">
        <v>906</v>
      </c>
      <c r="N1369" s="309">
        <f>(T1369+T1370+T1371)-(U1369+U1370+U1371)</f>
        <v>0</v>
      </c>
      <c r="O1369" s="309">
        <v>0</v>
      </c>
      <c r="Q1369" s="230">
        <v>60040001</v>
      </c>
      <c r="R1369" s="231"/>
      <c r="S1369" s="232" t="s">
        <v>1060</v>
      </c>
      <c r="T1369" s="233">
        <v>0</v>
      </c>
      <c r="U1369" s="233">
        <v>0</v>
      </c>
    </row>
    <row r="1370" spans="1:21" x14ac:dyDescent="0.3">
      <c r="B1370" s="5"/>
      <c r="C1370" s="30"/>
      <c r="D1370" s="307"/>
      <c r="E1370" s="307"/>
      <c r="G1370" s="32"/>
      <c r="H1370" s="263"/>
      <c r="I1370" s="307"/>
      <c r="J1370" s="307"/>
      <c r="L1370" s="32"/>
      <c r="M1370" s="2"/>
      <c r="N1370" s="307"/>
      <c r="O1370" s="307"/>
      <c r="Q1370" s="230">
        <v>60040002</v>
      </c>
      <c r="R1370" s="231"/>
      <c r="S1370" s="232" t="s">
        <v>1061</v>
      </c>
      <c r="T1370" s="233">
        <v>0</v>
      </c>
      <c r="U1370" s="233">
        <v>0</v>
      </c>
    </row>
    <row r="1371" spans="1:21" x14ac:dyDescent="0.3">
      <c r="B1371" s="5"/>
      <c r="C1371" s="30"/>
      <c r="D1371" s="307"/>
      <c r="E1371" s="307"/>
      <c r="G1371" s="32"/>
      <c r="H1371" s="263"/>
      <c r="I1371" s="307"/>
      <c r="J1371" s="307"/>
      <c r="L1371" s="32"/>
      <c r="M1371" s="2"/>
      <c r="N1371" s="307"/>
      <c r="O1371" s="307"/>
      <c r="Q1371" s="230">
        <v>60040003</v>
      </c>
      <c r="R1371" s="231"/>
      <c r="S1371" s="232" t="s">
        <v>1062</v>
      </c>
      <c r="T1371" s="233">
        <v>0</v>
      </c>
      <c r="U1371" s="233">
        <v>0</v>
      </c>
    </row>
    <row r="1372" spans="1:21" x14ac:dyDescent="0.3">
      <c r="B1372" s="6"/>
      <c r="C1372" s="31"/>
      <c r="D1372" s="308"/>
      <c r="E1372" s="324"/>
      <c r="G1372" s="33"/>
      <c r="H1372" s="327"/>
      <c r="I1372" s="308"/>
      <c r="J1372" s="308"/>
      <c r="L1372" s="33"/>
      <c r="M1372" s="3"/>
      <c r="N1372" s="308"/>
      <c r="O1372" s="308"/>
      <c r="Q1372" s="33"/>
      <c r="R1372" s="135"/>
      <c r="S1372" s="3"/>
      <c r="T1372" s="154"/>
      <c r="U1372" s="154"/>
    </row>
    <row r="1374" spans="1:21" x14ac:dyDescent="0.3">
      <c r="A1374">
        <v>7</v>
      </c>
      <c r="B1374" s="234">
        <v>7</v>
      </c>
      <c r="C1374" s="236" t="s">
        <v>2065</v>
      </c>
      <c r="D1374" s="332">
        <f>I1374+I1712+I3474</f>
        <v>1151489171.1000001</v>
      </c>
      <c r="E1374" s="332">
        <v>0</v>
      </c>
      <c r="F1374">
        <v>70</v>
      </c>
      <c r="G1374" s="234">
        <v>70</v>
      </c>
      <c r="H1374" s="236" t="s">
        <v>877</v>
      </c>
      <c r="I1374" s="332">
        <f>(N1374+N1437+N1442+N1460+N1468+N1481+N1495+N1519+N1548+N1555+N1558+N1579+N1600+N1604+N1606+N1628+N1630+N1634+N1653+N1658+N1664+N1666+N1702+N1704+N1709)-O1658</f>
        <v>318213854.31</v>
      </c>
      <c r="J1374" s="332">
        <v>0</v>
      </c>
      <c r="K1374">
        <v>7001</v>
      </c>
      <c r="L1374" s="234">
        <v>7001</v>
      </c>
      <c r="M1374" s="236" t="s">
        <v>2106</v>
      </c>
      <c r="N1374" s="332">
        <f>T1374+T1382+T1384+T1386+T1394+T1402+T1403+T1404+T1405+T1413+T1421+T1429+T1431+T1432+T1433+T1434</f>
        <v>129429625</v>
      </c>
      <c r="O1374" s="332">
        <v>0</v>
      </c>
      <c r="Q1374" s="234">
        <v>70010001</v>
      </c>
      <c r="R1374" s="235"/>
      <c r="S1374" s="236" t="s">
        <v>1064</v>
      </c>
      <c r="T1374" s="237">
        <f>SUM(T1375:T1381)-SUM(U1375:U1381)</f>
        <v>113559092</v>
      </c>
      <c r="U1374" s="238">
        <v>0</v>
      </c>
    </row>
    <row r="1375" spans="1:21" x14ac:dyDescent="0.3">
      <c r="B1375" s="47"/>
      <c r="C1375" s="24"/>
      <c r="D1375" s="312"/>
      <c r="E1375" s="312"/>
      <c r="G1375" s="47"/>
      <c r="H1375" s="24"/>
      <c r="I1375" s="312"/>
      <c r="J1375" s="312"/>
      <c r="L1375" s="47"/>
      <c r="M1375" s="24"/>
      <c r="N1375" s="312"/>
      <c r="O1375" s="312"/>
      <c r="Q1375" s="47"/>
      <c r="R1375" s="136" t="s">
        <v>2138</v>
      </c>
      <c r="S1375" s="24" t="s">
        <v>7</v>
      </c>
      <c r="T1375" s="155">
        <v>55287092</v>
      </c>
      <c r="U1375" s="155">
        <v>0</v>
      </c>
    </row>
    <row r="1376" spans="1:21" x14ac:dyDescent="0.3">
      <c r="B1376" s="47"/>
      <c r="C1376" s="24"/>
      <c r="D1376" s="312"/>
      <c r="E1376" s="312"/>
      <c r="G1376" s="47"/>
      <c r="H1376" s="24"/>
      <c r="I1376" s="312"/>
      <c r="J1376" s="312"/>
      <c r="L1376" s="47"/>
      <c r="M1376" s="24"/>
      <c r="N1376" s="312"/>
      <c r="O1376" s="312"/>
      <c r="Q1376" s="47"/>
      <c r="R1376" s="136" t="s">
        <v>1177</v>
      </c>
      <c r="S1376" s="24" t="s">
        <v>2141</v>
      </c>
      <c r="T1376" s="155">
        <v>8940000</v>
      </c>
      <c r="U1376" s="155">
        <v>0</v>
      </c>
    </row>
    <row r="1377" spans="2:21" x14ac:dyDescent="0.3">
      <c r="B1377" s="47"/>
      <c r="C1377" s="24"/>
      <c r="D1377" s="312"/>
      <c r="E1377" s="312"/>
      <c r="G1377" s="47"/>
      <c r="H1377" s="24"/>
      <c r="I1377" s="312"/>
      <c r="J1377" s="312"/>
      <c r="L1377" s="47"/>
      <c r="M1377" s="24"/>
      <c r="N1377" s="312"/>
      <c r="O1377" s="312"/>
      <c r="Q1377" s="47"/>
      <c r="R1377" s="136" t="s">
        <v>1179</v>
      </c>
      <c r="S1377" s="24" t="s">
        <v>2148</v>
      </c>
      <c r="T1377" s="155">
        <v>10345500</v>
      </c>
      <c r="U1377" s="155">
        <v>0</v>
      </c>
    </row>
    <row r="1378" spans="2:21" x14ac:dyDescent="0.3">
      <c r="B1378" s="47"/>
      <c r="C1378" s="24"/>
      <c r="D1378" s="312"/>
      <c r="E1378" s="312"/>
      <c r="G1378" s="47"/>
      <c r="H1378" s="24"/>
      <c r="I1378" s="312"/>
      <c r="J1378" s="312"/>
      <c r="L1378" s="47"/>
      <c r="M1378" s="24"/>
      <c r="N1378" s="312"/>
      <c r="O1378" s="312"/>
      <c r="Q1378" s="47"/>
      <c r="R1378" s="136" t="s">
        <v>1179</v>
      </c>
      <c r="S1378" s="24" t="s">
        <v>2143</v>
      </c>
      <c r="T1378" s="155">
        <v>9200000</v>
      </c>
      <c r="U1378" s="155">
        <v>0</v>
      </c>
    </row>
    <row r="1379" spans="2:21" x14ac:dyDescent="0.3">
      <c r="B1379" s="47"/>
      <c r="C1379" s="24"/>
      <c r="D1379" s="312"/>
      <c r="E1379" s="312"/>
      <c r="G1379" s="47"/>
      <c r="H1379" s="24"/>
      <c r="I1379" s="312"/>
      <c r="J1379" s="312"/>
      <c r="L1379" s="47"/>
      <c r="M1379" s="24"/>
      <c r="N1379" s="312"/>
      <c r="O1379" s="312"/>
      <c r="Q1379" s="47"/>
      <c r="R1379" s="136" t="s">
        <v>1179</v>
      </c>
      <c r="S1379" s="24" t="s">
        <v>2145</v>
      </c>
      <c r="T1379" s="155">
        <v>4118500</v>
      </c>
      <c r="U1379" s="155">
        <v>0</v>
      </c>
    </row>
    <row r="1380" spans="2:21" x14ac:dyDescent="0.3">
      <c r="B1380" s="47"/>
      <c r="C1380" s="24"/>
      <c r="D1380" s="312"/>
      <c r="E1380" s="312"/>
      <c r="G1380" s="47"/>
      <c r="H1380" s="24"/>
      <c r="I1380" s="312"/>
      <c r="J1380" s="312"/>
      <c r="L1380" s="47"/>
      <c r="M1380" s="24"/>
      <c r="N1380" s="312"/>
      <c r="O1380" s="312"/>
      <c r="Q1380" s="47"/>
      <c r="R1380" s="136" t="s">
        <v>2150</v>
      </c>
      <c r="S1380" s="24" t="s">
        <v>2151</v>
      </c>
      <c r="T1380" s="155">
        <v>11178000</v>
      </c>
      <c r="U1380" s="155">
        <v>0</v>
      </c>
    </row>
    <row r="1381" spans="2:21" x14ac:dyDescent="0.3">
      <c r="B1381" s="47"/>
      <c r="C1381" s="24"/>
      <c r="D1381" s="312"/>
      <c r="E1381" s="312"/>
      <c r="G1381" s="47"/>
      <c r="H1381" s="24"/>
      <c r="I1381" s="312"/>
      <c r="J1381" s="312"/>
      <c r="L1381" s="47"/>
      <c r="M1381" s="24"/>
      <c r="N1381" s="312"/>
      <c r="O1381" s="312"/>
      <c r="Q1381" s="47"/>
      <c r="R1381" s="136" t="s">
        <v>2152</v>
      </c>
      <c r="S1381" s="24" t="s">
        <v>2153</v>
      </c>
      <c r="T1381" s="155">
        <v>14490000</v>
      </c>
      <c r="U1381" s="155">
        <v>0</v>
      </c>
    </row>
    <row r="1382" spans="2:21" x14ac:dyDescent="0.3">
      <c r="B1382" s="47"/>
      <c r="C1382" s="24"/>
      <c r="D1382" s="312"/>
      <c r="E1382" s="312"/>
      <c r="G1382" s="47"/>
      <c r="H1382" s="24"/>
      <c r="I1382" s="312"/>
      <c r="J1382" s="312"/>
      <c r="L1382" s="47"/>
      <c r="M1382" s="24"/>
      <c r="N1382" s="312"/>
      <c r="O1382" s="312"/>
      <c r="Q1382" s="241">
        <v>70010002</v>
      </c>
      <c r="R1382" s="242"/>
      <c r="S1382" s="243" t="s">
        <v>1065</v>
      </c>
      <c r="T1382" s="239">
        <f>SUM(T1383)-SUM(U1383)</f>
        <v>5000000</v>
      </c>
      <c r="U1382" s="240">
        <v>0</v>
      </c>
    </row>
    <row r="1383" spans="2:21" x14ac:dyDescent="0.3">
      <c r="B1383" s="47"/>
      <c r="C1383" s="24"/>
      <c r="D1383" s="312"/>
      <c r="E1383" s="312"/>
      <c r="G1383" s="47"/>
      <c r="H1383" s="24"/>
      <c r="I1383" s="312"/>
      <c r="J1383" s="312"/>
      <c r="L1383" s="47"/>
      <c r="M1383" s="24"/>
      <c r="N1383" s="312"/>
      <c r="O1383" s="312"/>
      <c r="Q1383" s="47"/>
      <c r="R1383" s="136" t="s">
        <v>2138</v>
      </c>
      <c r="S1383" s="24" t="s">
        <v>7</v>
      </c>
      <c r="T1383" s="155">
        <v>5000000</v>
      </c>
      <c r="U1383" s="155">
        <v>0</v>
      </c>
    </row>
    <row r="1384" spans="2:21" x14ac:dyDescent="0.3">
      <c r="B1384" s="47"/>
      <c r="C1384" s="24"/>
      <c r="D1384" s="312"/>
      <c r="E1384" s="312"/>
      <c r="G1384" s="47"/>
      <c r="H1384" s="24"/>
      <c r="I1384" s="312"/>
      <c r="J1384" s="312"/>
      <c r="L1384" s="47"/>
      <c r="M1384" s="24"/>
      <c r="N1384" s="312"/>
      <c r="O1384" s="312"/>
      <c r="Q1384" s="241">
        <v>70010003</v>
      </c>
      <c r="R1384" s="242"/>
      <c r="S1384" s="243" t="s">
        <v>1066</v>
      </c>
      <c r="T1384" s="239">
        <f>SUM(T1385)-SUM(U1385)</f>
        <v>485415</v>
      </c>
      <c r="U1384" s="240">
        <v>0</v>
      </c>
    </row>
    <row r="1385" spans="2:21" x14ac:dyDescent="0.3">
      <c r="B1385" s="47"/>
      <c r="C1385" s="24"/>
      <c r="D1385" s="312"/>
      <c r="E1385" s="312"/>
      <c r="G1385" s="47"/>
      <c r="H1385" s="24"/>
      <c r="I1385" s="312"/>
      <c r="J1385" s="312"/>
      <c r="L1385" s="47"/>
      <c r="M1385" s="24"/>
      <c r="N1385" s="312"/>
      <c r="O1385" s="312"/>
      <c r="Q1385" s="47"/>
      <c r="R1385" s="136" t="s">
        <v>2152</v>
      </c>
      <c r="S1385" s="24" t="s">
        <v>2153</v>
      </c>
      <c r="T1385" s="155">
        <v>485415</v>
      </c>
      <c r="U1385" s="155">
        <v>0</v>
      </c>
    </row>
    <row r="1386" spans="2:21" x14ac:dyDescent="0.3">
      <c r="B1386" s="47"/>
      <c r="C1386" s="24"/>
      <c r="D1386" s="312"/>
      <c r="E1386" s="312"/>
      <c r="G1386" s="47"/>
      <c r="H1386" s="24"/>
      <c r="I1386" s="312"/>
      <c r="J1386" s="312"/>
      <c r="L1386" s="47"/>
      <c r="M1386" s="24"/>
      <c r="N1386" s="312"/>
      <c r="O1386" s="312"/>
      <c r="Q1386" s="241">
        <v>70010004</v>
      </c>
      <c r="R1386" s="242"/>
      <c r="S1386" s="243" t="s">
        <v>1067</v>
      </c>
      <c r="T1386" s="239">
        <f>SUM(T1387:T1393)-SUM(U1387:U1393)</f>
        <v>2531274</v>
      </c>
      <c r="U1386" s="240">
        <v>0</v>
      </c>
    </row>
    <row r="1387" spans="2:21" x14ac:dyDescent="0.3">
      <c r="B1387" s="47"/>
      <c r="C1387" s="24"/>
      <c r="D1387" s="312"/>
      <c r="E1387" s="312"/>
      <c r="G1387" s="47"/>
      <c r="H1387" s="24"/>
      <c r="I1387" s="312"/>
      <c r="J1387" s="312"/>
      <c r="L1387" s="47"/>
      <c r="M1387" s="24"/>
      <c r="N1387" s="312"/>
      <c r="O1387" s="312"/>
      <c r="Q1387" s="47"/>
      <c r="R1387" s="136" t="s">
        <v>2138</v>
      </c>
      <c r="S1387" s="24" t="s">
        <v>7</v>
      </c>
      <c r="T1387" s="155">
        <v>1495903</v>
      </c>
      <c r="U1387" s="155">
        <v>0</v>
      </c>
    </row>
    <row r="1388" spans="2:21" x14ac:dyDescent="0.3">
      <c r="B1388" s="47"/>
      <c r="C1388" s="24"/>
      <c r="D1388" s="312"/>
      <c r="E1388" s="312"/>
      <c r="G1388" s="47"/>
      <c r="H1388" s="24"/>
      <c r="I1388" s="312"/>
      <c r="J1388" s="312"/>
      <c r="L1388" s="47"/>
      <c r="M1388" s="24"/>
      <c r="N1388" s="312"/>
      <c r="O1388" s="312"/>
      <c r="Q1388" s="47"/>
      <c r="R1388" s="136" t="s">
        <v>1177</v>
      </c>
      <c r="S1388" s="24" t="s">
        <v>2141</v>
      </c>
      <c r="T1388" s="155">
        <v>74701</v>
      </c>
      <c r="U1388" s="155">
        <v>0</v>
      </c>
    </row>
    <row r="1389" spans="2:21" x14ac:dyDescent="0.3">
      <c r="B1389" s="47"/>
      <c r="C1389" s="24"/>
      <c r="D1389" s="312"/>
      <c r="E1389" s="312"/>
      <c r="G1389" s="47"/>
      <c r="H1389" s="24"/>
      <c r="I1389" s="312"/>
      <c r="J1389" s="312"/>
      <c r="L1389" s="47"/>
      <c r="M1389" s="24"/>
      <c r="N1389" s="312"/>
      <c r="O1389" s="312"/>
      <c r="Q1389" s="47"/>
      <c r="R1389" s="136" t="s">
        <v>1179</v>
      </c>
      <c r="S1389" s="24" t="s">
        <v>2148</v>
      </c>
      <c r="T1389" s="155">
        <v>194359</v>
      </c>
      <c r="U1389" s="155">
        <v>0</v>
      </c>
    </row>
    <row r="1390" spans="2:21" x14ac:dyDescent="0.3">
      <c r="B1390" s="47"/>
      <c r="C1390" s="24"/>
      <c r="D1390" s="312"/>
      <c r="E1390" s="312"/>
      <c r="G1390" s="47"/>
      <c r="H1390" s="24"/>
      <c r="I1390" s="312"/>
      <c r="J1390" s="312"/>
      <c r="L1390" s="47"/>
      <c r="M1390" s="24"/>
      <c r="N1390" s="312"/>
      <c r="O1390" s="312"/>
      <c r="Q1390" s="47"/>
      <c r="R1390" s="136" t="s">
        <v>1179</v>
      </c>
      <c r="S1390" s="24" t="s">
        <v>2143</v>
      </c>
      <c r="T1390" s="155">
        <v>191757</v>
      </c>
      <c r="U1390" s="155">
        <v>0</v>
      </c>
    </row>
    <row r="1391" spans="2:21" x14ac:dyDescent="0.3">
      <c r="B1391" s="47"/>
      <c r="C1391" s="24"/>
      <c r="D1391" s="312"/>
      <c r="E1391" s="312"/>
      <c r="G1391" s="47"/>
      <c r="H1391" s="24"/>
      <c r="I1391" s="312"/>
      <c r="J1391" s="312"/>
      <c r="L1391" s="47"/>
      <c r="M1391" s="24"/>
      <c r="N1391" s="312"/>
      <c r="O1391" s="312"/>
      <c r="Q1391" s="47"/>
      <c r="R1391" s="136" t="s">
        <v>1179</v>
      </c>
      <c r="S1391" s="24" t="s">
        <v>2145</v>
      </c>
      <c r="T1391" s="155">
        <v>38033</v>
      </c>
      <c r="U1391" s="155">
        <v>0</v>
      </c>
    </row>
    <row r="1392" spans="2:21" x14ac:dyDescent="0.3">
      <c r="B1392" s="47"/>
      <c r="C1392" s="24"/>
      <c r="D1392" s="312"/>
      <c r="E1392" s="312"/>
      <c r="G1392" s="47"/>
      <c r="H1392" s="24"/>
      <c r="I1392" s="312"/>
      <c r="J1392" s="312"/>
      <c r="L1392" s="47"/>
      <c r="M1392" s="24"/>
      <c r="N1392" s="312"/>
      <c r="O1392" s="312"/>
      <c r="Q1392" s="47"/>
      <c r="R1392" s="136" t="s">
        <v>2150</v>
      </c>
      <c r="S1392" s="24" t="s">
        <v>2151</v>
      </c>
      <c r="T1392" s="155">
        <v>178594</v>
      </c>
      <c r="U1392" s="155">
        <v>0</v>
      </c>
    </row>
    <row r="1393" spans="2:21" x14ac:dyDescent="0.3">
      <c r="B1393" s="47"/>
      <c r="C1393" s="24"/>
      <c r="D1393" s="312"/>
      <c r="E1393" s="312"/>
      <c r="G1393" s="47"/>
      <c r="H1393" s="24"/>
      <c r="I1393" s="312"/>
      <c r="J1393" s="312"/>
      <c r="L1393" s="47"/>
      <c r="M1393" s="24"/>
      <c r="N1393" s="312"/>
      <c r="O1393" s="312"/>
      <c r="Q1393" s="47"/>
      <c r="R1393" s="136" t="s">
        <v>2152</v>
      </c>
      <c r="S1393" s="24" t="s">
        <v>2153</v>
      </c>
      <c r="T1393" s="155">
        <v>357927</v>
      </c>
      <c r="U1393" s="155">
        <v>0</v>
      </c>
    </row>
    <row r="1394" spans="2:21" x14ac:dyDescent="0.3">
      <c r="B1394" s="47"/>
      <c r="C1394" s="24"/>
      <c r="D1394" s="312"/>
      <c r="E1394" s="312"/>
      <c r="G1394" s="47"/>
      <c r="H1394" s="24"/>
      <c r="I1394" s="312"/>
      <c r="J1394" s="312"/>
      <c r="L1394" s="47"/>
      <c r="M1394" s="24"/>
      <c r="N1394" s="312"/>
      <c r="O1394" s="312"/>
      <c r="Q1394" s="241">
        <v>70010005</v>
      </c>
      <c r="R1394" s="242"/>
      <c r="S1394" s="243" t="s">
        <v>1068</v>
      </c>
      <c r="T1394" s="239">
        <f>SUM(T1395:T1401)-SUM(U1395:U1401)</f>
        <v>1134000</v>
      </c>
      <c r="U1394" s="240">
        <v>0</v>
      </c>
    </row>
    <row r="1395" spans="2:21" x14ac:dyDescent="0.3">
      <c r="B1395" s="47"/>
      <c r="C1395" s="24"/>
      <c r="D1395" s="312"/>
      <c r="E1395" s="312"/>
      <c r="G1395" s="47"/>
      <c r="H1395" s="24"/>
      <c r="I1395" s="312"/>
      <c r="J1395" s="312"/>
      <c r="L1395" s="47"/>
      <c r="M1395" s="24"/>
      <c r="N1395" s="312"/>
      <c r="O1395" s="312"/>
      <c r="Q1395" s="47"/>
      <c r="R1395" s="136" t="s">
        <v>2138</v>
      </c>
      <c r="S1395" s="24" t="s">
        <v>7</v>
      </c>
      <c r="T1395" s="155">
        <v>146160</v>
      </c>
      <c r="U1395" s="155">
        <v>0</v>
      </c>
    </row>
    <row r="1396" spans="2:21" x14ac:dyDescent="0.3">
      <c r="B1396" s="47"/>
      <c r="C1396" s="24"/>
      <c r="D1396" s="312"/>
      <c r="E1396" s="312"/>
      <c r="G1396" s="47"/>
      <c r="H1396" s="24"/>
      <c r="I1396" s="312"/>
      <c r="J1396" s="312"/>
      <c r="L1396" s="47"/>
      <c r="M1396" s="24"/>
      <c r="N1396" s="312"/>
      <c r="O1396" s="312"/>
      <c r="Q1396" s="47"/>
      <c r="R1396" s="136" t="s">
        <v>1177</v>
      </c>
      <c r="S1396" s="24" t="s">
        <v>2141</v>
      </c>
      <c r="T1396" s="155">
        <v>625320</v>
      </c>
      <c r="U1396" s="155">
        <v>0</v>
      </c>
    </row>
    <row r="1397" spans="2:21" x14ac:dyDescent="0.3">
      <c r="B1397" s="47"/>
      <c r="C1397" s="24"/>
      <c r="D1397" s="312"/>
      <c r="E1397" s="312"/>
      <c r="G1397" s="47"/>
      <c r="H1397" s="24"/>
      <c r="I1397" s="312"/>
      <c r="J1397" s="312"/>
      <c r="L1397" s="47"/>
      <c r="M1397" s="24"/>
      <c r="N1397" s="312"/>
      <c r="O1397" s="312"/>
      <c r="Q1397" s="47"/>
      <c r="R1397" s="136" t="s">
        <v>1179</v>
      </c>
      <c r="S1397" s="24" t="s">
        <v>2148</v>
      </c>
      <c r="T1397" s="155">
        <v>62640</v>
      </c>
      <c r="U1397" s="155">
        <v>0</v>
      </c>
    </row>
    <row r="1398" spans="2:21" x14ac:dyDescent="0.3">
      <c r="B1398" s="47"/>
      <c r="C1398" s="24"/>
      <c r="D1398" s="312"/>
      <c r="E1398" s="312"/>
      <c r="G1398" s="47"/>
      <c r="H1398" s="24"/>
      <c r="I1398" s="312"/>
      <c r="J1398" s="312"/>
      <c r="L1398" s="47"/>
      <c r="M1398" s="24"/>
      <c r="N1398" s="312"/>
      <c r="O1398" s="312"/>
      <c r="Q1398" s="47"/>
      <c r="R1398" s="136" t="s">
        <v>1179</v>
      </c>
      <c r="S1398" s="24" t="s">
        <v>2143</v>
      </c>
      <c r="T1398" s="155">
        <v>35100</v>
      </c>
      <c r="U1398" s="155">
        <v>0</v>
      </c>
    </row>
    <row r="1399" spans="2:21" x14ac:dyDescent="0.3">
      <c r="B1399" s="47"/>
      <c r="C1399" s="24"/>
      <c r="D1399" s="312"/>
      <c r="E1399" s="312"/>
      <c r="G1399" s="47"/>
      <c r="H1399" s="24"/>
      <c r="I1399" s="312"/>
      <c r="J1399" s="312"/>
      <c r="L1399" s="47"/>
      <c r="M1399" s="24"/>
      <c r="N1399" s="312"/>
      <c r="O1399" s="312"/>
      <c r="Q1399" s="47"/>
      <c r="R1399" s="136" t="s">
        <v>1179</v>
      </c>
      <c r="S1399" s="24" t="s">
        <v>2145</v>
      </c>
      <c r="T1399" s="155">
        <v>87960</v>
      </c>
      <c r="U1399" s="155">
        <v>0</v>
      </c>
    </row>
    <row r="1400" spans="2:21" x14ac:dyDescent="0.3">
      <c r="B1400" s="47"/>
      <c r="C1400" s="24"/>
      <c r="D1400" s="312"/>
      <c r="E1400" s="312"/>
      <c r="G1400" s="47"/>
      <c r="H1400" s="24"/>
      <c r="I1400" s="312"/>
      <c r="J1400" s="312"/>
      <c r="L1400" s="47"/>
      <c r="M1400" s="24"/>
      <c r="N1400" s="312"/>
      <c r="O1400" s="312"/>
      <c r="Q1400" s="47"/>
      <c r="R1400" s="136" t="s">
        <v>2150</v>
      </c>
      <c r="S1400" s="24" t="s">
        <v>2151</v>
      </c>
      <c r="T1400" s="155">
        <v>72420</v>
      </c>
      <c r="U1400" s="155">
        <v>0</v>
      </c>
    </row>
    <row r="1401" spans="2:21" x14ac:dyDescent="0.3">
      <c r="B1401" s="47"/>
      <c r="C1401" s="24"/>
      <c r="D1401" s="312"/>
      <c r="E1401" s="312"/>
      <c r="G1401" s="47"/>
      <c r="H1401" s="24"/>
      <c r="I1401" s="312"/>
      <c r="J1401" s="312"/>
      <c r="L1401" s="47"/>
      <c r="M1401" s="24"/>
      <c r="N1401" s="312"/>
      <c r="O1401" s="312"/>
      <c r="Q1401" s="47"/>
      <c r="R1401" s="136" t="s">
        <v>2152</v>
      </c>
      <c r="S1401" s="24" t="s">
        <v>2153</v>
      </c>
      <c r="T1401" s="155">
        <v>104400</v>
      </c>
      <c r="U1401" s="155">
        <v>0</v>
      </c>
    </row>
    <row r="1402" spans="2:21" x14ac:dyDescent="0.3">
      <c r="B1402" s="47"/>
      <c r="C1402" s="24"/>
      <c r="D1402" s="312"/>
      <c r="E1402" s="312"/>
      <c r="G1402" s="47"/>
      <c r="H1402" s="24"/>
      <c r="I1402" s="312"/>
      <c r="J1402" s="312"/>
      <c r="L1402" s="47"/>
      <c r="M1402" s="24"/>
      <c r="N1402" s="312"/>
      <c r="O1402" s="312"/>
      <c r="Q1402" s="241">
        <v>70010006</v>
      </c>
      <c r="R1402" s="242"/>
      <c r="S1402" s="243" t="s">
        <v>1069</v>
      </c>
      <c r="T1402" s="240">
        <v>0</v>
      </c>
      <c r="U1402" s="240">
        <v>0</v>
      </c>
    </row>
    <row r="1403" spans="2:21" x14ac:dyDescent="0.3">
      <c r="B1403" s="47"/>
      <c r="C1403" s="24"/>
      <c r="D1403" s="312"/>
      <c r="E1403" s="312"/>
      <c r="G1403" s="47"/>
      <c r="H1403" s="24"/>
      <c r="I1403" s="312"/>
      <c r="J1403" s="312"/>
      <c r="L1403" s="47"/>
      <c r="M1403" s="24"/>
      <c r="N1403" s="312"/>
      <c r="O1403" s="312"/>
      <c r="Q1403" s="241">
        <v>70010007</v>
      </c>
      <c r="R1403" s="242"/>
      <c r="S1403" s="243" t="s">
        <v>1077</v>
      </c>
      <c r="T1403" s="240">
        <v>0</v>
      </c>
      <c r="U1403" s="240">
        <v>0</v>
      </c>
    </row>
    <row r="1404" spans="2:21" x14ac:dyDescent="0.3">
      <c r="B1404" s="47"/>
      <c r="C1404" s="24"/>
      <c r="D1404" s="312"/>
      <c r="E1404" s="312"/>
      <c r="G1404" s="47"/>
      <c r="H1404" s="24"/>
      <c r="I1404" s="312"/>
      <c r="J1404" s="312"/>
      <c r="L1404" s="47"/>
      <c r="M1404" s="24"/>
      <c r="N1404" s="312"/>
      <c r="O1404" s="312"/>
      <c r="Q1404" s="241">
        <v>70010008</v>
      </c>
      <c r="R1404" s="242"/>
      <c r="S1404" s="243" t="s">
        <v>1078</v>
      </c>
      <c r="T1404" s="155">
        <v>0</v>
      </c>
      <c r="U1404" s="155">
        <v>0</v>
      </c>
    </row>
    <row r="1405" spans="2:21" x14ac:dyDescent="0.3">
      <c r="B1405" s="47"/>
      <c r="C1405" s="24"/>
      <c r="D1405" s="312"/>
      <c r="E1405" s="312"/>
      <c r="G1405" s="47"/>
      <c r="H1405" s="24"/>
      <c r="I1405" s="312"/>
      <c r="J1405" s="312"/>
      <c r="L1405" s="47"/>
      <c r="M1405" s="24"/>
      <c r="N1405" s="312"/>
      <c r="O1405" s="312"/>
      <c r="Q1405" s="241">
        <v>70010009</v>
      </c>
      <c r="R1405" s="242"/>
      <c r="S1405" s="243" t="s">
        <v>1070</v>
      </c>
      <c r="T1405" s="239">
        <f>SUM(T1406:T1412)-SUM(U1406:U1412)</f>
        <v>5354676</v>
      </c>
      <c r="U1405" s="240">
        <v>0</v>
      </c>
    </row>
    <row r="1406" spans="2:21" x14ac:dyDescent="0.3">
      <c r="B1406" s="47"/>
      <c r="C1406" s="24"/>
      <c r="D1406" s="312"/>
      <c r="E1406" s="312"/>
      <c r="G1406" s="47"/>
      <c r="H1406" s="24"/>
      <c r="I1406" s="312"/>
      <c r="J1406" s="312"/>
      <c r="L1406" s="47"/>
      <c r="M1406" s="24"/>
      <c r="N1406" s="312"/>
      <c r="O1406" s="312"/>
      <c r="Q1406" s="47"/>
      <c r="R1406" s="136" t="s">
        <v>2138</v>
      </c>
      <c r="S1406" s="24" t="s">
        <v>7</v>
      </c>
      <c r="T1406" s="155">
        <v>2618160</v>
      </c>
      <c r="U1406" s="155">
        <v>0</v>
      </c>
    </row>
    <row r="1407" spans="2:21" x14ac:dyDescent="0.3">
      <c r="B1407" s="47"/>
      <c r="C1407" s="24"/>
      <c r="D1407" s="312"/>
      <c r="E1407" s="312"/>
      <c r="G1407" s="47"/>
      <c r="H1407" s="24"/>
      <c r="I1407" s="312"/>
      <c r="J1407" s="312"/>
      <c r="L1407" s="47"/>
      <c r="M1407" s="24"/>
      <c r="N1407" s="312"/>
      <c r="O1407" s="312"/>
      <c r="Q1407" s="47"/>
      <c r="R1407" s="136" t="s">
        <v>1177</v>
      </c>
      <c r="S1407" s="24" t="s">
        <v>2141</v>
      </c>
      <c r="T1407" s="155">
        <v>427825</v>
      </c>
      <c r="U1407" s="155">
        <v>0</v>
      </c>
    </row>
    <row r="1408" spans="2:21" x14ac:dyDescent="0.3">
      <c r="B1408" s="47"/>
      <c r="C1408" s="24"/>
      <c r="D1408" s="312"/>
      <c r="E1408" s="312"/>
      <c r="G1408" s="47"/>
      <c r="H1408" s="24"/>
      <c r="I1408" s="312"/>
      <c r="J1408" s="312"/>
      <c r="L1408" s="47"/>
      <c r="M1408" s="24"/>
      <c r="N1408" s="312"/>
      <c r="O1408" s="312"/>
      <c r="Q1408" s="47"/>
      <c r="R1408" s="136" t="s">
        <v>1179</v>
      </c>
      <c r="S1408" s="24" t="s">
        <v>2148</v>
      </c>
      <c r="T1408" s="155">
        <v>489080</v>
      </c>
      <c r="U1408" s="155">
        <v>0</v>
      </c>
    </row>
    <row r="1409" spans="2:21" x14ac:dyDescent="0.3">
      <c r="B1409" s="47"/>
      <c r="C1409" s="24"/>
      <c r="D1409" s="312"/>
      <c r="E1409" s="312"/>
      <c r="G1409" s="47"/>
      <c r="H1409" s="24"/>
      <c r="I1409" s="312"/>
      <c r="J1409" s="312"/>
      <c r="L1409" s="47"/>
      <c r="M1409" s="24"/>
      <c r="N1409" s="312"/>
      <c r="O1409" s="312"/>
      <c r="Q1409" s="47"/>
      <c r="R1409" s="136" t="s">
        <v>1179</v>
      </c>
      <c r="S1409" s="24" t="s">
        <v>2143</v>
      </c>
      <c r="T1409" s="155">
        <v>423234</v>
      </c>
      <c r="U1409" s="155">
        <v>0</v>
      </c>
    </row>
    <row r="1410" spans="2:21" x14ac:dyDescent="0.3">
      <c r="B1410" s="47"/>
      <c r="C1410" s="24"/>
      <c r="D1410" s="312"/>
      <c r="E1410" s="312"/>
      <c r="G1410" s="47"/>
      <c r="H1410" s="24"/>
      <c r="I1410" s="312"/>
      <c r="J1410" s="312"/>
      <c r="L1410" s="47"/>
      <c r="M1410" s="24"/>
      <c r="N1410" s="312"/>
      <c r="O1410" s="312"/>
      <c r="Q1410" s="47"/>
      <c r="R1410" s="136" t="s">
        <v>1179</v>
      </c>
      <c r="S1410" s="24" t="s">
        <v>2145</v>
      </c>
      <c r="T1410" s="155">
        <v>188852</v>
      </c>
      <c r="U1410" s="155">
        <v>0</v>
      </c>
    </row>
    <row r="1411" spans="2:21" x14ac:dyDescent="0.3">
      <c r="B1411" s="47"/>
      <c r="C1411" s="24"/>
      <c r="D1411" s="312"/>
      <c r="E1411" s="312"/>
      <c r="G1411" s="47"/>
      <c r="H1411" s="24"/>
      <c r="I1411" s="312"/>
      <c r="J1411" s="312"/>
      <c r="L1411" s="47"/>
      <c r="M1411" s="24"/>
      <c r="N1411" s="312"/>
      <c r="O1411" s="312"/>
      <c r="Q1411" s="47"/>
      <c r="R1411" s="136" t="s">
        <v>2150</v>
      </c>
      <c r="S1411" s="24" t="s">
        <v>2151</v>
      </c>
      <c r="T1411" s="155">
        <v>521892</v>
      </c>
      <c r="U1411" s="155">
        <v>0</v>
      </c>
    </row>
    <row r="1412" spans="2:21" x14ac:dyDescent="0.3">
      <c r="B1412" s="47"/>
      <c r="C1412" s="24"/>
      <c r="D1412" s="312"/>
      <c r="E1412" s="312"/>
      <c r="G1412" s="47"/>
      <c r="H1412" s="24"/>
      <c r="I1412" s="312"/>
      <c r="J1412" s="312"/>
      <c r="L1412" s="47"/>
      <c r="M1412" s="24"/>
      <c r="N1412" s="312"/>
      <c r="O1412" s="312"/>
      <c r="Q1412" s="47"/>
      <c r="R1412" s="136" t="s">
        <v>2152</v>
      </c>
      <c r="S1412" s="24" t="s">
        <v>2153</v>
      </c>
      <c r="T1412" s="155">
        <v>685633</v>
      </c>
      <c r="U1412" s="155">
        <v>0</v>
      </c>
    </row>
    <row r="1413" spans="2:21" x14ac:dyDescent="0.3">
      <c r="B1413" s="47"/>
      <c r="C1413" s="24"/>
      <c r="D1413" s="312"/>
      <c r="E1413" s="312"/>
      <c r="G1413" s="47"/>
      <c r="H1413" s="24"/>
      <c r="I1413" s="312"/>
      <c r="J1413" s="312"/>
      <c r="L1413" s="47"/>
      <c r="M1413" s="24"/>
      <c r="N1413" s="312"/>
      <c r="O1413" s="312"/>
      <c r="Q1413" s="241">
        <v>70010010</v>
      </c>
      <c r="R1413" s="242"/>
      <c r="S1413" s="243" t="s">
        <v>1072</v>
      </c>
      <c r="T1413" s="239">
        <f>SUM(T1414:T1420)-SUM(U1414:U1420)</f>
        <v>124578</v>
      </c>
      <c r="U1413" s="240">
        <v>0</v>
      </c>
    </row>
    <row r="1414" spans="2:21" x14ac:dyDescent="0.3">
      <c r="B1414" s="47"/>
      <c r="C1414" s="24"/>
      <c r="D1414" s="312"/>
      <c r="E1414" s="312"/>
      <c r="G1414" s="47"/>
      <c r="H1414" s="24"/>
      <c r="I1414" s="312"/>
      <c r="J1414" s="312"/>
      <c r="L1414" s="47"/>
      <c r="M1414" s="24"/>
      <c r="N1414" s="312"/>
      <c r="O1414" s="312"/>
      <c r="Q1414" s="47"/>
      <c r="R1414" s="136" t="s">
        <v>2138</v>
      </c>
      <c r="S1414" s="24" t="s">
        <v>7</v>
      </c>
      <c r="T1414" s="155">
        <v>65640</v>
      </c>
      <c r="U1414" s="155">
        <v>0</v>
      </c>
    </row>
    <row r="1415" spans="2:21" x14ac:dyDescent="0.3">
      <c r="B1415" s="47"/>
      <c r="C1415" s="24"/>
      <c r="D1415" s="312"/>
      <c r="E1415" s="312"/>
      <c r="G1415" s="47"/>
      <c r="H1415" s="24"/>
      <c r="I1415" s="312"/>
      <c r="J1415" s="312"/>
      <c r="L1415" s="47"/>
      <c r="M1415" s="24"/>
      <c r="N1415" s="312"/>
      <c r="O1415" s="312"/>
      <c r="Q1415" s="47"/>
      <c r="R1415" s="136" t="s">
        <v>1177</v>
      </c>
      <c r="S1415" s="24" t="s">
        <v>2141</v>
      </c>
      <c r="T1415" s="155">
        <v>4064</v>
      </c>
      <c r="U1415" s="155">
        <v>0</v>
      </c>
    </row>
    <row r="1416" spans="2:21" x14ac:dyDescent="0.3">
      <c r="B1416" s="47"/>
      <c r="C1416" s="24"/>
      <c r="D1416" s="312"/>
      <c r="E1416" s="312"/>
      <c r="G1416" s="47"/>
      <c r="H1416" s="24"/>
      <c r="I1416" s="312"/>
      <c r="J1416" s="312"/>
      <c r="L1416" s="47"/>
      <c r="M1416" s="24"/>
      <c r="N1416" s="312"/>
      <c r="O1416" s="312"/>
      <c r="Q1416" s="47"/>
      <c r="R1416" s="136" t="s">
        <v>1179</v>
      </c>
      <c r="S1416" s="24" t="s">
        <v>2148</v>
      </c>
      <c r="T1416" s="155">
        <v>8127</v>
      </c>
      <c r="U1416" s="155">
        <v>0</v>
      </c>
    </row>
    <row r="1417" spans="2:21" x14ac:dyDescent="0.3">
      <c r="B1417" s="47"/>
      <c r="C1417" s="24"/>
      <c r="D1417" s="312"/>
      <c r="E1417" s="312"/>
      <c r="G1417" s="47"/>
      <c r="H1417" s="24"/>
      <c r="I1417" s="312"/>
      <c r="J1417" s="312"/>
      <c r="L1417" s="47"/>
      <c r="M1417" s="24"/>
      <c r="N1417" s="312"/>
      <c r="O1417" s="312"/>
      <c r="Q1417" s="47"/>
      <c r="R1417" s="136" t="s">
        <v>1179</v>
      </c>
      <c r="S1417" s="24" t="s">
        <v>2143</v>
      </c>
      <c r="T1417" s="155">
        <v>10157</v>
      </c>
      <c r="U1417" s="155">
        <v>0</v>
      </c>
    </row>
    <row r="1418" spans="2:21" x14ac:dyDescent="0.3">
      <c r="B1418" s="47"/>
      <c r="C1418" s="24"/>
      <c r="D1418" s="312"/>
      <c r="E1418" s="312"/>
      <c r="G1418" s="47"/>
      <c r="H1418" s="24"/>
      <c r="I1418" s="312"/>
      <c r="J1418" s="312"/>
      <c r="L1418" s="47"/>
      <c r="M1418" s="24"/>
      <c r="N1418" s="312"/>
      <c r="O1418" s="312"/>
      <c r="Q1418" s="47"/>
      <c r="R1418" s="136" t="s">
        <v>1179</v>
      </c>
      <c r="S1418" s="24" t="s">
        <v>2145</v>
      </c>
      <c r="T1418" s="155">
        <v>5081</v>
      </c>
      <c r="U1418" s="155">
        <v>0</v>
      </c>
    </row>
    <row r="1419" spans="2:21" x14ac:dyDescent="0.3">
      <c r="B1419" s="47"/>
      <c r="C1419" s="24"/>
      <c r="D1419" s="312"/>
      <c r="E1419" s="312"/>
      <c r="G1419" s="47"/>
      <c r="H1419" s="24"/>
      <c r="I1419" s="312"/>
      <c r="J1419" s="312"/>
      <c r="L1419" s="47"/>
      <c r="M1419" s="24"/>
      <c r="N1419" s="312"/>
      <c r="O1419" s="312"/>
      <c r="Q1419" s="47"/>
      <c r="R1419" s="136" t="s">
        <v>2150</v>
      </c>
      <c r="S1419" s="24" t="s">
        <v>2151</v>
      </c>
      <c r="T1419" s="155">
        <v>13212</v>
      </c>
      <c r="U1419" s="155">
        <v>0</v>
      </c>
    </row>
    <row r="1420" spans="2:21" x14ac:dyDescent="0.3">
      <c r="B1420" s="47"/>
      <c r="C1420" s="24"/>
      <c r="D1420" s="312"/>
      <c r="E1420" s="312"/>
      <c r="G1420" s="47"/>
      <c r="H1420" s="24"/>
      <c r="I1420" s="312"/>
      <c r="J1420" s="312"/>
      <c r="L1420" s="47"/>
      <c r="M1420" s="24"/>
      <c r="N1420" s="312"/>
      <c r="O1420" s="312"/>
      <c r="Q1420" s="47"/>
      <c r="R1420" s="136" t="s">
        <v>2152</v>
      </c>
      <c r="S1420" s="24" t="s">
        <v>2153</v>
      </c>
      <c r="T1420" s="155">
        <v>18297</v>
      </c>
      <c r="U1420" s="155">
        <v>0</v>
      </c>
    </row>
    <row r="1421" spans="2:21" x14ac:dyDescent="0.3">
      <c r="B1421" s="47"/>
      <c r="C1421" s="24"/>
      <c r="D1421" s="312"/>
      <c r="E1421" s="312"/>
      <c r="G1421" s="47"/>
      <c r="H1421" s="24"/>
      <c r="I1421" s="312"/>
      <c r="J1421" s="312"/>
      <c r="L1421" s="47"/>
      <c r="M1421" s="24"/>
      <c r="N1421" s="312"/>
      <c r="O1421" s="312"/>
      <c r="Q1421" s="241">
        <v>70010011</v>
      </c>
      <c r="R1421" s="242"/>
      <c r="S1421" s="243" t="s">
        <v>2064</v>
      </c>
      <c r="T1421" s="239">
        <f>SUM(T1422:T1428)-SUM(U1422:U1428)</f>
        <v>377556</v>
      </c>
      <c r="U1421" s="240">
        <v>0</v>
      </c>
    </row>
    <row r="1422" spans="2:21" x14ac:dyDescent="0.3">
      <c r="B1422" s="47"/>
      <c r="C1422" s="24"/>
      <c r="D1422" s="312"/>
      <c r="E1422" s="312"/>
      <c r="G1422" s="47"/>
      <c r="H1422" s="24"/>
      <c r="I1422" s="312"/>
      <c r="J1422" s="312"/>
      <c r="L1422" s="47"/>
      <c r="M1422" s="24"/>
      <c r="N1422" s="312"/>
      <c r="O1422" s="312"/>
      <c r="Q1422" s="47"/>
      <c r="R1422" s="136" t="s">
        <v>2138</v>
      </c>
      <c r="S1422" s="24" t="s">
        <v>7</v>
      </c>
      <c r="T1422" s="155">
        <v>228970</v>
      </c>
      <c r="U1422" s="155">
        <v>0</v>
      </c>
    </row>
    <row r="1423" spans="2:21" x14ac:dyDescent="0.3">
      <c r="B1423" s="47"/>
      <c r="C1423" s="24"/>
      <c r="D1423" s="312"/>
      <c r="E1423" s="312"/>
      <c r="G1423" s="47"/>
      <c r="H1423" s="24"/>
      <c r="I1423" s="312"/>
      <c r="J1423" s="312"/>
      <c r="L1423" s="47"/>
      <c r="M1423" s="24"/>
      <c r="N1423" s="312"/>
      <c r="O1423" s="312"/>
      <c r="Q1423" s="47"/>
      <c r="R1423" s="136" t="s">
        <v>1177</v>
      </c>
      <c r="S1423" s="24" t="s">
        <v>2141</v>
      </c>
      <c r="T1423" s="155">
        <v>28823</v>
      </c>
      <c r="U1423" s="155">
        <v>0</v>
      </c>
    </row>
    <row r="1424" spans="2:21" x14ac:dyDescent="0.3">
      <c r="B1424" s="47"/>
      <c r="C1424" s="24"/>
      <c r="D1424" s="312"/>
      <c r="E1424" s="312"/>
      <c r="G1424" s="47"/>
      <c r="H1424" s="24"/>
      <c r="I1424" s="312"/>
      <c r="J1424" s="312"/>
      <c r="L1424" s="47"/>
      <c r="M1424" s="24"/>
      <c r="N1424" s="312"/>
      <c r="O1424" s="312"/>
      <c r="Q1424" s="47"/>
      <c r="R1424" s="136" t="s">
        <v>1179</v>
      </c>
      <c r="S1424" s="24" t="s">
        <v>2148</v>
      </c>
      <c r="T1424" s="155">
        <v>16910</v>
      </c>
      <c r="U1424" s="155">
        <v>0</v>
      </c>
    </row>
    <row r="1425" spans="2:21" x14ac:dyDescent="0.3">
      <c r="B1425" s="47"/>
      <c r="C1425" s="24"/>
      <c r="D1425" s="312"/>
      <c r="E1425" s="312"/>
      <c r="G1425" s="47"/>
      <c r="H1425" s="24"/>
      <c r="I1425" s="312"/>
      <c r="J1425" s="312"/>
      <c r="L1425" s="47"/>
      <c r="M1425" s="24"/>
      <c r="N1425" s="312"/>
      <c r="O1425" s="312"/>
      <c r="Q1425" s="47"/>
      <c r="R1425" s="136" t="s">
        <v>1179</v>
      </c>
      <c r="S1425" s="24" t="s">
        <v>2143</v>
      </c>
      <c r="T1425" s="155">
        <v>16803</v>
      </c>
      <c r="U1425" s="155">
        <v>0</v>
      </c>
    </row>
    <row r="1426" spans="2:21" x14ac:dyDescent="0.3">
      <c r="B1426" s="47"/>
      <c r="C1426" s="24"/>
      <c r="D1426" s="312"/>
      <c r="E1426" s="312"/>
      <c r="G1426" s="47"/>
      <c r="H1426" s="24"/>
      <c r="I1426" s="312"/>
      <c r="J1426" s="312"/>
      <c r="L1426" s="47"/>
      <c r="M1426" s="24"/>
      <c r="N1426" s="312"/>
      <c r="O1426" s="312"/>
      <c r="Q1426" s="47"/>
      <c r="R1426" s="136" t="s">
        <v>1179</v>
      </c>
      <c r="S1426" s="24" t="s">
        <v>2145</v>
      </c>
      <c r="T1426" s="155">
        <v>9566</v>
      </c>
      <c r="U1426" s="155">
        <v>0</v>
      </c>
    </row>
    <row r="1427" spans="2:21" x14ac:dyDescent="0.3">
      <c r="B1427" s="47"/>
      <c r="C1427" s="24"/>
      <c r="D1427" s="312"/>
      <c r="E1427" s="312"/>
      <c r="G1427" s="47"/>
      <c r="H1427" s="24"/>
      <c r="I1427" s="312"/>
      <c r="J1427" s="312"/>
      <c r="L1427" s="47"/>
      <c r="M1427" s="24"/>
      <c r="N1427" s="312"/>
      <c r="O1427" s="312"/>
      <c r="Q1427" s="47"/>
      <c r="R1427" s="136" t="s">
        <v>2150</v>
      </c>
      <c r="S1427" s="24" t="s">
        <v>2151</v>
      </c>
      <c r="T1427" s="155">
        <v>33752</v>
      </c>
      <c r="U1427" s="155">
        <v>0</v>
      </c>
    </row>
    <row r="1428" spans="2:21" x14ac:dyDescent="0.3">
      <c r="B1428" s="47"/>
      <c r="C1428" s="24"/>
      <c r="D1428" s="312"/>
      <c r="E1428" s="312"/>
      <c r="G1428" s="47"/>
      <c r="H1428" s="24"/>
      <c r="I1428" s="312"/>
      <c r="J1428" s="312"/>
      <c r="L1428" s="47"/>
      <c r="M1428" s="24"/>
      <c r="N1428" s="312"/>
      <c r="O1428" s="312"/>
      <c r="Q1428" s="47"/>
      <c r="R1428" s="136" t="s">
        <v>2152</v>
      </c>
      <c r="S1428" s="24" t="s">
        <v>2153</v>
      </c>
      <c r="T1428" s="155">
        <v>42732</v>
      </c>
      <c r="U1428" s="155">
        <v>0</v>
      </c>
    </row>
    <row r="1429" spans="2:21" x14ac:dyDescent="0.3">
      <c r="B1429" s="47"/>
      <c r="C1429" s="24"/>
      <c r="D1429" s="312"/>
      <c r="E1429" s="312"/>
      <c r="G1429" s="47"/>
      <c r="H1429" s="24"/>
      <c r="I1429" s="312"/>
      <c r="J1429" s="312"/>
      <c r="L1429" s="47"/>
      <c r="M1429" s="24"/>
      <c r="N1429" s="312"/>
      <c r="O1429" s="312"/>
      <c r="Q1429" s="241">
        <v>70010012</v>
      </c>
      <c r="R1429" s="242"/>
      <c r="S1429" s="243" t="s">
        <v>1074</v>
      </c>
      <c r="T1429" s="239">
        <f>SUM(T1430)-SUM(U1430)</f>
        <v>297367</v>
      </c>
      <c r="U1429" s="240">
        <v>0</v>
      </c>
    </row>
    <row r="1430" spans="2:21" x14ac:dyDescent="0.3">
      <c r="B1430" s="47"/>
      <c r="C1430" s="24"/>
      <c r="D1430" s="312"/>
      <c r="E1430" s="312"/>
      <c r="G1430" s="47"/>
      <c r="H1430" s="24"/>
      <c r="I1430" s="312"/>
      <c r="J1430" s="312"/>
      <c r="L1430" s="47"/>
      <c r="M1430" s="24"/>
      <c r="N1430" s="312"/>
      <c r="O1430" s="312"/>
      <c r="Q1430" s="47"/>
      <c r="R1430" s="136" t="s">
        <v>2138</v>
      </c>
      <c r="S1430" s="24" t="s">
        <v>7</v>
      </c>
      <c r="T1430" s="155">
        <v>297367</v>
      </c>
      <c r="U1430" s="155">
        <v>0</v>
      </c>
    </row>
    <row r="1431" spans="2:21" x14ac:dyDescent="0.3">
      <c r="B1431" s="47"/>
      <c r="C1431" s="24"/>
      <c r="D1431" s="312"/>
      <c r="E1431" s="312"/>
      <c r="G1431" s="47"/>
      <c r="H1431" s="24"/>
      <c r="I1431" s="312"/>
      <c r="J1431" s="312"/>
      <c r="L1431" s="47"/>
      <c r="M1431" s="24"/>
      <c r="N1431" s="312"/>
      <c r="O1431" s="312"/>
      <c r="Q1431" s="241">
        <v>70010013</v>
      </c>
      <c r="R1431" s="242"/>
      <c r="S1431" s="243" t="s">
        <v>1073</v>
      </c>
      <c r="T1431" s="240">
        <v>0</v>
      </c>
      <c r="U1431" s="240">
        <v>0</v>
      </c>
    </row>
    <row r="1432" spans="2:21" x14ac:dyDescent="0.3">
      <c r="B1432" s="47"/>
      <c r="C1432" s="24"/>
      <c r="D1432" s="312"/>
      <c r="E1432" s="312"/>
      <c r="G1432" s="47"/>
      <c r="H1432" s="24"/>
      <c r="I1432" s="312"/>
      <c r="J1432" s="312"/>
      <c r="L1432" s="47"/>
      <c r="M1432" s="24"/>
      <c r="N1432" s="312"/>
      <c r="O1432" s="312"/>
      <c r="Q1432" s="241">
        <v>70010014</v>
      </c>
      <c r="R1432" s="242"/>
      <c r="S1432" s="243" t="s">
        <v>1076</v>
      </c>
      <c r="T1432" s="240">
        <v>0</v>
      </c>
      <c r="U1432" s="240">
        <v>0</v>
      </c>
    </row>
    <row r="1433" spans="2:21" x14ac:dyDescent="0.3">
      <c r="B1433" s="47"/>
      <c r="C1433" s="24"/>
      <c r="D1433" s="312"/>
      <c r="E1433" s="312"/>
      <c r="G1433" s="47"/>
      <c r="H1433" s="24"/>
      <c r="I1433" s="312"/>
      <c r="J1433" s="312"/>
      <c r="L1433" s="47"/>
      <c r="M1433" s="24"/>
      <c r="N1433" s="312"/>
      <c r="O1433" s="312"/>
      <c r="Q1433" s="241">
        <v>70010015</v>
      </c>
      <c r="R1433" s="242"/>
      <c r="S1433" s="243" t="s">
        <v>1071</v>
      </c>
      <c r="T1433" s="240">
        <v>0</v>
      </c>
      <c r="U1433" s="240">
        <v>0</v>
      </c>
    </row>
    <row r="1434" spans="2:21" x14ac:dyDescent="0.3">
      <c r="B1434" s="47"/>
      <c r="C1434" s="24"/>
      <c r="D1434" s="312"/>
      <c r="E1434" s="312"/>
      <c r="G1434" s="47"/>
      <c r="H1434" s="24"/>
      <c r="I1434" s="312"/>
      <c r="J1434" s="312"/>
      <c r="L1434" s="47"/>
      <c r="M1434" s="24"/>
      <c r="N1434" s="312"/>
      <c r="O1434" s="312"/>
      <c r="Q1434" s="241">
        <v>70010016</v>
      </c>
      <c r="R1434" s="242"/>
      <c r="S1434" s="243" t="s">
        <v>1075</v>
      </c>
      <c r="T1434" s="239">
        <f>SUM(T1435)-SUM(U1435)</f>
        <v>565667</v>
      </c>
      <c r="U1434" s="240">
        <v>0</v>
      </c>
    </row>
    <row r="1435" spans="2:21" x14ac:dyDescent="0.3">
      <c r="B1435" s="47"/>
      <c r="C1435" s="24"/>
      <c r="D1435" s="312"/>
      <c r="E1435" s="312"/>
      <c r="G1435" s="47"/>
      <c r="H1435" s="24"/>
      <c r="I1435" s="312"/>
      <c r="J1435" s="312"/>
      <c r="L1435" s="47"/>
      <c r="M1435" s="24"/>
      <c r="N1435" s="312"/>
      <c r="O1435" s="312"/>
      <c r="Q1435" s="47"/>
      <c r="R1435" s="136" t="s">
        <v>2138</v>
      </c>
      <c r="S1435" s="24" t="s">
        <v>7</v>
      </c>
      <c r="T1435" s="155">
        <v>565667</v>
      </c>
      <c r="U1435" s="155">
        <v>0</v>
      </c>
    </row>
    <row r="1436" spans="2:21" x14ac:dyDescent="0.3">
      <c r="B1436" s="47"/>
      <c r="C1436" s="24"/>
      <c r="D1436" s="312"/>
      <c r="E1436" s="312"/>
      <c r="G1436" s="47"/>
      <c r="H1436" s="24"/>
      <c r="I1436" s="312"/>
      <c r="J1436" s="312"/>
      <c r="L1436" s="47"/>
      <c r="M1436" s="24"/>
      <c r="N1436" s="312"/>
      <c r="O1436" s="312"/>
      <c r="Q1436" s="47"/>
      <c r="R1436" s="136"/>
      <c r="S1436" s="24"/>
      <c r="T1436" s="155"/>
      <c r="U1436" s="155"/>
    </row>
    <row r="1437" spans="2:21" x14ac:dyDescent="0.3">
      <c r="B1437" s="47"/>
      <c r="C1437" s="24"/>
      <c r="D1437" s="312"/>
      <c r="E1437" s="312"/>
      <c r="G1437" s="47"/>
      <c r="H1437" s="24"/>
      <c r="I1437" s="312"/>
      <c r="J1437" s="312"/>
      <c r="K1437">
        <v>7002</v>
      </c>
      <c r="L1437" s="241">
        <v>7002</v>
      </c>
      <c r="M1437" s="243" t="s">
        <v>907</v>
      </c>
      <c r="N1437" s="314">
        <f>T1437+T1438+T1439+T1440</f>
        <v>0</v>
      </c>
      <c r="O1437" s="314">
        <v>0</v>
      </c>
      <c r="Q1437" s="241">
        <v>70020001</v>
      </c>
      <c r="R1437" s="242"/>
      <c r="S1437" s="243" t="s">
        <v>1063</v>
      </c>
      <c r="T1437" s="240">
        <v>0</v>
      </c>
      <c r="U1437" s="240">
        <v>0</v>
      </c>
    </row>
    <row r="1438" spans="2:21" x14ac:dyDescent="0.3">
      <c r="B1438" s="47"/>
      <c r="C1438" s="24"/>
      <c r="D1438" s="312"/>
      <c r="E1438" s="312"/>
      <c r="G1438" s="47"/>
      <c r="H1438" s="24"/>
      <c r="I1438" s="312"/>
      <c r="J1438" s="312"/>
      <c r="L1438" s="47"/>
      <c r="M1438" s="24"/>
      <c r="N1438" s="312"/>
      <c r="O1438" s="312"/>
      <c r="Q1438" s="241">
        <v>70020002</v>
      </c>
      <c r="R1438" s="242"/>
      <c r="S1438" s="243" t="s">
        <v>1079</v>
      </c>
      <c r="T1438" s="240">
        <v>0</v>
      </c>
      <c r="U1438" s="240">
        <v>0</v>
      </c>
    </row>
    <row r="1439" spans="2:21" x14ac:dyDescent="0.3">
      <c r="B1439" s="47"/>
      <c r="C1439" s="24"/>
      <c r="D1439" s="312"/>
      <c r="E1439" s="312"/>
      <c r="G1439" s="47"/>
      <c r="H1439" s="24"/>
      <c r="I1439" s="312"/>
      <c r="J1439" s="312"/>
      <c r="L1439" s="47"/>
      <c r="M1439" s="24"/>
      <c r="N1439" s="312"/>
      <c r="O1439" s="312"/>
      <c r="Q1439" s="241">
        <v>70020003</v>
      </c>
      <c r="R1439" s="242"/>
      <c r="S1439" s="243" t="s">
        <v>1080</v>
      </c>
      <c r="T1439" s="240">
        <v>0</v>
      </c>
      <c r="U1439" s="240">
        <v>0</v>
      </c>
    </row>
    <row r="1440" spans="2:21" x14ac:dyDescent="0.3">
      <c r="B1440" s="47"/>
      <c r="C1440" s="24"/>
      <c r="D1440" s="312"/>
      <c r="E1440" s="312"/>
      <c r="G1440" s="47"/>
      <c r="H1440" s="24"/>
      <c r="I1440" s="312"/>
      <c r="J1440" s="312"/>
      <c r="L1440" s="47"/>
      <c r="M1440" s="24"/>
      <c r="N1440" s="312"/>
      <c r="O1440" s="312"/>
      <c r="Q1440" s="241">
        <v>70020005</v>
      </c>
      <c r="R1440" s="242"/>
      <c r="S1440" s="243" t="s">
        <v>1082</v>
      </c>
      <c r="T1440" s="240">
        <v>0</v>
      </c>
      <c r="U1440" s="240">
        <v>0</v>
      </c>
    </row>
    <row r="1441" spans="2:21" x14ac:dyDescent="0.3">
      <c r="B1441" s="47"/>
      <c r="C1441" s="24"/>
      <c r="D1441" s="312"/>
      <c r="E1441" s="312"/>
      <c r="G1441" s="47"/>
      <c r="H1441" s="24"/>
      <c r="I1441" s="312"/>
      <c r="J1441" s="312"/>
      <c r="L1441" s="47"/>
      <c r="M1441" s="24"/>
      <c r="N1441" s="312"/>
      <c r="O1441" s="312"/>
      <c r="Q1441" s="47"/>
      <c r="R1441" s="136"/>
      <c r="S1441" s="24"/>
      <c r="T1441" s="155"/>
      <c r="U1441" s="155"/>
    </row>
    <row r="1442" spans="2:21" x14ac:dyDescent="0.3">
      <c r="B1442" s="47"/>
      <c r="C1442" s="24"/>
      <c r="D1442" s="312"/>
      <c r="E1442" s="312"/>
      <c r="G1442" s="47"/>
      <c r="H1442" s="24"/>
      <c r="I1442" s="312"/>
      <c r="J1442" s="312"/>
      <c r="K1442">
        <v>7003</v>
      </c>
      <c r="L1442" s="241">
        <v>7003</v>
      </c>
      <c r="M1442" s="243" t="s">
        <v>908</v>
      </c>
      <c r="N1442" s="314">
        <f>T1442+T1444+T1449+T1451</f>
        <v>1452889</v>
      </c>
      <c r="O1442" s="314">
        <v>0</v>
      </c>
      <c r="Q1442" s="241">
        <v>70030001</v>
      </c>
      <c r="R1442" s="242"/>
      <c r="S1442" s="243" t="s">
        <v>1083</v>
      </c>
      <c r="T1442" s="239">
        <f>SUM(T1443)-SUM(U1443)</f>
        <v>141199</v>
      </c>
      <c r="U1442" s="240">
        <v>0</v>
      </c>
    </row>
    <row r="1443" spans="2:21" x14ac:dyDescent="0.3">
      <c r="B1443" s="47"/>
      <c r="C1443" s="24"/>
      <c r="D1443" s="312"/>
      <c r="E1443" s="312"/>
      <c r="G1443" s="47"/>
      <c r="H1443" s="24"/>
      <c r="I1443" s="312"/>
      <c r="J1443" s="312"/>
      <c r="L1443" s="47"/>
      <c r="M1443" s="24"/>
      <c r="N1443" s="312"/>
      <c r="O1443" s="312"/>
      <c r="Q1443" s="47"/>
      <c r="R1443" s="136" t="s">
        <v>2138</v>
      </c>
      <c r="S1443" s="24" t="s">
        <v>7</v>
      </c>
      <c r="T1443" s="155">
        <v>141199</v>
      </c>
      <c r="U1443" s="155">
        <v>0</v>
      </c>
    </row>
    <row r="1444" spans="2:21" x14ac:dyDescent="0.3">
      <c r="B1444" s="47"/>
      <c r="C1444" s="24"/>
      <c r="D1444" s="312"/>
      <c r="E1444" s="312"/>
      <c r="G1444" s="47"/>
      <c r="H1444" s="24"/>
      <c r="I1444" s="312"/>
      <c r="J1444" s="312"/>
      <c r="L1444" s="47"/>
      <c r="M1444" s="24"/>
      <c r="N1444" s="312"/>
      <c r="O1444" s="312"/>
      <c r="Q1444" s="241">
        <v>70030002</v>
      </c>
      <c r="R1444" s="242"/>
      <c r="S1444" s="243" t="s">
        <v>1084</v>
      </c>
      <c r="T1444" s="239">
        <f>SUM(T1445:T1448)-SUM(U1445:U1448)</f>
        <v>122575</v>
      </c>
      <c r="U1444" s="240">
        <v>0</v>
      </c>
    </row>
    <row r="1445" spans="2:21" x14ac:dyDescent="0.3">
      <c r="B1445" s="47"/>
      <c r="C1445" s="24"/>
      <c r="D1445" s="312"/>
      <c r="E1445" s="312"/>
      <c r="G1445" s="47"/>
      <c r="H1445" s="24"/>
      <c r="I1445" s="312"/>
      <c r="J1445" s="312"/>
      <c r="L1445" s="47"/>
      <c r="M1445" s="24"/>
      <c r="N1445" s="312"/>
      <c r="O1445" s="312"/>
      <c r="Q1445" s="47"/>
      <c r="R1445" s="136" t="s">
        <v>2138</v>
      </c>
      <c r="S1445" s="24" t="s">
        <v>7</v>
      </c>
      <c r="T1445" s="155">
        <v>69575</v>
      </c>
      <c r="U1445" s="155">
        <v>0</v>
      </c>
    </row>
    <row r="1446" spans="2:21" x14ac:dyDescent="0.3">
      <c r="B1446" s="47"/>
      <c r="C1446" s="24"/>
      <c r="D1446" s="312"/>
      <c r="E1446" s="312"/>
      <c r="G1446" s="47"/>
      <c r="H1446" s="24"/>
      <c r="I1446" s="312"/>
      <c r="J1446" s="312"/>
      <c r="L1446" s="47"/>
      <c r="M1446" s="24"/>
      <c r="N1446" s="312"/>
      <c r="O1446" s="312"/>
      <c r="Q1446" s="47"/>
      <c r="R1446" s="136" t="s">
        <v>1177</v>
      </c>
      <c r="S1446" s="24" t="s">
        <v>2141</v>
      </c>
      <c r="T1446" s="155">
        <v>18000</v>
      </c>
      <c r="U1446" s="155">
        <v>0</v>
      </c>
    </row>
    <row r="1447" spans="2:21" x14ac:dyDescent="0.3">
      <c r="B1447" s="47"/>
      <c r="C1447" s="24"/>
      <c r="D1447" s="312"/>
      <c r="E1447" s="312"/>
      <c r="G1447" s="47"/>
      <c r="H1447" s="24"/>
      <c r="I1447" s="312"/>
      <c r="J1447" s="312"/>
      <c r="L1447" s="47"/>
      <c r="M1447" s="24"/>
      <c r="N1447" s="312"/>
      <c r="O1447" s="312"/>
      <c r="Q1447" s="47"/>
      <c r="R1447" s="136" t="s">
        <v>2150</v>
      </c>
      <c r="S1447" s="24" t="s">
        <v>2151</v>
      </c>
      <c r="T1447" s="155">
        <v>8000</v>
      </c>
      <c r="U1447" s="155">
        <v>0</v>
      </c>
    </row>
    <row r="1448" spans="2:21" x14ac:dyDescent="0.3">
      <c r="B1448" s="47"/>
      <c r="C1448" s="24"/>
      <c r="D1448" s="312"/>
      <c r="E1448" s="312"/>
      <c r="G1448" s="47"/>
      <c r="H1448" s="24"/>
      <c r="I1448" s="312"/>
      <c r="J1448" s="312"/>
      <c r="L1448" s="47"/>
      <c r="M1448" s="24"/>
      <c r="N1448" s="312"/>
      <c r="O1448" s="312"/>
      <c r="Q1448" s="47"/>
      <c r="R1448" s="136" t="s">
        <v>2152</v>
      </c>
      <c r="S1448" s="24" t="s">
        <v>2153</v>
      </c>
      <c r="T1448" s="155">
        <v>27000</v>
      </c>
      <c r="U1448" s="155">
        <v>0</v>
      </c>
    </row>
    <row r="1449" spans="2:21" x14ac:dyDescent="0.3">
      <c r="B1449" s="47"/>
      <c r="C1449" s="24"/>
      <c r="D1449" s="312"/>
      <c r="E1449" s="312"/>
      <c r="G1449" s="47"/>
      <c r="H1449" s="24"/>
      <c r="I1449" s="312"/>
      <c r="J1449" s="312"/>
      <c r="L1449" s="47"/>
      <c r="M1449" s="24"/>
      <c r="N1449" s="312"/>
      <c r="O1449" s="312"/>
      <c r="Q1449" s="241">
        <v>70030003</v>
      </c>
      <c r="R1449" s="242"/>
      <c r="S1449" s="243" t="s">
        <v>1085</v>
      </c>
      <c r="T1449" s="239">
        <f>SUM(T1450)-SUM(U1450)</f>
        <v>685067</v>
      </c>
      <c r="U1449" s="240">
        <v>0</v>
      </c>
    </row>
    <row r="1450" spans="2:21" x14ac:dyDescent="0.3">
      <c r="B1450" s="47"/>
      <c r="C1450" s="24"/>
      <c r="D1450" s="312"/>
      <c r="E1450" s="312"/>
      <c r="G1450" s="47"/>
      <c r="H1450" s="24"/>
      <c r="I1450" s="312"/>
      <c r="J1450" s="312"/>
      <c r="L1450" s="47"/>
      <c r="M1450" s="24"/>
      <c r="N1450" s="312"/>
      <c r="O1450" s="312"/>
      <c r="Q1450" s="47"/>
      <c r="R1450" s="136" t="s">
        <v>2138</v>
      </c>
      <c r="S1450" s="24" t="s">
        <v>7</v>
      </c>
      <c r="T1450" s="155">
        <v>685067</v>
      </c>
      <c r="U1450" s="155">
        <v>0</v>
      </c>
    </row>
    <row r="1451" spans="2:21" x14ac:dyDescent="0.3">
      <c r="B1451" s="47"/>
      <c r="C1451" s="24"/>
      <c r="D1451" s="312"/>
      <c r="E1451" s="312"/>
      <c r="G1451" s="47"/>
      <c r="H1451" s="24"/>
      <c r="I1451" s="312"/>
      <c r="J1451" s="312"/>
      <c r="L1451" s="47"/>
      <c r="M1451" s="24"/>
      <c r="N1451" s="312"/>
      <c r="O1451" s="312"/>
      <c r="Q1451" s="241">
        <v>70030004</v>
      </c>
      <c r="R1451" s="242"/>
      <c r="S1451" s="243" t="s">
        <v>1086</v>
      </c>
      <c r="T1451" s="239">
        <f>SUM(T1452:T1458)-SUM(U1452:U1458)</f>
        <v>504048</v>
      </c>
      <c r="U1451" s="240">
        <v>0</v>
      </c>
    </row>
    <row r="1452" spans="2:21" x14ac:dyDescent="0.3">
      <c r="B1452" s="47"/>
      <c r="C1452" s="24"/>
      <c r="D1452" s="312"/>
      <c r="E1452" s="312"/>
      <c r="G1452" s="47"/>
      <c r="H1452" s="24"/>
      <c r="I1452" s="312"/>
      <c r="J1452" s="312"/>
      <c r="L1452" s="47"/>
      <c r="M1452" s="24"/>
      <c r="N1452" s="312"/>
      <c r="O1452" s="312"/>
      <c r="Q1452" s="47"/>
      <c r="R1452" s="136" t="s">
        <v>2138</v>
      </c>
      <c r="S1452" s="24" t="s">
        <v>7</v>
      </c>
      <c r="T1452" s="155">
        <v>233954</v>
      </c>
      <c r="U1452" s="155">
        <v>0</v>
      </c>
    </row>
    <row r="1453" spans="2:21" x14ac:dyDescent="0.3">
      <c r="B1453" s="47"/>
      <c r="C1453" s="24"/>
      <c r="D1453" s="312"/>
      <c r="E1453" s="312"/>
      <c r="G1453" s="47"/>
      <c r="H1453" s="24"/>
      <c r="I1453" s="312"/>
      <c r="J1453" s="312"/>
      <c r="L1453" s="47"/>
      <c r="M1453" s="24"/>
      <c r="N1453" s="312"/>
      <c r="O1453" s="312"/>
      <c r="Q1453" s="47"/>
      <c r="R1453" s="136" t="s">
        <v>1177</v>
      </c>
      <c r="S1453" s="24" t="s">
        <v>2141</v>
      </c>
      <c r="T1453" s="155">
        <v>1015</v>
      </c>
      <c r="U1453" s="155">
        <v>0</v>
      </c>
    </row>
    <row r="1454" spans="2:21" x14ac:dyDescent="0.3">
      <c r="B1454" s="47"/>
      <c r="C1454" s="24"/>
      <c r="D1454" s="312"/>
      <c r="E1454" s="312"/>
      <c r="G1454" s="47"/>
      <c r="H1454" s="24"/>
      <c r="I1454" s="312"/>
      <c r="J1454" s="312"/>
      <c r="L1454" s="47"/>
      <c r="M1454" s="24"/>
      <c r="N1454" s="312"/>
      <c r="O1454" s="312"/>
      <c r="Q1454" s="47"/>
      <c r="R1454" s="136" t="s">
        <v>1179</v>
      </c>
      <c r="S1454" s="24" t="s">
        <v>2148</v>
      </c>
      <c r="T1454" s="155">
        <v>6385</v>
      </c>
      <c r="U1454" s="155">
        <v>0</v>
      </c>
    </row>
    <row r="1455" spans="2:21" x14ac:dyDescent="0.3">
      <c r="B1455" s="47"/>
      <c r="C1455" s="24"/>
      <c r="D1455" s="312"/>
      <c r="E1455" s="312"/>
      <c r="G1455" s="47"/>
      <c r="H1455" s="24"/>
      <c r="I1455" s="312"/>
      <c r="J1455" s="312"/>
      <c r="L1455" s="47"/>
      <c r="M1455" s="24"/>
      <c r="N1455" s="312"/>
      <c r="O1455" s="312"/>
      <c r="Q1455" s="47"/>
      <c r="R1455" s="136" t="s">
        <v>1179</v>
      </c>
      <c r="S1455" s="24" t="s">
        <v>2143</v>
      </c>
      <c r="T1455" s="155">
        <v>22355</v>
      </c>
      <c r="U1455" s="155">
        <v>0</v>
      </c>
    </row>
    <row r="1456" spans="2:21" x14ac:dyDescent="0.3">
      <c r="B1456" s="47"/>
      <c r="C1456" s="24"/>
      <c r="D1456" s="312"/>
      <c r="E1456" s="312"/>
      <c r="G1456" s="47"/>
      <c r="H1456" s="24"/>
      <c r="I1456" s="312"/>
      <c r="J1456" s="312"/>
      <c r="L1456" s="47"/>
      <c r="M1456" s="24"/>
      <c r="N1456" s="312"/>
      <c r="O1456" s="312"/>
      <c r="Q1456" s="47"/>
      <c r="R1456" s="136" t="s">
        <v>1179</v>
      </c>
      <c r="S1456" s="24" t="s">
        <v>2145</v>
      </c>
      <c r="T1456" s="155">
        <v>750</v>
      </c>
      <c r="U1456" s="155">
        <v>0</v>
      </c>
    </row>
    <row r="1457" spans="2:21" x14ac:dyDescent="0.3">
      <c r="B1457" s="47"/>
      <c r="C1457" s="24"/>
      <c r="D1457" s="312"/>
      <c r="E1457" s="312"/>
      <c r="G1457" s="47"/>
      <c r="H1457" s="24"/>
      <c r="I1457" s="312"/>
      <c r="J1457" s="312"/>
      <c r="L1457" s="47"/>
      <c r="M1457" s="24"/>
      <c r="N1457" s="312"/>
      <c r="O1457" s="312"/>
      <c r="Q1457" s="47"/>
      <c r="R1457" s="136" t="s">
        <v>2150</v>
      </c>
      <c r="S1457" s="24" t="s">
        <v>2151</v>
      </c>
      <c r="T1457" s="155">
        <v>750</v>
      </c>
      <c r="U1457" s="155">
        <v>0</v>
      </c>
    </row>
    <row r="1458" spans="2:21" x14ac:dyDescent="0.3">
      <c r="B1458" s="47"/>
      <c r="C1458" s="24"/>
      <c r="D1458" s="312"/>
      <c r="E1458" s="312"/>
      <c r="G1458" s="47"/>
      <c r="H1458" s="24"/>
      <c r="I1458" s="312"/>
      <c r="J1458" s="312"/>
      <c r="L1458" s="47"/>
      <c r="M1458" s="24"/>
      <c r="N1458" s="312"/>
      <c r="O1458" s="312"/>
      <c r="Q1458" s="47"/>
      <c r="R1458" s="136" t="s">
        <v>2152</v>
      </c>
      <c r="S1458" s="24" t="s">
        <v>2153</v>
      </c>
      <c r="T1458" s="155">
        <v>238839</v>
      </c>
      <c r="U1458" s="155">
        <v>0</v>
      </c>
    </row>
    <row r="1459" spans="2:21" x14ac:dyDescent="0.3">
      <c r="B1459" s="47"/>
      <c r="C1459" s="24"/>
      <c r="D1459" s="312"/>
      <c r="E1459" s="312"/>
      <c r="G1459" s="47"/>
      <c r="H1459" s="24"/>
      <c r="I1459" s="312"/>
      <c r="J1459" s="312"/>
      <c r="L1459" s="47"/>
      <c r="M1459" s="24"/>
      <c r="N1459" s="312"/>
      <c r="O1459" s="312"/>
      <c r="Q1459" s="47"/>
      <c r="R1459" s="136"/>
      <c r="S1459" s="24"/>
      <c r="T1459" s="155"/>
      <c r="U1459" s="155"/>
    </row>
    <row r="1460" spans="2:21" x14ac:dyDescent="0.3">
      <c r="B1460" s="47"/>
      <c r="C1460" s="24"/>
      <c r="D1460" s="312"/>
      <c r="E1460" s="312"/>
      <c r="G1460" s="47"/>
      <c r="H1460" s="24"/>
      <c r="I1460" s="312"/>
      <c r="J1460" s="312"/>
      <c r="K1460">
        <v>7004</v>
      </c>
      <c r="L1460" s="241">
        <v>7004</v>
      </c>
      <c r="M1460" s="243" t="s">
        <v>909</v>
      </c>
      <c r="N1460" s="314">
        <f>T1460+T1462+T1463+T1464+T1466</f>
        <v>2676782</v>
      </c>
      <c r="O1460" s="314">
        <v>0</v>
      </c>
      <c r="Q1460" s="241">
        <v>70040001</v>
      </c>
      <c r="R1460" s="242"/>
      <c r="S1460" s="243" t="s">
        <v>1087</v>
      </c>
      <c r="T1460" s="239">
        <f>SUM(T1461)-SUM(U1461)</f>
        <v>2390297</v>
      </c>
      <c r="U1460" s="240">
        <v>0</v>
      </c>
    </row>
    <row r="1461" spans="2:21" x14ac:dyDescent="0.3">
      <c r="B1461" s="47"/>
      <c r="C1461" s="24"/>
      <c r="D1461" s="312"/>
      <c r="E1461" s="312"/>
      <c r="G1461" s="47"/>
      <c r="H1461" s="24"/>
      <c r="I1461" s="312"/>
      <c r="J1461" s="312"/>
      <c r="L1461" s="47"/>
      <c r="M1461" s="24"/>
      <c r="N1461" s="312"/>
      <c r="O1461" s="312"/>
      <c r="Q1461" s="47"/>
      <c r="R1461" s="136" t="s">
        <v>2138</v>
      </c>
      <c r="S1461" s="24" t="s">
        <v>7</v>
      </c>
      <c r="T1461" s="155">
        <v>2390297</v>
      </c>
      <c r="U1461" s="155">
        <v>0</v>
      </c>
    </row>
    <row r="1462" spans="2:21" x14ac:dyDescent="0.3">
      <c r="B1462" s="47"/>
      <c r="C1462" s="24"/>
      <c r="D1462" s="312"/>
      <c r="E1462" s="312"/>
      <c r="G1462" s="47"/>
      <c r="H1462" s="24"/>
      <c r="I1462" s="312"/>
      <c r="J1462" s="312"/>
      <c r="L1462" s="47"/>
      <c r="M1462" s="24"/>
      <c r="N1462" s="312"/>
      <c r="O1462" s="312"/>
      <c r="Q1462" s="241">
        <v>70040002</v>
      </c>
      <c r="R1462" s="242"/>
      <c r="S1462" s="243" t="s">
        <v>1088</v>
      </c>
      <c r="T1462" s="240">
        <v>0</v>
      </c>
      <c r="U1462" s="240">
        <v>0</v>
      </c>
    </row>
    <row r="1463" spans="2:21" x14ac:dyDescent="0.3">
      <c r="B1463" s="47"/>
      <c r="C1463" s="24"/>
      <c r="D1463" s="312"/>
      <c r="E1463" s="312"/>
      <c r="G1463" s="47"/>
      <c r="H1463" s="24"/>
      <c r="I1463" s="312"/>
      <c r="J1463" s="312"/>
      <c r="L1463" s="47"/>
      <c r="M1463" s="24"/>
      <c r="N1463" s="312"/>
      <c r="O1463" s="312"/>
      <c r="Q1463" s="241">
        <v>70040003</v>
      </c>
      <c r="R1463" s="242"/>
      <c r="S1463" s="243" t="s">
        <v>1089</v>
      </c>
      <c r="T1463" s="240">
        <v>0</v>
      </c>
      <c r="U1463" s="240">
        <v>0</v>
      </c>
    </row>
    <row r="1464" spans="2:21" x14ac:dyDescent="0.3">
      <c r="B1464" s="47"/>
      <c r="C1464" s="24"/>
      <c r="D1464" s="312"/>
      <c r="E1464" s="312"/>
      <c r="G1464" s="47"/>
      <c r="H1464" s="24"/>
      <c r="I1464" s="312"/>
      <c r="J1464" s="312"/>
      <c r="L1464" s="47"/>
      <c r="M1464" s="24"/>
      <c r="N1464" s="312"/>
      <c r="O1464" s="312"/>
      <c r="Q1464" s="241">
        <v>70040004</v>
      </c>
      <c r="R1464" s="242"/>
      <c r="S1464" s="243" t="s">
        <v>1090</v>
      </c>
      <c r="T1464" s="239">
        <f>SUM(T1465)-SUM(U1465)</f>
        <v>286485</v>
      </c>
      <c r="U1464" s="240">
        <v>0</v>
      </c>
    </row>
    <row r="1465" spans="2:21" x14ac:dyDescent="0.3">
      <c r="B1465" s="47"/>
      <c r="C1465" s="24"/>
      <c r="D1465" s="312"/>
      <c r="E1465" s="312"/>
      <c r="G1465" s="47"/>
      <c r="H1465" s="24"/>
      <c r="I1465" s="312"/>
      <c r="J1465" s="312"/>
      <c r="L1465" s="47"/>
      <c r="M1465" s="24"/>
      <c r="N1465" s="312"/>
      <c r="O1465" s="312"/>
      <c r="Q1465" s="47"/>
      <c r="R1465" s="136" t="s">
        <v>2138</v>
      </c>
      <c r="S1465" s="24" t="s">
        <v>7</v>
      </c>
      <c r="T1465" s="155">
        <v>286485</v>
      </c>
      <c r="U1465" s="155">
        <v>0</v>
      </c>
    </row>
    <row r="1466" spans="2:21" x14ac:dyDescent="0.3">
      <c r="B1466" s="47"/>
      <c r="C1466" s="24"/>
      <c r="D1466" s="312"/>
      <c r="E1466" s="312"/>
      <c r="G1466" s="47"/>
      <c r="H1466" s="24"/>
      <c r="I1466" s="312"/>
      <c r="J1466" s="312"/>
      <c r="L1466" s="47"/>
      <c r="M1466" s="24"/>
      <c r="N1466" s="312"/>
      <c r="O1466" s="312"/>
      <c r="Q1466" s="241">
        <v>70040005</v>
      </c>
      <c r="R1466" s="242"/>
      <c r="S1466" s="243" t="s">
        <v>1091</v>
      </c>
      <c r="T1466" s="240">
        <v>0</v>
      </c>
      <c r="U1466" s="240">
        <v>0</v>
      </c>
    </row>
    <row r="1467" spans="2:21" x14ac:dyDescent="0.3">
      <c r="B1467" s="47"/>
      <c r="C1467" s="24"/>
      <c r="D1467" s="312"/>
      <c r="E1467" s="312"/>
      <c r="G1467" s="47"/>
      <c r="H1467" s="24"/>
      <c r="I1467" s="312"/>
      <c r="J1467" s="312"/>
      <c r="L1467" s="47"/>
      <c r="M1467" s="24"/>
      <c r="N1467" s="312"/>
      <c r="O1467" s="312"/>
      <c r="Q1467" s="47"/>
      <c r="R1467" s="136"/>
      <c r="S1467" s="24"/>
      <c r="T1467" s="155"/>
      <c r="U1467" s="155"/>
    </row>
    <row r="1468" spans="2:21" x14ac:dyDescent="0.3">
      <c r="B1468" s="47"/>
      <c r="C1468" s="24"/>
      <c r="D1468" s="312"/>
      <c r="E1468" s="312"/>
      <c r="G1468" s="47"/>
      <c r="H1468" s="24"/>
      <c r="I1468" s="312"/>
      <c r="J1468" s="312"/>
      <c r="K1468">
        <v>7005</v>
      </c>
      <c r="L1468" s="241">
        <v>7005</v>
      </c>
      <c r="M1468" s="243" t="s">
        <v>2072</v>
      </c>
      <c r="N1468" s="314">
        <f>T1468+T1469+T1470+T1471+T1474+T1475+T1479</f>
        <v>1017483</v>
      </c>
      <c r="O1468" s="314">
        <v>0</v>
      </c>
      <c r="Q1468" s="241">
        <v>70050001</v>
      </c>
      <c r="R1468" s="242"/>
      <c r="S1468" s="243" t="s">
        <v>2068</v>
      </c>
      <c r="T1468" s="240">
        <v>0</v>
      </c>
      <c r="U1468" s="240">
        <v>0</v>
      </c>
    </row>
    <row r="1469" spans="2:21" x14ac:dyDescent="0.3">
      <c r="B1469" s="47"/>
      <c r="C1469" s="24"/>
      <c r="D1469" s="312"/>
      <c r="E1469" s="312"/>
      <c r="G1469" s="47"/>
      <c r="H1469" s="24"/>
      <c r="I1469" s="312"/>
      <c r="J1469" s="312"/>
      <c r="L1469" s="47"/>
      <c r="M1469" s="24"/>
      <c r="N1469" s="312"/>
      <c r="O1469" s="312"/>
      <c r="Q1469" s="244">
        <v>70050002</v>
      </c>
      <c r="R1469" s="245"/>
      <c r="S1469" s="246" t="s">
        <v>1092</v>
      </c>
      <c r="T1469" s="247">
        <v>0</v>
      </c>
      <c r="U1469" s="247">
        <v>0</v>
      </c>
    </row>
    <row r="1470" spans="2:21" x14ac:dyDescent="0.3">
      <c r="B1470" s="47"/>
      <c r="C1470" s="24"/>
      <c r="D1470" s="312"/>
      <c r="E1470" s="312"/>
      <c r="G1470" s="47"/>
      <c r="H1470" s="24"/>
      <c r="I1470" s="312"/>
      <c r="J1470" s="312"/>
      <c r="L1470" s="47"/>
      <c r="M1470" s="24"/>
      <c r="N1470" s="312"/>
      <c r="O1470" s="312"/>
      <c r="Q1470" s="244">
        <v>70050003</v>
      </c>
      <c r="R1470" s="245"/>
      <c r="S1470" s="243" t="s">
        <v>2069</v>
      </c>
      <c r="T1470" s="247">
        <v>0</v>
      </c>
      <c r="U1470" s="247">
        <v>0</v>
      </c>
    </row>
    <row r="1471" spans="2:21" x14ac:dyDescent="0.3">
      <c r="B1471" s="47"/>
      <c r="C1471" s="24"/>
      <c r="D1471" s="312"/>
      <c r="E1471" s="312"/>
      <c r="G1471" s="47"/>
      <c r="H1471" s="24"/>
      <c r="I1471" s="312"/>
      <c r="J1471" s="312"/>
      <c r="L1471" s="47"/>
      <c r="M1471" s="24"/>
      <c r="N1471" s="312"/>
      <c r="O1471" s="312"/>
      <c r="Q1471" s="241">
        <v>70050004</v>
      </c>
      <c r="R1471" s="242"/>
      <c r="S1471" s="243" t="s">
        <v>2070</v>
      </c>
      <c r="T1471" s="239">
        <f>SUM(T1472:T1473)-SUM(U1472:U1473)</f>
        <v>90833</v>
      </c>
      <c r="U1471" s="240">
        <v>0</v>
      </c>
    </row>
    <row r="1472" spans="2:21" x14ac:dyDescent="0.3">
      <c r="B1472" s="47"/>
      <c r="C1472" s="24"/>
      <c r="D1472" s="312"/>
      <c r="E1472" s="312"/>
      <c r="G1472" s="47"/>
      <c r="H1472" s="24"/>
      <c r="I1472" s="312"/>
      <c r="J1472" s="312"/>
      <c r="L1472" s="47"/>
      <c r="M1472" s="24"/>
      <c r="N1472" s="312"/>
      <c r="O1472" s="312"/>
      <c r="Q1472" s="47"/>
      <c r="R1472" s="136" t="s">
        <v>2138</v>
      </c>
      <c r="S1472" s="24" t="s">
        <v>7</v>
      </c>
      <c r="T1472" s="155">
        <v>85155</v>
      </c>
      <c r="U1472" s="155">
        <v>0</v>
      </c>
    </row>
    <row r="1473" spans="2:21" x14ac:dyDescent="0.3">
      <c r="B1473" s="47"/>
      <c r="C1473" s="24"/>
      <c r="D1473" s="312"/>
      <c r="E1473" s="312"/>
      <c r="G1473" s="47"/>
      <c r="H1473" s="24"/>
      <c r="I1473" s="312"/>
      <c r="J1473" s="312"/>
      <c r="L1473" s="47"/>
      <c r="M1473" s="24"/>
      <c r="N1473" s="312"/>
      <c r="O1473" s="312"/>
      <c r="Q1473" s="47"/>
      <c r="R1473" s="136" t="s">
        <v>2150</v>
      </c>
      <c r="S1473" s="24" t="s">
        <v>2151</v>
      </c>
      <c r="T1473" s="155">
        <v>5678</v>
      </c>
      <c r="U1473" s="155">
        <v>0</v>
      </c>
    </row>
    <row r="1474" spans="2:21" x14ac:dyDescent="0.3">
      <c r="B1474" s="47"/>
      <c r="C1474" s="24"/>
      <c r="D1474" s="312"/>
      <c r="E1474" s="312"/>
      <c r="G1474" s="47"/>
      <c r="H1474" s="24"/>
      <c r="I1474" s="312"/>
      <c r="J1474" s="312"/>
      <c r="L1474" s="47"/>
      <c r="M1474" s="24"/>
      <c r="N1474" s="312"/>
      <c r="O1474" s="312"/>
      <c r="Q1474" s="241">
        <v>70050005</v>
      </c>
      <c r="R1474" s="242"/>
      <c r="S1474" s="243" t="s">
        <v>2071</v>
      </c>
      <c r="T1474" s="240">
        <v>0</v>
      </c>
      <c r="U1474" s="240">
        <v>0</v>
      </c>
    </row>
    <row r="1475" spans="2:21" x14ac:dyDescent="0.3">
      <c r="B1475" s="47"/>
      <c r="C1475" s="24"/>
      <c r="D1475" s="312"/>
      <c r="E1475" s="312"/>
      <c r="G1475" s="47"/>
      <c r="H1475" s="24"/>
      <c r="I1475" s="312"/>
      <c r="J1475" s="312"/>
      <c r="L1475" s="47"/>
      <c r="M1475" s="24"/>
      <c r="N1475" s="312"/>
      <c r="O1475" s="312"/>
      <c r="Q1475" s="241">
        <v>70050006</v>
      </c>
      <c r="R1475" s="242"/>
      <c r="S1475" s="243" t="s">
        <v>1093</v>
      </c>
      <c r="T1475" s="239">
        <f>SUM(T1476:T1478)-SUM(U1476:U1478)</f>
        <v>926650</v>
      </c>
      <c r="U1475" s="240">
        <v>0</v>
      </c>
    </row>
    <row r="1476" spans="2:21" x14ac:dyDescent="0.3">
      <c r="B1476" s="47"/>
      <c r="C1476" s="24"/>
      <c r="D1476" s="312"/>
      <c r="E1476" s="312"/>
      <c r="G1476" s="47"/>
      <c r="H1476" s="24"/>
      <c r="I1476" s="312"/>
      <c r="J1476" s="312"/>
      <c r="L1476" s="47"/>
      <c r="M1476" s="24"/>
      <c r="N1476" s="312"/>
      <c r="O1476" s="312"/>
      <c r="Q1476" s="47"/>
      <c r="R1476" s="136" t="s">
        <v>2138</v>
      </c>
      <c r="S1476" s="24" t="s">
        <v>7</v>
      </c>
      <c r="T1476" s="155">
        <v>730090</v>
      </c>
      <c r="U1476" s="155">
        <v>0</v>
      </c>
    </row>
    <row r="1477" spans="2:21" x14ac:dyDescent="0.3">
      <c r="B1477" s="47"/>
      <c r="C1477" s="24"/>
      <c r="D1477" s="312"/>
      <c r="E1477" s="312"/>
      <c r="G1477" s="47"/>
      <c r="H1477" s="24"/>
      <c r="I1477" s="312"/>
      <c r="J1477" s="312"/>
      <c r="L1477" s="47"/>
      <c r="M1477" s="24"/>
      <c r="N1477" s="312"/>
      <c r="O1477" s="312"/>
      <c r="Q1477" s="47"/>
      <c r="R1477" s="136" t="s">
        <v>1177</v>
      </c>
      <c r="S1477" s="24" t="s">
        <v>2141</v>
      </c>
      <c r="T1477" s="155">
        <v>132245</v>
      </c>
      <c r="U1477" s="155">
        <v>0</v>
      </c>
    </row>
    <row r="1478" spans="2:21" x14ac:dyDescent="0.3">
      <c r="B1478" s="47"/>
      <c r="C1478" s="24"/>
      <c r="D1478" s="312"/>
      <c r="E1478" s="312"/>
      <c r="G1478" s="47"/>
      <c r="H1478" s="24"/>
      <c r="I1478" s="312"/>
      <c r="J1478" s="312"/>
      <c r="L1478" s="47"/>
      <c r="M1478" s="24"/>
      <c r="N1478" s="312"/>
      <c r="O1478" s="312"/>
      <c r="Q1478" s="47"/>
      <c r="R1478" s="136" t="s">
        <v>1179</v>
      </c>
      <c r="S1478" s="24" t="s">
        <v>2143</v>
      </c>
      <c r="T1478" s="155">
        <v>64315</v>
      </c>
      <c r="U1478" s="155">
        <v>0</v>
      </c>
    </row>
    <row r="1479" spans="2:21" x14ac:dyDescent="0.3">
      <c r="B1479" s="47"/>
      <c r="C1479" s="24"/>
      <c r="D1479" s="312"/>
      <c r="E1479" s="312"/>
      <c r="G1479" s="47"/>
      <c r="H1479" s="24"/>
      <c r="I1479" s="312"/>
      <c r="J1479" s="312"/>
      <c r="L1479" s="47"/>
      <c r="M1479" s="24"/>
      <c r="N1479" s="312"/>
      <c r="O1479" s="312"/>
      <c r="Q1479" s="241">
        <v>70050007</v>
      </c>
      <c r="R1479" s="242"/>
      <c r="S1479" s="243" t="s">
        <v>1094</v>
      </c>
      <c r="T1479" s="240">
        <v>0</v>
      </c>
      <c r="U1479" s="240">
        <v>0</v>
      </c>
    </row>
    <row r="1480" spans="2:21" x14ac:dyDescent="0.3">
      <c r="B1480" s="47"/>
      <c r="C1480" s="24"/>
      <c r="D1480" s="312"/>
      <c r="E1480" s="312"/>
      <c r="G1480" s="47"/>
      <c r="H1480" s="24"/>
      <c r="I1480" s="312"/>
      <c r="J1480" s="312"/>
      <c r="L1480" s="47"/>
      <c r="M1480" s="24"/>
      <c r="N1480" s="312"/>
      <c r="O1480" s="312"/>
      <c r="Q1480" s="47"/>
      <c r="R1480" s="136"/>
      <c r="S1480" s="24"/>
      <c r="T1480" s="155"/>
      <c r="U1480" s="155"/>
    </row>
    <row r="1481" spans="2:21" s="338" customFormat="1" x14ac:dyDescent="0.3">
      <c r="B1481" s="335"/>
      <c r="C1481" s="336"/>
      <c r="D1481" s="337"/>
      <c r="E1481" s="337"/>
      <c r="G1481" s="335"/>
      <c r="H1481" s="336"/>
      <c r="I1481" s="337"/>
      <c r="J1481" s="337"/>
      <c r="K1481" s="338">
        <v>7006</v>
      </c>
      <c r="L1481" s="339">
        <v>7006</v>
      </c>
      <c r="M1481" s="341" t="s">
        <v>910</v>
      </c>
      <c r="N1481" s="343">
        <f>T1481+T1485+T1487+T1488+T1489+T1491+T1492+T1493</f>
        <v>595332</v>
      </c>
      <c r="O1481" s="343">
        <v>0</v>
      </c>
      <c r="Q1481" s="339">
        <v>70060001</v>
      </c>
      <c r="R1481" s="340"/>
      <c r="S1481" s="341" t="s">
        <v>1095</v>
      </c>
      <c r="T1481" s="344">
        <f>SUM(T1482:T1484)-SUM(U1482:U1484)</f>
        <v>73800</v>
      </c>
      <c r="U1481" s="342">
        <v>0</v>
      </c>
    </row>
    <row r="1482" spans="2:21" x14ac:dyDescent="0.3">
      <c r="B1482" s="47"/>
      <c r="C1482" s="24"/>
      <c r="D1482" s="312"/>
      <c r="E1482" s="312"/>
      <c r="G1482" s="47"/>
      <c r="H1482" s="24"/>
      <c r="I1482" s="312"/>
      <c r="J1482" s="312"/>
      <c r="L1482" s="47"/>
      <c r="M1482" s="24"/>
      <c r="N1482" s="312"/>
      <c r="O1482" s="312"/>
      <c r="Q1482" s="47"/>
      <c r="R1482" s="136" t="s">
        <v>2152</v>
      </c>
      <c r="S1482" s="24" t="s">
        <v>2153</v>
      </c>
      <c r="T1482" s="155">
        <v>21900</v>
      </c>
      <c r="U1482" s="155">
        <v>0</v>
      </c>
    </row>
    <row r="1483" spans="2:21" x14ac:dyDescent="0.3">
      <c r="B1483" s="47"/>
      <c r="C1483" s="24"/>
      <c r="D1483" s="312"/>
      <c r="E1483" s="312"/>
      <c r="G1483" s="47"/>
      <c r="H1483" s="24"/>
      <c r="I1483" s="312"/>
      <c r="J1483" s="312"/>
      <c r="L1483" s="47"/>
      <c r="M1483" s="24"/>
      <c r="N1483" s="312"/>
      <c r="O1483" s="312"/>
      <c r="Q1483" s="47"/>
      <c r="R1483" s="136" t="s">
        <v>2138</v>
      </c>
      <c r="S1483" s="24" t="s">
        <v>7</v>
      </c>
      <c r="T1483" s="155">
        <v>45150</v>
      </c>
      <c r="U1483" s="155">
        <v>0</v>
      </c>
    </row>
    <row r="1484" spans="2:21" x14ac:dyDescent="0.3">
      <c r="B1484" s="47"/>
      <c r="C1484" s="24"/>
      <c r="D1484" s="312"/>
      <c r="E1484" s="312"/>
      <c r="G1484" s="47"/>
      <c r="H1484" s="24"/>
      <c r="I1484" s="312"/>
      <c r="J1484" s="312"/>
      <c r="L1484" s="47"/>
      <c r="M1484" s="24"/>
      <c r="N1484" s="312"/>
      <c r="O1484" s="312"/>
      <c r="Q1484" s="47"/>
      <c r="R1484" s="136" t="s">
        <v>1179</v>
      </c>
      <c r="S1484" s="24" t="s">
        <v>2148</v>
      </c>
      <c r="T1484" s="155">
        <v>6750</v>
      </c>
      <c r="U1484" s="155">
        <v>0</v>
      </c>
    </row>
    <row r="1485" spans="2:21" s="338" customFormat="1" x14ac:dyDescent="0.3">
      <c r="B1485" s="335"/>
      <c r="C1485" s="336"/>
      <c r="D1485" s="337"/>
      <c r="E1485" s="337"/>
      <c r="G1485" s="335"/>
      <c r="H1485" s="336"/>
      <c r="I1485" s="337"/>
      <c r="J1485" s="337"/>
      <c r="L1485" s="335"/>
      <c r="M1485" s="336"/>
      <c r="N1485" s="337"/>
      <c r="O1485" s="337"/>
      <c r="Q1485" s="339">
        <v>70060002</v>
      </c>
      <c r="R1485" s="340"/>
      <c r="S1485" s="341" t="s">
        <v>1096</v>
      </c>
      <c r="T1485" s="344">
        <f>SUM(T1486)-SUM(U1486)</f>
        <v>252007</v>
      </c>
      <c r="U1485" s="342">
        <v>0</v>
      </c>
    </row>
    <row r="1486" spans="2:21" x14ac:dyDescent="0.3">
      <c r="B1486" s="47"/>
      <c r="C1486" s="24"/>
      <c r="D1486" s="312"/>
      <c r="E1486" s="312"/>
      <c r="G1486" s="47"/>
      <c r="H1486" s="24"/>
      <c r="I1486" s="312"/>
      <c r="J1486" s="312"/>
      <c r="L1486" s="47"/>
      <c r="M1486" s="24"/>
      <c r="N1486" s="312"/>
      <c r="O1486" s="312"/>
      <c r="Q1486" s="47"/>
      <c r="R1486" s="136" t="s">
        <v>2138</v>
      </c>
      <c r="S1486" s="24" t="s">
        <v>7</v>
      </c>
      <c r="T1486" s="155">
        <v>252007</v>
      </c>
      <c r="U1486" s="155">
        <v>0</v>
      </c>
    </row>
    <row r="1487" spans="2:21" s="338" customFormat="1" x14ac:dyDescent="0.3">
      <c r="B1487" s="335"/>
      <c r="C1487" s="336"/>
      <c r="D1487" s="337"/>
      <c r="E1487" s="337"/>
      <c r="G1487" s="335"/>
      <c r="H1487" s="336"/>
      <c r="I1487" s="337"/>
      <c r="J1487" s="337"/>
      <c r="L1487" s="335"/>
      <c r="M1487" s="336"/>
      <c r="N1487" s="337"/>
      <c r="O1487" s="337"/>
      <c r="Q1487" s="339">
        <v>70060003</v>
      </c>
      <c r="R1487" s="340"/>
      <c r="S1487" s="341" t="s">
        <v>1097</v>
      </c>
      <c r="T1487" s="342">
        <v>0</v>
      </c>
      <c r="U1487" s="342">
        <v>0</v>
      </c>
    </row>
    <row r="1488" spans="2:21" x14ac:dyDescent="0.3">
      <c r="B1488" s="47"/>
      <c r="C1488" s="24"/>
      <c r="D1488" s="312"/>
      <c r="E1488" s="312"/>
      <c r="G1488" s="47"/>
      <c r="H1488" s="24"/>
      <c r="I1488" s="312"/>
      <c r="J1488" s="312"/>
      <c r="L1488" s="47"/>
      <c r="M1488" s="24"/>
      <c r="N1488" s="312"/>
      <c r="O1488" s="312"/>
      <c r="Q1488" s="241">
        <v>70060004</v>
      </c>
      <c r="R1488" s="242"/>
      <c r="S1488" s="243" t="s">
        <v>1098</v>
      </c>
      <c r="T1488" s="240">
        <v>0</v>
      </c>
      <c r="U1488" s="240">
        <v>0</v>
      </c>
    </row>
    <row r="1489" spans="2:21" x14ac:dyDescent="0.3">
      <c r="B1489" s="47"/>
      <c r="C1489" s="24"/>
      <c r="D1489" s="312"/>
      <c r="E1489" s="312"/>
      <c r="G1489" s="47"/>
      <c r="H1489" s="24"/>
      <c r="I1489" s="312"/>
      <c r="J1489" s="312"/>
      <c r="L1489" s="47"/>
      <c r="M1489" s="24"/>
      <c r="N1489" s="312"/>
      <c r="O1489" s="312"/>
      <c r="Q1489" s="241">
        <v>70060005</v>
      </c>
      <c r="R1489" s="242"/>
      <c r="S1489" s="243" t="s">
        <v>1099</v>
      </c>
      <c r="T1489" s="239">
        <f>SUM(T1490)-SUM(U1490)</f>
        <v>269525</v>
      </c>
      <c r="U1489" s="240">
        <v>0</v>
      </c>
    </row>
    <row r="1490" spans="2:21" x14ac:dyDescent="0.3">
      <c r="B1490" s="47"/>
      <c r="C1490" s="24"/>
      <c r="D1490" s="312"/>
      <c r="E1490" s="312"/>
      <c r="G1490" s="47"/>
      <c r="H1490" s="24"/>
      <c r="I1490" s="312"/>
      <c r="J1490" s="312"/>
      <c r="L1490" s="47"/>
      <c r="M1490" s="24"/>
      <c r="N1490" s="312"/>
      <c r="O1490" s="312"/>
      <c r="Q1490" s="47"/>
      <c r="R1490" s="136" t="s">
        <v>2138</v>
      </c>
      <c r="S1490" s="24" t="s">
        <v>7</v>
      </c>
      <c r="T1490" s="155">
        <v>269525</v>
      </c>
      <c r="U1490" s="155">
        <v>0</v>
      </c>
    </row>
    <row r="1491" spans="2:21" x14ac:dyDescent="0.3">
      <c r="B1491" s="47"/>
      <c r="C1491" s="24"/>
      <c r="D1491" s="312"/>
      <c r="E1491" s="312"/>
      <c r="G1491" s="47"/>
      <c r="H1491" s="24"/>
      <c r="I1491" s="312"/>
      <c r="J1491" s="312"/>
      <c r="L1491" s="47"/>
      <c r="M1491" s="24"/>
      <c r="N1491" s="312"/>
      <c r="O1491" s="312"/>
      <c r="Q1491" s="241">
        <v>70060006</v>
      </c>
      <c r="R1491" s="242"/>
      <c r="S1491" s="243" t="s">
        <v>1100</v>
      </c>
      <c r="T1491" s="240">
        <v>0</v>
      </c>
      <c r="U1491" s="240">
        <v>0</v>
      </c>
    </row>
    <row r="1492" spans="2:21" x14ac:dyDescent="0.3">
      <c r="B1492" s="47"/>
      <c r="C1492" s="24"/>
      <c r="D1492" s="312"/>
      <c r="E1492" s="312"/>
      <c r="G1492" s="47"/>
      <c r="H1492" s="24"/>
      <c r="I1492" s="312"/>
      <c r="J1492" s="312"/>
      <c r="L1492" s="47"/>
      <c r="M1492" s="24"/>
      <c r="N1492" s="312"/>
      <c r="O1492" s="312"/>
      <c r="Q1492" s="241">
        <v>70060007</v>
      </c>
      <c r="R1492" s="242"/>
      <c r="S1492" s="243" t="s">
        <v>1101</v>
      </c>
      <c r="T1492" s="240">
        <v>0</v>
      </c>
      <c r="U1492" s="240">
        <v>0</v>
      </c>
    </row>
    <row r="1493" spans="2:21" x14ac:dyDescent="0.3">
      <c r="B1493" s="47"/>
      <c r="C1493" s="24"/>
      <c r="D1493" s="312"/>
      <c r="E1493" s="312"/>
      <c r="G1493" s="47"/>
      <c r="H1493" s="24"/>
      <c r="I1493" s="312"/>
      <c r="J1493" s="312"/>
      <c r="L1493" s="47"/>
      <c r="M1493" s="24"/>
      <c r="N1493" s="312"/>
      <c r="O1493" s="312"/>
      <c r="Q1493" s="241">
        <v>70060008</v>
      </c>
      <c r="R1493" s="242"/>
      <c r="S1493" s="243" t="s">
        <v>1102</v>
      </c>
      <c r="T1493" s="240">
        <v>0</v>
      </c>
      <c r="U1493" s="240">
        <v>0</v>
      </c>
    </row>
    <row r="1494" spans="2:21" x14ac:dyDescent="0.3">
      <c r="B1494" s="47"/>
      <c r="C1494" s="24"/>
      <c r="D1494" s="312"/>
      <c r="E1494" s="312"/>
      <c r="G1494" s="47"/>
      <c r="H1494" s="24"/>
      <c r="I1494" s="312"/>
      <c r="J1494" s="312"/>
      <c r="L1494" s="47"/>
      <c r="M1494" s="24"/>
      <c r="N1494" s="312"/>
      <c r="O1494" s="312"/>
      <c r="Q1494" s="47"/>
      <c r="R1494" s="136"/>
      <c r="S1494" s="24"/>
      <c r="T1494" s="155"/>
      <c r="U1494" s="155"/>
    </row>
    <row r="1495" spans="2:21" s="338" customFormat="1" x14ac:dyDescent="0.3">
      <c r="B1495" s="335"/>
      <c r="C1495" s="336"/>
      <c r="D1495" s="337"/>
      <c r="E1495" s="337"/>
      <c r="G1495" s="335"/>
      <c r="H1495" s="336"/>
      <c r="I1495" s="337"/>
      <c r="J1495" s="337"/>
      <c r="K1495" s="338">
        <v>7007</v>
      </c>
      <c r="L1495" s="339">
        <v>7007</v>
      </c>
      <c r="M1495" s="341" t="s">
        <v>911</v>
      </c>
      <c r="N1495" s="343">
        <f>T1495+T1503+T1510</f>
        <v>8618357</v>
      </c>
      <c r="O1495" s="343">
        <v>0</v>
      </c>
      <c r="Q1495" s="339">
        <v>70070001</v>
      </c>
      <c r="R1495" s="340"/>
      <c r="S1495" s="341" t="s">
        <v>2073</v>
      </c>
      <c r="T1495" s="344">
        <f>SUM(T1496:T1502)-SUM(U1496:U1502)</f>
        <v>7014521</v>
      </c>
      <c r="U1495" s="342">
        <v>0</v>
      </c>
    </row>
    <row r="1496" spans="2:21" x14ac:dyDescent="0.3">
      <c r="B1496" s="47"/>
      <c r="C1496" s="24"/>
      <c r="D1496" s="312"/>
      <c r="E1496" s="312"/>
      <c r="G1496" s="47"/>
      <c r="H1496" s="24"/>
      <c r="I1496" s="312"/>
      <c r="J1496" s="312"/>
      <c r="L1496" s="47"/>
      <c r="M1496" s="24"/>
      <c r="N1496" s="312"/>
      <c r="O1496" s="312"/>
      <c r="Q1496" s="47"/>
      <c r="R1496" s="136" t="s">
        <v>2138</v>
      </c>
      <c r="S1496" s="24" t="s">
        <v>7</v>
      </c>
      <c r="T1496" s="155">
        <v>1937577</v>
      </c>
      <c r="U1496" s="155">
        <v>0</v>
      </c>
    </row>
    <row r="1497" spans="2:21" x14ac:dyDescent="0.3">
      <c r="B1497" s="47"/>
      <c r="C1497" s="24"/>
      <c r="D1497" s="312"/>
      <c r="E1497" s="312"/>
      <c r="G1497" s="47"/>
      <c r="H1497" s="24"/>
      <c r="I1497" s="312"/>
      <c r="J1497" s="312"/>
      <c r="L1497" s="47"/>
      <c r="M1497" s="24"/>
      <c r="N1497" s="312"/>
      <c r="O1497" s="312"/>
      <c r="Q1497" s="47"/>
      <c r="R1497" s="136" t="s">
        <v>1177</v>
      </c>
      <c r="S1497" s="24" t="s">
        <v>2141</v>
      </c>
      <c r="T1497" s="155">
        <v>622162</v>
      </c>
      <c r="U1497" s="155">
        <v>0</v>
      </c>
    </row>
    <row r="1498" spans="2:21" x14ac:dyDescent="0.3">
      <c r="B1498" s="47"/>
      <c r="C1498" s="24"/>
      <c r="D1498" s="312"/>
      <c r="E1498" s="312"/>
      <c r="G1498" s="47"/>
      <c r="H1498" s="24"/>
      <c r="I1498" s="312"/>
      <c r="J1498" s="312"/>
      <c r="L1498" s="47"/>
      <c r="M1498" s="24"/>
      <c r="N1498" s="312"/>
      <c r="O1498" s="312"/>
      <c r="Q1498" s="47"/>
      <c r="R1498" s="136" t="s">
        <v>1179</v>
      </c>
      <c r="S1498" s="24" t="s">
        <v>2148</v>
      </c>
      <c r="T1498" s="155">
        <v>866891</v>
      </c>
      <c r="U1498" s="155">
        <v>0</v>
      </c>
    </row>
    <row r="1499" spans="2:21" x14ac:dyDescent="0.3">
      <c r="B1499" s="47"/>
      <c r="C1499" s="24"/>
      <c r="D1499" s="312"/>
      <c r="E1499" s="312"/>
      <c r="G1499" s="47"/>
      <c r="H1499" s="24"/>
      <c r="I1499" s="312"/>
      <c r="J1499" s="312"/>
      <c r="L1499" s="47"/>
      <c r="M1499" s="24"/>
      <c r="N1499" s="312"/>
      <c r="O1499" s="312"/>
      <c r="Q1499" s="47"/>
      <c r="R1499" s="136" t="s">
        <v>1179</v>
      </c>
      <c r="S1499" s="24" t="s">
        <v>2143</v>
      </c>
      <c r="T1499" s="155">
        <v>945325</v>
      </c>
      <c r="U1499" s="155">
        <v>0</v>
      </c>
    </row>
    <row r="1500" spans="2:21" x14ac:dyDescent="0.3">
      <c r="B1500" s="47"/>
      <c r="C1500" s="24"/>
      <c r="D1500" s="312"/>
      <c r="E1500" s="312"/>
      <c r="G1500" s="47"/>
      <c r="H1500" s="24"/>
      <c r="I1500" s="312"/>
      <c r="J1500" s="312"/>
      <c r="L1500" s="47"/>
      <c r="M1500" s="24"/>
      <c r="N1500" s="312"/>
      <c r="O1500" s="312"/>
      <c r="Q1500" s="47"/>
      <c r="R1500" s="136" t="s">
        <v>1179</v>
      </c>
      <c r="S1500" s="24" t="s">
        <v>2145</v>
      </c>
      <c r="T1500" s="155">
        <v>117925</v>
      </c>
      <c r="U1500" s="155">
        <v>0</v>
      </c>
    </row>
    <row r="1501" spans="2:21" x14ac:dyDescent="0.3">
      <c r="B1501" s="47"/>
      <c r="C1501" s="24"/>
      <c r="D1501" s="312"/>
      <c r="E1501" s="312"/>
      <c r="G1501" s="47"/>
      <c r="H1501" s="24"/>
      <c r="I1501" s="312"/>
      <c r="J1501" s="312"/>
      <c r="L1501" s="47"/>
      <c r="M1501" s="24"/>
      <c r="N1501" s="312"/>
      <c r="O1501" s="312"/>
      <c r="Q1501" s="47"/>
      <c r="R1501" s="136" t="s">
        <v>2150</v>
      </c>
      <c r="S1501" s="24" t="s">
        <v>2151</v>
      </c>
      <c r="T1501" s="155">
        <v>489184</v>
      </c>
      <c r="U1501" s="155">
        <v>0</v>
      </c>
    </row>
    <row r="1502" spans="2:21" x14ac:dyDescent="0.3">
      <c r="B1502" s="47"/>
      <c r="C1502" s="24"/>
      <c r="D1502" s="312"/>
      <c r="E1502" s="312"/>
      <c r="G1502" s="47"/>
      <c r="H1502" s="24"/>
      <c r="I1502" s="312"/>
      <c r="J1502" s="312"/>
      <c r="L1502" s="47"/>
      <c r="M1502" s="24"/>
      <c r="N1502" s="312"/>
      <c r="O1502" s="312"/>
      <c r="Q1502" s="47"/>
      <c r="R1502" s="136" t="s">
        <v>2152</v>
      </c>
      <c r="S1502" s="24" t="s">
        <v>2153</v>
      </c>
      <c r="T1502" s="155">
        <v>2035457</v>
      </c>
      <c r="U1502" s="155">
        <v>0</v>
      </c>
    </row>
    <row r="1503" spans="2:21" s="338" customFormat="1" x14ac:dyDescent="0.3">
      <c r="B1503" s="335"/>
      <c r="C1503" s="336"/>
      <c r="D1503" s="337"/>
      <c r="E1503" s="337"/>
      <c r="G1503" s="335"/>
      <c r="H1503" s="336"/>
      <c r="I1503" s="337"/>
      <c r="J1503" s="337"/>
      <c r="L1503" s="335"/>
      <c r="M1503" s="336"/>
      <c r="N1503" s="337"/>
      <c r="O1503" s="337"/>
      <c r="Q1503" s="339">
        <v>70070002</v>
      </c>
      <c r="R1503" s="340"/>
      <c r="S1503" s="341" t="s">
        <v>2074</v>
      </c>
      <c r="T1503" s="344">
        <f>SUM(T1504:T1509)-SUM(U1504:U1509)</f>
        <v>662741</v>
      </c>
      <c r="U1503" s="342">
        <v>0</v>
      </c>
    </row>
    <row r="1504" spans="2:21" x14ac:dyDescent="0.3">
      <c r="B1504" s="47"/>
      <c r="C1504" s="24"/>
      <c r="D1504" s="312"/>
      <c r="E1504" s="312"/>
      <c r="G1504" s="47"/>
      <c r="H1504" s="24"/>
      <c r="I1504" s="312"/>
      <c r="J1504" s="312"/>
      <c r="L1504" s="47"/>
      <c r="M1504" s="24"/>
      <c r="N1504" s="312"/>
      <c r="O1504" s="312"/>
      <c r="Q1504" s="47"/>
      <c r="R1504" s="136" t="s">
        <v>2138</v>
      </c>
      <c r="S1504" s="24" t="s">
        <v>7</v>
      </c>
      <c r="T1504" s="155">
        <v>354891</v>
      </c>
      <c r="U1504" s="155">
        <v>0</v>
      </c>
    </row>
    <row r="1505" spans="2:21" x14ac:dyDescent="0.3">
      <c r="B1505" s="47"/>
      <c r="C1505" s="24"/>
      <c r="D1505" s="312"/>
      <c r="E1505" s="312"/>
      <c r="G1505" s="47"/>
      <c r="H1505" s="24"/>
      <c r="I1505" s="312"/>
      <c r="J1505" s="312"/>
      <c r="L1505" s="47"/>
      <c r="M1505" s="24"/>
      <c r="N1505" s="312"/>
      <c r="O1505" s="312"/>
      <c r="Q1505" s="47"/>
      <c r="R1505" s="136" t="s">
        <v>1177</v>
      </c>
      <c r="S1505" s="24" t="s">
        <v>2141</v>
      </c>
      <c r="T1505" s="155">
        <v>25921</v>
      </c>
      <c r="U1505" s="155">
        <v>0</v>
      </c>
    </row>
    <row r="1506" spans="2:21" x14ac:dyDescent="0.3">
      <c r="B1506" s="47"/>
      <c r="C1506" s="24"/>
      <c r="D1506" s="312"/>
      <c r="E1506" s="312"/>
      <c r="G1506" s="47"/>
      <c r="H1506" s="24"/>
      <c r="I1506" s="312"/>
      <c r="J1506" s="312"/>
      <c r="L1506" s="47"/>
      <c r="M1506" s="24"/>
      <c r="N1506" s="312"/>
      <c r="O1506" s="312"/>
      <c r="Q1506" s="47"/>
      <c r="R1506" s="136" t="s">
        <v>1179</v>
      </c>
      <c r="S1506" s="24" t="s">
        <v>2148</v>
      </c>
      <c r="T1506" s="155">
        <v>25714</v>
      </c>
      <c r="U1506" s="155">
        <v>0</v>
      </c>
    </row>
    <row r="1507" spans="2:21" x14ac:dyDescent="0.3">
      <c r="B1507" s="47"/>
      <c r="C1507" s="24"/>
      <c r="D1507" s="312"/>
      <c r="E1507" s="312"/>
      <c r="G1507" s="47"/>
      <c r="H1507" s="24"/>
      <c r="I1507" s="312"/>
      <c r="J1507" s="312"/>
      <c r="L1507" s="47"/>
      <c r="M1507" s="24"/>
      <c r="N1507" s="312"/>
      <c r="O1507" s="312"/>
      <c r="Q1507" s="47"/>
      <c r="R1507" s="136" t="s">
        <v>1179</v>
      </c>
      <c r="S1507" s="24" t="s">
        <v>2143</v>
      </c>
      <c r="T1507" s="155">
        <v>25782</v>
      </c>
      <c r="U1507" s="155">
        <v>0</v>
      </c>
    </row>
    <row r="1508" spans="2:21" x14ac:dyDescent="0.3">
      <c r="B1508" s="47"/>
      <c r="C1508" s="24"/>
      <c r="D1508" s="312"/>
      <c r="E1508" s="312"/>
      <c r="G1508" s="47"/>
      <c r="H1508" s="24"/>
      <c r="I1508" s="312"/>
      <c r="J1508" s="312"/>
      <c r="L1508" s="47"/>
      <c r="M1508" s="24"/>
      <c r="N1508" s="312"/>
      <c r="O1508" s="312"/>
      <c r="Q1508" s="47"/>
      <c r="R1508" s="136" t="s">
        <v>2150</v>
      </c>
      <c r="S1508" s="24" t="s">
        <v>2151</v>
      </c>
      <c r="T1508" s="155">
        <v>146379</v>
      </c>
      <c r="U1508" s="155">
        <v>0</v>
      </c>
    </row>
    <row r="1509" spans="2:21" x14ac:dyDescent="0.3">
      <c r="B1509" s="47"/>
      <c r="C1509" s="24"/>
      <c r="D1509" s="312"/>
      <c r="E1509" s="312"/>
      <c r="G1509" s="47"/>
      <c r="H1509" s="24"/>
      <c r="I1509" s="312"/>
      <c r="J1509" s="312"/>
      <c r="L1509" s="47"/>
      <c r="M1509" s="24"/>
      <c r="N1509" s="312"/>
      <c r="O1509" s="312"/>
      <c r="Q1509" s="47"/>
      <c r="R1509" s="136" t="s">
        <v>2152</v>
      </c>
      <c r="S1509" s="24" t="s">
        <v>2153</v>
      </c>
      <c r="T1509" s="155">
        <v>84054</v>
      </c>
      <c r="U1509" s="155">
        <v>0</v>
      </c>
    </row>
    <row r="1510" spans="2:21" s="338" customFormat="1" x14ac:dyDescent="0.3">
      <c r="B1510" s="335"/>
      <c r="C1510" s="336"/>
      <c r="D1510" s="337"/>
      <c r="E1510" s="337"/>
      <c r="G1510" s="335"/>
      <c r="H1510" s="336"/>
      <c r="I1510" s="337"/>
      <c r="J1510" s="337"/>
      <c r="L1510" s="335"/>
      <c r="M1510" s="336"/>
      <c r="N1510" s="337"/>
      <c r="O1510" s="337"/>
      <c r="Q1510" s="339">
        <v>70070003</v>
      </c>
      <c r="R1510" s="340"/>
      <c r="S1510" s="341" t="s">
        <v>1103</v>
      </c>
      <c r="T1510" s="344">
        <f>SUM(T1511:T1517)-SUM(U1511:U1517)</f>
        <v>941095</v>
      </c>
      <c r="U1510" s="342">
        <v>0</v>
      </c>
    </row>
    <row r="1511" spans="2:21" x14ac:dyDescent="0.3">
      <c r="B1511" s="47"/>
      <c r="C1511" s="24"/>
      <c r="D1511" s="312"/>
      <c r="E1511" s="312"/>
      <c r="G1511" s="47"/>
      <c r="H1511" s="24"/>
      <c r="I1511" s="312"/>
      <c r="J1511" s="312"/>
      <c r="L1511" s="47"/>
      <c r="M1511" s="24"/>
      <c r="N1511" s="312"/>
      <c r="O1511" s="312"/>
      <c r="Q1511" s="47"/>
      <c r="R1511" s="136" t="s">
        <v>2138</v>
      </c>
      <c r="S1511" s="24" t="s">
        <v>7</v>
      </c>
      <c r="T1511" s="155">
        <v>465604</v>
      </c>
      <c r="U1511" s="155">
        <v>0</v>
      </c>
    </row>
    <row r="1512" spans="2:21" x14ac:dyDescent="0.3">
      <c r="B1512" s="47"/>
      <c r="C1512" s="24"/>
      <c r="D1512" s="312"/>
      <c r="E1512" s="312"/>
      <c r="G1512" s="47"/>
      <c r="H1512" s="24"/>
      <c r="I1512" s="312"/>
      <c r="J1512" s="312"/>
      <c r="L1512" s="47"/>
      <c r="M1512" s="24"/>
      <c r="N1512" s="312"/>
      <c r="O1512" s="312"/>
      <c r="Q1512" s="47"/>
      <c r="R1512" s="136" t="s">
        <v>1177</v>
      </c>
      <c r="S1512" s="24" t="s">
        <v>2141</v>
      </c>
      <c r="T1512" s="155">
        <v>54432</v>
      </c>
      <c r="U1512" s="155">
        <v>0</v>
      </c>
    </row>
    <row r="1513" spans="2:21" x14ac:dyDescent="0.3">
      <c r="B1513" s="47"/>
      <c r="C1513" s="24"/>
      <c r="D1513" s="312"/>
      <c r="E1513" s="312"/>
      <c r="G1513" s="47"/>
      <c r="H1513" s="24"/>
      <c r="I1513" s="312"/>
      <c r="J1513" s="312"/>
      <c r="L1513" s="47"/>
      <c r="M1513" s="24"/>
      <c r="N1513" s="312"/>
      <c r="O1513" s="312"/>
      <c r="Q1513" s="47"/>
      <c r="R1513" s="136" t="s">
        <v>1179</v>
      </c>
      <c r="S1513" s="24" t="s">
        <v>2148</v>
      </c>
      <c r="T1513" s="155">
        <v>80529</v>
      </c>
      <c r="U1513" s="155">
        <v>0</v>
      </c>
    </row>
    <row r="1514" spans="2:21" x14ac:dyDescent="0.3">
      <c r="B1514" s="47"/>
      <c r="C1514" s="24"/>
      <c r="D1514" s="312"/>
      <c r="E1514" s="312"/>
      <c r="G1514" s="47"/>
      <c r="H1514" s="24"/>
      <c r="I1514" s="312"/>
      <c r="J1514" s="312"/>
      <c r="L1514" s="47"/>
      <c r="M1514" s="24"/>
      <c r="N1514" s="312"/>
      <c r="O1514" s="312"/>
      <c r="Q1514" s="47"/>
      <c r="R1514" s="136" t="s">
        <v>1179</v>
      </c>
      <c r="S1514" s="24" t="s">
        <v>2143</v>
      </c>
      <c r="T1514" s="155">
        <v>90372</v>
      </c>
      <c r="U1514" s="155">
        <v>0</v>
      </c>
    </row>
    <row r="1515" spans="2:21" x14ac:dyDescent="0.3">
      <c r="B1515" s="47"/>
      <c r="C1515" s="24"/>
      <c r="D1515" s="312"/>
      <c r="E1515" s="312"/>
      <c r="G1515" s="47"/>
      <c r="H1515" s="24"/>
      <c r="I1515" s="312"/>
      <c r="J1515" s="312"/>
      <c r="L1515" s="47"/>
      <c r="M1515" s="24"/>
      <c r="N1515" s="312"/>
      <c r="O1515" s="312"/>
      <c r="Q1515" s="47"/>
      <c r="R1515" s="136" t="s">
        <v>1179</v>
      </c>
      <c r="S1515" s="24" t="s">
        <v>2145</v>
      </c>
      <c r="T1515" s="155">
        <v>73013</v>
      </c>
      <c r="U1515" s="155">
        <v>0</v>
      </c>
    </row>
    <row r="1516" spans="2:21" x14ac:dyDescent="0.3">
      <c r="B1516" s="47"/>
      <c r="C1516" s="24"/>
      <c r="D1516" s="312"/>
      <c r="E1516" s="312"/>
      <c r="G1516" s="47"/>
      <c r="H1516" s="24"/>
      <c r="I1516" s="312"/>
      <c r="J1516" s="312"/>
      <c r="L1516" s="47"/>
      <c r="M1516" s="24"/>
      <c r="N1516" s="312"/>
      <c r="O1516" s="312"/>
      <c r="Q1516" s="47"/>
      <c r="R1516" s="136" t="s">
        <v>2150</v>
      </c>
      <c r="S1516" s="24" t="s">
        <v>2151</v>
      </c>
      <c r="T1516" s="155">
        <v>80529</v>
      </c>
      <c r="U1516" s="155">
        <v>0</v>
      </c>
    </row>
    <row r="1517" spans="2:21" x14ac:dyDescent="0.3">
      <c r="B1517" s="47"/>
      <c r="C1517" s="24"/>
      <c r="D1517" s="312"/>
      <c r="E1517" s="312"/>
      <c r="G1517" s="47"/>
      <c r="H1517" s="24"/>
      <c r="I1517" s="312"/>
      <c r="J1517" s="312"/>
      <c r="L1517" s="47"/>
      <c r="M1517" s="24"/>
      <c r="N1517" s="312"/>
      <c r="O1517" s="312"/>
      <c r="Q1517" s="47"/>
      <c r="R1517" s="136" t="s">
        <v>2152</v>
      </c>
      <c r="S1517" s="24" t="s">
        <v>2153</v>
      </c>
      <c r="T1517" s="155">
        <v>96616</v>
      </c>
      <c r="U1517" s="155">
        <v>0</v>
      </c>
    </row>
    <row r="1518" spans="2:21" x14ac:dyDescent="0.3">
      <c r="B1518" s="47"/>
      <c r="C1518" s="24"/>
      <c r="D1518" s="312"/>
      <c r="E1518" s="312"/>
      <c r="G1518" s="47"/>
      <c r="H1518" s="24"/>
      <c r="I1518" s="312"/>
      <c r="J1518" s="312"/>
      <c r="L1518" s="47"/>
      <c r="M1518" s="24"/>
      <c r="N1518" s="312"/>
      <c r="O1518" s="312"/>
      <c r="Q1518" s="47"/>
      <c r="R1518" s="136"/>
      <c r="S1518" s="24"/>
      <c r="T1518" s="155"/>
      <c r="U1518" s="155"/>
    </row>
    <row r="1519" spans="2:21" x14ac:dyDescent="0.3">
      <c r="B1519" s="47"/>
      <c r="C1519" s="24"/>
      <c r="D1519" s="312"/>
      <c r="E1519" s="312"/>
      <c r="G1519" s="47"/>
      <c r="H1519" s="24"/>
      <c r="I1519" s="312"/>
      <c r="J1519" s="312"/>
      <c r="K1519">
        <v>7008</v>
      </c>
      <c r="L1519" s="241">
        <v>7008</v>
      </c>
      <c r="M1519" s="243" t="s">
        <v>912</v>
      </c>
      <c r="N1519" s="314">
        <f>T1519+T1526+T1532+T1538+T1543</f>
        <v>11401795</v>
      </c>
      <c r="O1519" s="314">
        <v>0</v>
      </c>
      <c r="Q1519" s="241">
        <v>70080001</v>
      </c>
      <c r="R1519" s="242"/>
      <c r="S1519" s="243" t="s">
        <v>2075</v>
      </c>
      <c r="T1519" s="239">
        <f>SUM(T1520:T1525)-SUM(U1520:U1525)</f>
        <v>5813502</v>
      </c>
      <c r="U1519" s="240">
        <v>0</v>
      </c>
    </row>
    <row r="1520" spans="2:21" x14ac:dyDescent="0.3">
      <c r="B1520" s="47"/>
      <c r="C1520" s="24"/>
      <c r="D1520" s="312"/>
      <c r="E1520" s="312"/>
      <c r="G1520" s="47"/>
      <c r="H1520" s="24"/>
      <c r="I1520" s="312"/>
      <c r="J1520" s="312"/>
      <c r="L1520" s="47"/>
      <c r="M1520" s="24"/>
      <c r="N1520" s="312"/>
      <c r="O1520" s="312"/>
      <c r="Q1520" s="47"/>
      <c r="R1520" s="136" t="s">
        <v>2138</v>
      </c>
      <c r="S1520" s="24" t="s">
        <v>7</v>
      </c>
      <c r="T1520" s="155">
        <v>1630934</v>
      </c>
      <c r="U1520" s="155">
        <v>0</v>
      </c>
    </row>
    <row r="1521" spans="2:21" x14ac:dyDescent="0.3">
      <c r="B1521" s="47"/>
      <c r="C1521" s="24"/>
      <c r="D1521" s="312"/>
      <c r="E1521" s="312"/>
      <c r="G1521" s="47"/>
      <c r="H1521" s="24"/>
      <c r="I1521" s="312"/>
      <c r="J1521" s="312"/>
      <c r="L1521" s="47"/>
      <c r="M1521" s="24"/>
      <c r="N1521" s="312"/>
      <c r="O1521" s="312"/>
      <c r="Q1521" s="47"/>
      <c r="R1521" s="136" t="s">
        <v>1177</v>
      </c>
      <c r="S1521" s="24" t="s">
        <v>2141</v>
      </c>
      <c r="T1521" s="155">
        <v>1961172</v>
      </c>
      <c r="U1521" s="155">
        <v>0</v>
      </c>
    </row>
    <row r="1522" spans="2:21" x14ac:dyDescent="0.3">
      <c r="B1522" s="47"/>
      <c r="C1522" s="24"/>
      <c r="D1522" s="312"/>
      <c r="E1522" s="312"/>
      <c r="G1522" s="47"/>
      <c r="H1522" s="24"/>
      <c r="I1522" s="312"/>
      <c r="J1522" s="312"/>
      <c r="L1522" s="47"/>
      <c r="M1522" s="24"/>
      <c r="N1522" s="312"/>
      <c r="O1522" s="312"/>
      <c r="Q1522" s="47"/>
      <c r="R1522" s="136" t="s">
        <v>1179</v>
      </c>
      <c r="S1522" s="24" t="s">
        <v>2148</v>
      </c>
      <c r="T1522" s="155">
        <v>166534</v>
      </c>
      <c r="U1522" s="155">
        <v>0</v>
      </c>
    </row>
    <row r="1523" spans="2:21" x14ac:dyDescent="0.3">
      <c r="B1523" s="47"/>
      <c r="C1523" s="24"/>
      <c r="D1523" s="312"/>
      <c r="E1523" s="312"/>
      <c r="G1523" s="47"/>
      <c r="H1523" s="24"/>
      <c r="I1523" s="312"/>
      <c r="J1523" s="312"/>
      <c r="L1523" s="47"/>
      <c r="M1523" s="24"/>
      <c r="N1523" s="312"/>
      <c r="O1523" s="312"/>
      <c r="Q1523" s="47"/>
      <c r="R1523" s="136" t="s">
        <v>1179</v>
      </c>
      <c r="S1523" s="24" t="s">
        <v>2143</v>
      </c>
      <c r="T1523" s="155">
        <v>173180</v>
      </c>
      <c r="U1523" s="155">
        <v>0</v>
      </c>
    </row>
    <row r="1524" spans="2:21" x14ac:dyDescent="0.3">
      <c r="B1524" s="47"/>
      <c r="C1524" s="24"/>
      <c r="D1524" s="312"/>
      <c r="E1524" s="312"/>
      <c r="G1524" s="47"/>
      <c r="H1524" s="24"/>
      <c r="I1524" s="312"/>
      <c r="J1524" s="312"/>
      <c r="L1524" s="47"/>
      <c r="M1524" s="24"/>
      <c r="N1524" s="312"/>
      <c r="O1524" s="312"/>
      <c r="Q1524" s="47"/>
      <c r="R1524" s="136" t="s">
        <v>2150</v>
      </c>
      <c r="S1524" s="24" t="s">
        <v>2151</v>
      </c>
      <c r="T1524" s="155">
        <v>1811182</v>
      </c>
      <c r="U1524" s="155">
        <v>0</v>
      </c>
    </row>
    <row r="1525" spans="2:21" x14ac:dyDescent="0.3">
      <c r="B1525" s="47"/>
      <c r="C1525" s="24"/>
      <c r="D1525" s="312"/>
      <c r="E1525" s="312"/>
      <c r="G1525" s="47"/>
      <c r="H1525" s="24"/>
      <c r="I1525" s="312"/>
      <c r="J1525" s="312"/>
      <c r="L1525" s="47"/>
      <c r="M1525" s="24"/>
      <c r="N1525" s="312"/>
      <c r="O1525" s="312"/>
      <c r="Q1525" s="47"/>
      <c r="R1525" s="136" t="s">
        <v>2152</v>
      </c>
      <c r="S1525" s="24" t="s">
        <v>2153</v>
      </c>
      <c r="T1525" s="155">
        <v>70500</v>
      </c>
      <c r="U1525" s="155">
        <v>0</v>
      </c>
    </row>
    <row r="1526" spans="2:21" x14ac:dyDescent="0.3">
      <c r="B1526" s="47"/>
      <c r="C1526" s="24"/>
      <c r="D1526" s="312"/>
      <c r="E1526" s="312"/>
      <c r="G1526" s="47"/>
      <c r="H1526" s="24"/>
      <c r="I1526" s="312"/>
      <c r="J1526" s="312"/>
      <c r="L1526" s="47"/>
      <c r="M1526" s="24"/>
      <c r="N1526" s="312"/>
      <c r="O1526" s="312"/>
      <c r="Q1526" s="241">
        <v>70080002</v>
      </c>
      <c r="R1526" s="242"/>
      <c r="S1526" s="246" t="s">
        <v>2076</v>
      </c>
      <c r="T1526" s="239">
        <f>SUM(T1527:T1531)-SUM(U1527:U1531)</f>
        <v>2728882</v>
      </c>
      <c r="U1526" s="240">
        <v>0</v>
      </c>
    </row>
    <row r="1527" spans="2:21" x14ac:dyDescent="0.3">
      <c r="B1527" s="47"/>
      <c r="C1527" s="24"/>
      <c r="D1527" s="312"/>
      <c r="E1527" s="312"/>
      <c r="G1527" s="47"/>
      <c r="H1527" s="24"/>
      <c r="I1527" s="312"/>
      <c r="J1527" s="312"/>
      <c r="L1527" s="47"/>
      <c r="M1527" s="24"/>
      <c r="N1527" s="312"/>
      <c r="O1527" s="312"/>
      <c r="Q1527" s="47"/>
      <c r="R1527" s="136" t="s">
        <v>2138</v>
      </c>
      <c r="S1527" s="24" t="s">
        <v>7</v>
      </c>
      <c r="T1527" s="155">
        <v>1034948</v>
      </c>
      <c r="U1527" s="155">
        <v>0</v>
      </c>
    </row>
    <row r="1528" spans="2:21" x14ac:dyDescent="0.3">
      <c r="B1528" s="47"/>
      <c r="C1528" s="24"/>
      <c r="D1528" s="312"/>
      <c r="E1528" s="312"/>
      <c r="G1528" s="47"/>
      <c r="H1528" s="24"/>
      <c r="I1528" s="312"/>
      <c r="J1528" s="312"/>
      <c r="L1528" s="47"/>
      <c r="M1528" s="24"/>
      <c r="N1528" s="312"/>
      <c r="O1528" s="312"/>
      <c r="Q1528" s="47"/>
      <c r="R1528" s="136" t="s">
        <v>1177</v>
      </c>
      <c r="S1528" s="24" t="s">
        <v>2141</v>
      </c>
      <c r="T1528" s="155">
        <v>316938</v>
      </c>
      <c r="U1528" s="155">
        <v>0</v>
      </c>
    </row>
    <row r="1529" spans="2:21" x14ac:dyDescent="0.3">
      <c r="B1529" s="47"/>
      <c r="C1529" s="24"/>
      <c r="D1529" s="312"/>
      <c r="E1529" s="312"/>
      <c r="G1529" s="47"/>
      <c r="H1529" s="24"/>
      <c r="I1529" s="312"/>
      <c r="J1529" s="312"/>
      <c r="L1529" s="47"/>
      <c r="M1529" s="24"/>
      <c r="N1529" s="312"/>
      <c r="O1529" s="312"/>
      <c r="Q1529" s="47"/>
      <c r="R1529" s="136" t="s">
        <v>1179</v>
      </c>
      <c r="S1529" s="24" t="s">
        <v>2148</v>
      </c>
      <c r="T1529" s="155">
        <v>112648</v>
      </c>
      <c r="U1529" s="155">
        <v>0</v>
      </c>
    </row>
    <row r="1530" spans="2:21" x14ac:dyDescent="0.3">
      <c r="B1530" s="47"/>
      <c r="C1530" s="24"/>
      <c r="D1530" s="312"/>
      <c r="E1530" s="312"/>
      <c r="G1530" s="47"/>
      <c r="H1530" s="24"/>
      <c r="I1530" s="312"/>
      <c r="J1530" s="312"/>
      <c r="L1530" s="47"/>
      <c r="M1530" s="24"/>
      <c r="N1530" s="312"/>
      <c r="O1530" s="312"/>
      <c r="Q1530" s="47"/>
      <c r="R1530" s="136" t="s">
        <v>1179</v>
      </c>
      <c r="S1530" s="24" t="s">
        <v>2143</v>
      </c>
      <c r="T1530" s="155">
        <v>221036</v>
      </c>
      <c r="U1530" s="155">
        <v>0</v>
      </c>
    </row>
    <row r="1531" spans="2:21" x14ac:dyDescent="0.3">
      <c r="B1531" s="47"/>
      <c r="C1531" s="24"/>
      <c r="D1531" s="312"/>
      <c r="E1531" s="312"/>
      <c r="G1531" s="47"/>
      <c r="H1531" s="24"/>
      <c r="I1531" s="312"/>
      <c r="J1531" s="312"/>
      <c r="L1531" s="47"/>
      <c r="M1531" s="24"/>
      <c r="N1531" s="312"/>
      <c r="O1531" s="312"/>
      <c r="Q1531" s="47"/>
      <c r="R1531" s="136" t="s">
        <v>2150</v>
      </c>
      <c r="S1531" s="24" t="s">
        <v>2151</v>
      </c>
      <c r="T1531" s="155">
        <v>1043312</v>
      </c>
      <c r="U1531" s="155">
        <v>0</v>
      </c>
    </row>
    <row r="1532" spans="2:21" x14ac:dyDescent="0.3">
      <c r="B1532" s="47"/>
      <c r="C1532" s="24"/>
      <c r="D1532" s="312"/>
      <c r="E1532" s="312"/>
      <c r="G1532" s="47"/>
      <c r="H1532" s="24"/>
      <c r="I1532" s="312"/>
      <c r="J1532" s="312"/>
      <c r="L1532" s="47"/>
      <c r="M1532" s="24"/>
      <c r="N1532" s="312"/>
      <c r="O1532" s="312"/>
      <c r="Q1532" s="241">
        <v>70080003</v>
      </c>
      <c r="R1532" s="242"/>
      <c r="S1532" s="243" t="s">
        <v>2077</v>
      </c>
      <c r="T1532" s="239">
        <f>SUM(T1533:T1537)-SUM(U1533:U1537)</f>
        <v>2474335</v>
      </c>
      <c r="U1532" s="240">
        <v>0</v>
      </c>
    </row>
    <row r="1533" spans="2:21" x14ac:dyDescent="0.3">
      <c r="B1533" s="47"/>
      <c r="C1533" s="24"/>
      <c r="D1533" s="312"/>
      <c r="E1533" s="312"/>
      <c r="G1533" s="47"/>
      <c r="H1533" s="24"/>
      <c r="I1533" s="312"/>
      <c r="J1533" s="312"/>
      <c r="L1533" s="47"/>
      <c r="M1533" s="24"/>
      <c r="N1533" s="312"/>
      <c r="O1533" s="312"/>
      <c r="Q1533" s="47"/>
      <c r="R1533" s="136" t="s">
        <v>2138</v>
      </c>
      <c r="S1533" s="24" t="s">
        <v>7</v>
      </c>
      <c r="T1533" s="155">
        <v>806620</v>
      </c>
      <c r="U1533" s="155">
        <v>0</v>
      </c>
    </row>
    <row r="1534" spans="2:21" x14ac:dyDescent="0.3">
      <c r="B1534" s="47"/>
      <c r="C1534" s="24"/>
      <c r="D1534" s="312"/>
      <c r="E1534" s="312"/>
      <c r="G1534" s="47"/>
      <c r="H1534" s="24"/>
      <c r="I1534" s="312"/>
      <c r="J1534" s="312"/>
      <c r="L1534" s="47"/>
      <c r="M1534" s="24"/>
      <c r="N1534" s="312"/>
      <c r="O1534" s="312"/>
      <c r="Q1534" s="47"/>
      <c r="R1534" s="136" t="s">
        <v>1177</v>
      </c>
      <c r="S1534" s="24" t="s">
        <v>2141</v>
      </c>
      <c r="T1534" s="155">
        <v>795345</v>
      </c>
      <c r="U1534" s="155">
        <v>0</v>
      </c>
    </row>
    <row r="1535" spans="2:21" x14ac:dyDescent="0.3">
      <c r="B1535" s="47"/>
      <c r="C1535" s="24"/>
      <c r="D1535" s="312"/>
      <c r="E1535" s="312"/>
      <c r="G1535" s="47"/>
      <c r="H1535" s="24"/>
      <c r="I1535" s="312"/>
      <c r="J1535" s="312"/>
      <c r="L1535" s="47"/>
      <c r="M1535" s="24"/>
      <c r="N1535" s="312"/>
      <c r="O1535" s="312"/>
      <c r="Q1535" s="47"/>
      <c r="R1535" s="136" t="s">
        <v>1179</v>
      </c>
      <c r="S1535" s="24" t="s">
        <v>2148</v>
      </c>
      <c r="T1535" s="155">
        <v>15000</v>
      </c>
      <c r="U1535" s="155">
        <v>0</v>
      </c>
    </row>
    <row r="1536" spans="2:21" x14ac:dyDescent="0.3">
      <c r="B1536" s="47"/>
      <c r="C1536" s="24"/>
      <c r="D1536" s="312"/>
      <c r="E1536" s="312"/>
      <c r="G1536" s="47"/>
      <c r="H1536" s="24"/>
      <c r="I1536" s="312"/>
      <c r="J1536" s="312"/>
      <c r="L1536" s="47"/>
      <c r="M1536" s="24"/>
      <c r="N1536" s="312"/>
      <c r="O1536" s="312"/>
      <c r="Q1536" s="47"/>
      <c r="R1536" s="136" t="s">
        <v>1179</v>
      </c>
      <c r="S1536" s="24" t="s">
        <v>2143</v>
      </c>
      <c r="T1536" s="155">
        <v>27000</v>
      </c>
      <c r="U1536" s="155">
        <v>0</v>
      </c>
    </row>
    <row r="1537" spans="2:21" x14ac:dyDescent="0.3">
      <c r="B1537" s="47"/>
      <c r="C1537" s="24"/>
      <c r="D1537" s="312"/>
      <c r="E1537" s="312"/>
      <c r="G1537" s="47"/>
      <c r="H1537" s="24"/>
      <c r="I1537" s="312"/>
      <c r="J1537" s="312"/>
      <c r="L1537" s="47"/>
      <c r="M1537" s="24"/>
      <c r="N1537" s="312"/>
      <c r="O1537" s="312"/>
      <c r="Q1537" s="47"/>
      <c r="R1537" s="136" t="s">
        <v>2150</v>
      </c>
      <c r="S1537" s="24" t="s">
        <v>2151</v>
      </c>
      <c r="T1537" s="155">
        <v>830370</v>
      </c>
      <c r="U1537" s="155">
        <v>0</v>
      </c>
    </row>
    <row r="1538" spans="2:21" x14ac:dyDescent="0.3">
      <c r="B1538" s="47"/>
      <c r="C1538" s="24"/>
      <c r="D1538" s="312"/>
      <c r="E1538" s="312"/>
      <c r="G1538" s="47"/>
      <c r="H1538" s="24"/>
      <c r="I1538" s="312"/>
      <c r="J1538" s="312"/>
      <c r="L1538" s="47"/>
      <c r="M1538" s="24"/>
      <c r="N1538" s="312"/>
      <c r="O1538" s="312"/>
      <c r="Q1538" s="241">
        <v>70080004</v>
      </c>
      <c r="R1538" s="242"/>
      <c r="S1538" s="243" t="s">
        <v>2078</v>
      </c>
      <c r="T1538" s="239">
        <f>SUM(T1539:T1542)-SUM(U1539:U1542)</f>
        <v>319076</v>
      </c>
      <c r="U1538" s="240">
        <v>0</v>
      </c>
    </row>
    <row r="1539" spans="2:21" x14ac:dyDescent="0.3">
      <c r="B1539" s="47"/>
      <c r="C1539" s="24"/>
      <c r="D1539" s="312"/>
      <c r="E1539" s="312"/>
      <c r="G1539" s="47"/>
      <c r="H1539" s="24"/>
      <c r="I1539" s="312"/>
      <c r="J1539" s="312"/>
      <c r="L1539" s="47"/>
      <c r="M1539" s="24"/>
      <c r="N1539" s="312"/>
      <c r="O1539" s="312"/>
      <c r="Q1539" s="47"/>
      <c r="R1539" s="136" t="s">
        <v>2138</v>
      </c>
      <c r="S1539" s="24" t="s">
        <v>7</v>
      </c>
      <c r="T1539" s="155">
        <v>132754</v>
      </c>
      <c r="U1539" s="155">
        <v>0</v>
      </c>
    </row>
    <row r="1540" spans="2:21" x14ac:dyDescent="0.3">
      <c r="B1540" s="47"/>
      <c r="C1540" s="24"/>
      <c r="D1540" s="312"/>
      <c r="E1540" s="312"/>
      <c r="G1540" s="47"/>
      <c r="H1540" s="24"/>
      <c r="I1540" s="312"/>
      <c r="J1540" s="312"/>
      <c r="L1540" s="47"/>
      <c r="M1540" s="24"/>
      <c r="N1540" s="312"/>
      <c r="O1540" s="312"/>
      <c r="Q1540" s="47"/>
      <c r="R1540" s="136" t="s">
        <v>1179</v>
      </c>
      <c r="S1540" s="24" t="s">
        <v>2148</v>
      </c>
      <c r="T1540" s="155">
        <v>35888</v>
      </c>
      <c r="U1540" s="155">
        <v>0</v>
      </c>
    </row>
    <row r="1541" spans="2:21" x14ac:dyDescent="0.3">
      <c r="B1541" s="47"/>
      <c r="C1541" s="24"/>
      <c r="D1541" s="312"/>
      <c r="E1541" s="312"/>
      <c r="G1541" s="47"/>
      <c r="H1541" s="24"/>
      <c r="I1541" s="312"/>
      <c r="J1541" s="312"/>
      <c r="L1541" s="47"/>
      <c r="M1541" s="24"/>
      <c r="N1541" s="312"/>
      <c r="O1541" s="312"/>
      <c r="Q1541" s="47"/>
      <c r="R1541" s="136" t="s">
        <v>1179</v>
      </c>
      <c r="S1541" s="24" t="s">
        <v>2143</v>
      </c>
      <c r="T1541" s="155">
        <v>134792</v>
      </c>
      <c r="U1541" s="155">
        <v>0</v>
      </c>
    </row>
    <row r="1542" spans="2:21" x14ac:dyDescent="0.3">
      <c r="B1542" s="47"/>
      <c r="C1542" s="24"/>
      <c r="D1542" s="312"/>
      <c r="E1542" s="312"/>
      <c r="G1542" s="47"/>
      <c r="H1542" s="24"/>
      <c r="I1542" s="312"/>
      <c r="J1542" s="312"/>
      <c r="L1542" s="47"/>
      <c r="M1542" s="24"/>
      <c r="N1542" s="312"/>
      <c r="O1542" s="312"/>
      <c r="Q1542" s="47"/>
      <c r="R1542" s="136" t="s">
        <v>2150</v>
      </c>
      <c r="S1542" s="24" t="s">
        <v>2151</v>
      </c>
      <c r="T1542" s="155">
        <v>15642</v>
      </c>
      <c r="U1542" s="155">
        <v>0</v>
      </c>
    </row>
    <row r="1543" spans="2:21" x14ac:dyDescent="0.3">
      <c r="B1543" s="47"/>
      <c r="C1543" s="24"/>
      <c r="D1543" s="312"/>
      <c r="E1543" s="312"/>
      <c r="G1543" s="47"/>
      <c r="H1543" s="24"/>
      <c r="I1543" s="312"/>
      <c r="J1543" s="312"/>
      <c r="L1543" s="47"/>
      <c r="M1543" s="24"/>
      <c r="N1543" s="312"/>
      <c r="O1543" s="312"/>
      <c r="Q1543" s="241">
        <v>70080005</v>
      </c>
      <c r="R1543" s="242"/>
      <c r="S1543" s="243" t="s">
        <v>1104</v>
      </c>
      <c r="T1543" s="239">
        <f>SUM(T1544:T1546)-SUM(U1544:U1546)</f>
        <v>66000</v>
      </c>
      <c r="U1543" s="240">
        <v>0</v>
      </c>
    </row>
    <row r="1544" spans="2:21" x14ac:dyDescent="0.3">
      <c r="B1544" s="47"/>
      <c r="C1544" s="24"/>
      <c r="D1544" s="312"/>
      <c r="E1544" s="312"/>
      <c r="G1544" s="47"/>
      <c r="H1544" s="24"/>
      <c r="I1544" s="312"/>
      <c r="J1544" s="312"/>
      <c r="L1544" s="47"/>
      <c r="M1544" s="24"/>
      <c r="N1544" s="312"/>
      <c r="O1544" s="312"/>
      <c r="Q1544" s="47"/>
      <c r="R1544" s="136" t="s">
        <v>2138</v>
      </c>
      <c r="S1544" s="24" t="s">
        <v>7</v>
      </c>
      <c r="T1544" s="155">
        <v>6000</v>
      </c>
      <c r="U1544" s="155">
        <v>0</v>
      </c>
    </row>
    <row r="1545" spans="2:21" x14ac:dyDescent="0.3">
      <c r="B1545" s="47"/>
      <c r="C1545" s="24"/>
      <c r="D1545" s="312"/>
      <c r="E1545" s="312"/>
      <c r="G1545" s="47"/>
      <c r="H1545" s="24"/>
      <c r="I1545" s="312"/>
      <c r="J1545" s="312"/>
      <c r="L1545" s="47"/>
      <c r="M1545" s="24"/>
      <c r="N1545" s="312"/>
      <c r="O1545" s="312"/>
      <c r="Q1545" s="47"/>
      <c r="R1545" s="136" t="s">
        <v>1177</v>
      </c>
      <c r="S1545" s="24" t="s">
        <v>2141</v>
      </c>
      <c r="T1545" s="155">
        <v>30000</v>
      </c>
      <c r="U1545" s="155">
        <v>0</v>
      </c>
    </row>
    <row r="1546" spans="2:21" x14ac:dyDescent="0.3">
      <c r="B1546" s="47"/>
      <c r="C1546" s="24"/>
      <c r="D1546" s="312"/>
      <c r="E1546" s="312"/>
      <c r="G1546" s="47"/>
      <c r="H1546" s="24"/>
      <c r="I1546" s="312"/>
      <c r="J1546" s="312"/>
      <c r="L1546" s="47"/>
      <c r="M1546" s="24"/>
      <c r="N1546" s="312"/>
      <c r="O1546" s="312"/>
      <c r="Q1546" s="47"/>
      <c r="R1546" s="136" t="s">
        <v>2150</v>
      </c>
      <c r="S1546" s="24" t="s">
        <v>2151</v>
      </c>
      <c r="T1546" s="155">
        <v>30000</v>
      </c>
      <c r="U1546" s="155">
        <v>0</v>
      </c>
    </row>
    <row r="1547" spans="2:21" x14ac:dyDescent="0.3">
      <c r="B1547" s="47"/>
      <c r="C1547" s="24"/>
      <c r="D1547" s="312"/>
      <c r="E1547" s="312"/>
      <c r="G1547" s="47"/>
      <c r="H1547" s="24"/>
      <c r="I1547" s="312"/>
      <c r="J1547" s="312"/>
      <c r="L1547" s="47"/>
      <c r="M1547" s="24"/>
      <c r="N1547" s="312"/>
      <c r="O1547" s="312"/>
      <c r="Q1547" s="47"/>
      <c r="R1547" s="136"/>
      <c r="S1547" s="24"/>
      <c r="T1547" s="155"/>
      <c r="U1547" s="155"/>
    </row>
    <row r="1548" spans="2:21" x14ac:dyDescent="0.3">
      <c r="B1548" s="47"/>
      <c r="C1548" s="24"/>
      <c r="D1548" s="312"/>
      <c r="E1548" s="312"/>
      <c r="G1548" s="47"/>
      <c r="H1548" s="24"/>
      <c r="I1548" s="312"/>
      <c r="J1548" s="312"/>
      <c r="K1548">
        <v>7009</v>
      </c>
      <c r="L1548" s="241">
        <v>7009</v>
      </c>
      <c r="M1548" s="243" t="s">
        <v>913</v>
      </c>
      <c r="N1548" s="314">
        <f>T1548+T1550+T1552+T1553</f>
        <v>694160</v>
      </c>
      <c r="O1548" s="314">
        <v>0</v>
      </c>
      <c r="Q1548" s="241">
        <v>70090001</v>
      </c>
      <c r="R1548" s="242"/>
      <c r="S1548" s="243" t="s">
        <v>1105</v>
      </c>
      <c r="T1548" s="239">
        <f>SUM(T1549)-SUM(U1549)</f>
        <v>604160</v>
      </c>
      <c r="U1548" s="240">
        <v>0</v>
      </c>
    </row>
    <row r="1549" spans="2:21" x14ac:dyDescent="0.3">
      <c r="B1549" s="47"/>
      <c r="C1549" s="24"/>
      <c r="D1549" s="312"/>
      <c r="E1549" s="312"/>
      <c r="G1549" s="47"/>
      <c r="H1549" s="24"/>
      <c r="I1549" s="312"/>
      <c r="J1549" s="312"/>
      <c r="L1549" s="47"/>
      <c r="M1549" s="24"/>
      <c r="N1549" s="312"/>
      <c r="O1549" s="312"/>
      <c r="Q1549" s="47"/>
      <c r="R1549" s="136" t="s">
        <v>2138</v>
      </c>
      <c r="S1549" s="24" t="s">
        <v>7</v>
      </c>
      <c r="T1549" s="155">
        <v>604160</v>
      </c>
      <c r="U1549" s="155">
        <v>0</v>
      </c>
    </row>
    <row r="1550" spans="2:21" x14ac:dyDescent="0.3">
      <c r="B1550" s="47"/>
      <c r="C1550" s="24"/>
      <c r="D1550" s="312"/>
      <c r="E1550" s="312"/>
      <c r="G1550" s="47"/>
      <c r="H1550" s="24"/>
      <c r="I1550" s="312"/>
      <c r="J1550" s="312"/>
      <c r="L1550" s="47"/>
      <c r="M1550" s="24"/>
      <c r="N1550" s="312"/>
      <c r="O1550" s="312"/>
      <c r="Q1550" s="241">
        <v>70090002</v>
      </c>
      <c r="R1550" s="242"/>
      <c r="S1550" s="243" t="s">
        <v>1106</v>
      </c>
      <c r="T1550" s="239">
        <f>SUM(T1551)-SUM(U1551)</f>
        <v>90000</v>
      </c>
      <c r="U1550" s="240">
        <v>0</v>
      </c>
    </row>
    <row r="1551" spans="2:21" x14ac:dyDescent="0.3">
      <c r="B1551" s="47"/>
      <c r="C1551" s="24"/>
      <c r="D1551" s="312"/>
      <c r="E1551" s="312"/>
      <c r="G1551" s="47"/>
      <c r="H1551" s="24"/>
      <c r="I1551" s="312"/>
      <c r="J1551" s="312"/>
      <c r="L1551" s="47"/>
      <c r="M1551" s="24"/>
      <c r="N1551" s="312"/>
      <c r="O1551" s="312"/>
      <c r="Q1551" s="47"/>
      <c r="R1551" s="136" t="s">
        <v>2138</v>
      </c>
      <c r="S1551" s="24" t="s">
        <v>7</v>
      </c>
      <c r="T1551" s="155">
        <v>90000</v>
      </c>
      <c r="U1551" s="155">
        <v>0</v>
      </c>
    </row>
    <row r="1552" spans="2:21" x14ac:dyDescent="0.3">
      <c r="B1552" s="47"/>
      <c r="C1552" s="24"/>
      <c r="D1552" s="312"/>
      <c r="E1552" s="312"/>
      <c r="G1552" s="47"/>
      <c r="H1552" s="24"/>
      <c r="I1552" s="312"/>
      <c r="J1552" s="312"/>
      <c r="L1552" s="47"/>
      <c r="M1552" s="24"/>
      <c r="N1552" s="312"/>
      <c r="O1552" s="312"/>
      <c r="Q1552" s="241">
        <v>70090003</v>
      </c>
      <c r="R1552" s="242"/>
      <c r="S1552" s="243" t="s">
        <v>1107</v>
      </c>
      <c r="T1552" s="240">
        <v>0</v>
      </c>
      <c r="U1552" s="240">
        <v>0</v>
      </c>
    </row>
    <row r="1553" spans="2:21" x14ac:dyDescent="0.3">
      <c r="B1553" s="47"/>
      <c r="C1553" s="24"/>
      <c r="D1553" s="312"/>
      <c r="E1553" s="312"/>
      <c r="G1553" s="47"/>
      <c r="H1553" s="24"/>
      <c r="I1553" s="312"/>
      <c r="J1553" s="312"/>
      <c r="L1553" s="47"/>
      <c r="M1553" s="24"/>
      <c r="N1553" s="312"/>
      <c r="O1553" s="312"/>
      <c r="Q1553" s="244">
        <v>70090004</v>
      </c>
      <c r="R1553" s="245"/>
      <c r="S1553" s="243" t="s">
        <v>1109</v>
      </c>
      <c r="T1553" s="247">
        <v>0</v>
      </c>
      <c r="U1553" s="247">
        <v>0</v>
      </c>
    </row>
    <row r="1554" spans="2:21" x14ac:dyDescent="0.3">
      <c r="B1554" s="47"/>
      <c r="C1554" s="24"/>
      <c r="D1554" s="312"/>
      <c r="E1554" s="312"/>
      <c r="G1554" s="47"/>
      <c r="H1554" s="24"/>
      <c r="I1554" s="312"/>
      <c r="J1554" s="312"/>
      <c r="L1554" s="47"/>
      <c r="M1554" s="24"/>
      <c r="N1554" s="312"/>
      <c r="O1554" s="312"/>
      <c r="Q1554" s="47"/>
      <c r="R1554" s="136"/>
      <c r="S1554" s="24"/>
      <c r="T1554" s="155"/>
      <c r="U1554" s="155"/>
    </row>
    <row r="1555" spans="2:21" x14ac:dyDescent="0.3">
      <c r="B1555" s="47"/>
      <c r="C1555" s="24"/>
      <c r="D1555" s="312"/>
      <c r="E1555" s="312"/>
      <c r="G1555" s="47"/>
      <c r="H1555" s="24"/>
      <c r="I1555" s="312"/>
      <c r="J1555" s="312"/>
      <c r="K1555">
        <v>7010</v>
      </c>
      <c r="L1555" s="241">
        <v>7010</v>
      </c>
      <c r="M1555" s="243" t="s">
        <v>2080</v>
      </c>
      <c r="N1555" s="314">
        <f>T1555</f>
        <v>180000</v>
      </c>
      <c r="O1555" s="314">
        <v>0</v>
      </c>
      <c r="Q1555" s="241">
        <v>70100001</v>
      </c>
      <c r="R1555" s="242"/>
      <c r="S1555" s="243" t="s">
        <v>2080</v>
      </c>
      <c r="T1555" s="239">
        <f>SUM(T1556)-SUM(U1556)</f>
        <v>180000</v>
      </c>
      <c r="U1555" s="240">
        <v>0</v>
      </c>
    </row>
    <row r="1556" spans="2:21" x14ac:dyDescent="0.3">
      <c r="B1556" s="47"/>
      <c r="C1556" s="24"/>
      <c r="D1556" s="312"/>
      <c r="E1556" s="312"/>
      <c r="G1556" s="47"/>
      <c r="H1556" s="24"/>
      <c r="I1556" s="312"/>
      <c r="J1556" s="312"/>
      <c r="L1556" s="47"/>
      <c r="M1556" s="24"/>
      <c r="N1556" s="312"/>
      <c r="O1556" s="312"/>
      <c r="Q1556" s="47"/>
      <c r="R1556" s="136" t="s">
        <v>2138</v>
      </c>
      <c r="S1556" s="24" t="s">
        <v>7</v>
      </c>
      <c r="T1556" s="155">
        <v>180000</v>
      </c>
      <c r="U1556" s="155">
        <v>0</v>
      </c>
    </row>
    <row r="1557" spans="2:21" x14ac:dyDescent="0.3">
      <c r="B1557" s="47"/>
      <c r="C1557" s="24"/>
      <c r="D1557" s="312"/>
      <c r="E1557" s="312"/>
      <c r="G1557" s="47"/>
      <c r="H1557" s="24"/>
      <c r="I1557" s="312"/>
      <c r="J1557" s="312"/>
      <c r="L1557" s="47"/>
      <c r="M1557" s="24"/>
      <c r="N1557" s="312"/>
      <c r="O1557" s="312"/>
      <c r="Q1557" s="47"/>
      <c r="R1557" s="136"/>
      <c r="S1557" s="24"/>
      <c r="T1557" s="155"/>
      <c r="U1557" s="155"/>
    </row>
    <row r="1558" spans="2:21" x14ac:dyDescent="0.3">
      <c r="B1558" s="47"/>
      <c r="C1558" s="24"/>
      <c r="D1558" s="312"/>
      <c r="E1558" s="312"/>
      <c r="G1558" s="47"/>
      <c r="H1558" s="24"/>
      <c r="I1558" s="312"/>
      <c r="J1558" s="312"/>
      <c r="K1558">
        <v>7011</v>
      </c>
      <c r="L1558" s="241">
        <v>7011</v>
      </c>
      <c r="M1558" s="243" t="s">
        <v>914</v>
      </c>
      <c r="N1558" s="314">
        <f>T1558+T1560+T1561+T1566+T1567+T1568+T1570+T1571+T1573+T1575+T1577</f>
        <v>11321705</v>
      </c>
      <c r="O1558" s="314">
        <v>0</v>
      </c>
      <c r="Q1558" s="241">
        <v>70110001</v>
      </c>
      <c r="R1558" s="242"/>
      <c r="S1558" s="243" t="s">
        <v>2111</v>
      </c>
      <c r="T1558" s="239">
        <f>SUM(T1559)-SUM(U1559)</f>
        <v>9517626</v>
      </c>
      <c r="U1558" s="240">
        <v>0</v>
      </c>
    </row>
    <row r="1559" spans="2:21" x14ac:dyDescent="0.3">
      <c r="B1559" s="47"/>
      <c r="C1559" s="24"/>
      <c r="D1559" s="312"/>
      <c r="E1559" s="312"/>
      <c r="G1559" s="47"/>
      <c r="H1559" s="24"/>
      <c r="I1559" s="312"/>
      <c r="J1559" s="312"/>
      <c r="L1559" s="47"/>
      <c r="M1559" s="24"/>
      <c r="N1559" s="312"/>
      <c r="O1559" s="312"/>
      <c r="Q1559" s="47"/>
      <c r="R1559" s="136" t="s">
        <v>2138</v>
      </c>
      <c r="S1559" s="24" t="s">
        <v>7</v>
      </c>
      <c r="T1559" s="155">
        <v>9517626</v>
      </c>
      <c r="U1559" s="155">
        <v>0</v>
      </c>
    </row>
    <row r="1560" spans="2:21" x14ac:dyDescent="0.3">
      <c r="B1560" s="47"/>
      <c r="C1560" s="24"/>
      <c r="D1560" s="312"/>
      <c r="E1560" s="312"/>
      <c r="G1560" s="47"/>
      <c r="H1560" s="24"/>
      <c r="I1560" s="312"/>
      <c r="J1560" s="312"/>
      <c r="L1560" s="47"/>
      <c r="M1560" s="24"/>
      <c r="N1560" s="312"/>
      <c r="O1560" s="312"/>
      <c r="Q1560" s="241">
        <v>70110002</v>
      </c>
      <c r="R1560" s="242"/>
      <c r="S1560" s="243" t="s">
        <v>2079</v>
      </c>
      <c r="T1560" s="240">
        <v>0</v>
      </c>
      <c r="U1560" s="240">
        <v>0</v>
      </c>
    </row>
    <row r="1561" spans="2:21" x14ac:dyDescent="0.3">
      <c r="B1561" s="47"/>
      <c r="C1561" s="24"/>
      <c r="D1561" s="312"/>
      <c r="E1561" s="312"/>
      <c r="G1561" s="47"/>
      <c r="H1561" s="24"/>
      <c r="I1561" s="312"/>
      <c r="J1561" s="312"/>
      <c r="L1561" s="47"/>
      <c r="M1561" s="24"/>
      <c r="N1561" s="312"/>
      <c r="O1561" s="312"/>
      <c r="Q1561" s="241">
        <v>70110003</v>
      </c>
      <c r="R1561" s="242"/>
      <c r="S1561" s="243" t="s">
        <v>1120</v>
      </c>
      <c r="T1561" s="239">
        <f>SUM(T1562:T1565)-SUM(U1562:U1565)</f>
        <v>379016</v>
      </c>
      <c r="U1561" s="240">
        <v>0</v>
      </c>
    </row>
    <row r="1562" spans="2:21" x14ac:dyDescent="0.3">
      <c r="B1562" s="47"/>
      <c r="C1562" s="24"/>
      <c r="D1562" s="312"/>
      <c r="E1562" s="312"/>
      <c r="G1562" s="47"/>
      <c r="H1562" s="24"/>
      <c r="I1562" s="312"/>
      <c r="J1562" s="312"/>
      <c r="L1562" s="47"/>
      <c r="M1562" s="24"/>
      <c r="N1562" s="312"/>
      <c r="O1562" s="312"/>
      <c r="Q1562" s="47"/>
      <c r="R1562" s="136" t="s">
        <v>2138</v>
      </c>
      <c r="S1562" s="24" t="s">
        <v>7</v>
      </c>
      <c r="T1562" s="155">
        <v>298666</v>
      </c>
      <c r="U1562" s="155">
        <v>0</v>
      </c>
    </row>
    <row r="1563" spans="2:21" x14ac:dyDescent="0.3">
      <c r="B1563" s="47"/>
      <c r="C1563" s="24"/>
      <c r="D1563" s="312"/>
      <c r="E1563" s="312"/>
      <c r="G1563" s="47"/>
      <c r="H1563" s="24"/>
      <c r="I1563" s="312"/>
      <c r="J1563" s="312"/>
      <c r="L1563" s="47"/>
      <c r="M1563" s="24"/>
      <c r="N1563" s="312"/>
      <c r="O1563" s="312"/>
      <c r="Q1563" s="47"/>
      <c r="R1563" s="136" t="s">
        <v>1179</v>
      </c>
      <c r="S1563" s="24" t="s">
        <v>2145</v>
      </c>
      <c r="T1563" s="155">
        <v>2750</v>
      </c>
      <c r="U1563" s="155">
        <v>0</v>
      </c>
    </row>
    <row r="1564" spans="2:21" x14ac:dyDescent="0.3">
      <c r="B1564" s="47"/>
      <c r="C1564" s="24"/>
      <c r="D1564" s="312"/>
      <c r="E1564" s="312"/>
      <c r="G1564" s="47"/>
      <c r="H1564" s="24"/>
      <c r="I1564" s="312"/>
      <c r="J1564" s="312"/>
      <c r="L1564" s="47"/>
      <c r="M1564" s="24"/>
      <c r="N1564" s="312"/>
      <c r="O1564" s="312"/>
      <c r="Q1564" s="47"/>
      <c r="R1564" s="136" t="s">
        <v>2150</v>
      </c>
      <c r="S1564" s="24" t="s">
        <v>2151</v>
      </c>
      <c r="T1564" s="155">
        <v>48000</v>
      </c>
      <c r="U1564" s="155">
        <v>0</v>
      </c>
    </row>
    <row r="1565" spans="2:21" x14ac:dyDescent="0.3">
      <c r="B1565" s="47"/>
      <c r="C1565" s="24"/>
      <c r="D1565" s="312"/>
      <c r="E1565" s="312"/>
      <c r="G1565" s="47"/>
      <c r="H1565" s="24"/>
      <c r="I1565" s="312"/>
      <c r="J1565" s="312"/>
      <c r="L1565" s="47"/>
      <c r="M1565" s="24"/>
      <c r="N1565" s="312"/>
      <c r="O1565" s="312"/>
      <c r="Q1565" s="47"/>
      <c r="R1565" s="136" t="s">
        <v>2152</v>
      </c>
      <c r="S1565" s="24" t="s">
        <v>2153</v>
      </c>
      <c r="T1565" s="155">
        <v>29600</v>
      </c>
      <c r="U1565" s="155">
        <v>0</v>
      </c>
    </row>
    <row r="1566" spans="2:21" x14ac:dyDescent="0.3">
      <c r="B1566" s="47"/>
      <c r="C1566" s="24"/>
      <c r="D1566" s="312"/>
      <c r="E1566" s="312"/>
      <c r="G1566" s="47"/>
      <c r="H1566" s="24"/>
      <c r="I1566" s="312"/>
      <c r="J1566" s="312"/>
      <c r="L1566" s="47"/>
      <c r="M1566" s="24"/>
      <c r="N1566" s="312"/>
      <c r="O1566" s="312"/>
      <c r="Q1566" s="241">
        <v>70110004</v>
      </c>
      <c r="R1566" s="242"/>
      <c r="S1566" s="243" t="s">
        <v>1117</v>
      </c>
      <c r="T1566" s="240">
        <v>0</v>
      </c>
      <c r="U1566" s="240">
        <v>0</v>
      </c>
    </row>
    <row r="1567" spans="2:21" x14ac:dyDescent="0.3">
      <c r="B1567" s="47"/>
      <c r="C1567" s="24"/>
      <c r="D1567" s="312"/>
      <c r="E1567" s="312"/>
      <c r="G1567" s="47"/>
      <c r="H1567" s="24"/>
      <c r="I1567" s="312"/>
      <c r="J1567" s="312"/>
      <c r="L1567" s="47"/>
      <c r="M1567" s="24"/>
      <c r="N1567" s="312"/>
      <c r="O1567" s="312"/>
      <c r="Q1567" s="241">
        <v>70110005</v>
      </c>
      <c r="R1567" s="242"/>
      <c r="S1567" s="243" t="s">
        <v>1119</v>
      </c>
      <c r="T1567" s="240">
        <v>0</v>
      </c>
      <c r="U1567" s="240">
        <v>0</v>
      </c>
    </row>
    <row r="1568" spans="2:21" x14ac:dyDescent="0.3">
      <c r="B1568" s="47"/>
      <c r="C1568" s="24"/>
      <c r="D1568" s="312"/>
      <c r="E1568" s="312"/>
      <c r="G1568" s="47"/>
      <c r="H1568" s="24"/>
      <c r="I1568" s="312"/>
      <c r="J1568" s="312"/>
      <c r="L1568" s="47"/>
      <c r="M1568" s="24"/>
      <c r="N1568" s="312"/>
      <c r="O1568" s="312"/>
      <c r="Q1568" s="241">
        <v>70110006</v>
      </c>
      <c r="R1568" s="242"/>
      <c r="S1568" s="243" t="s">
        <v>1118</v>
      </c>
      <c r="T1568" s="239">
        <f>SUM(T1569)-SUM(U1569)</f>
        <v>80460</v>
      </c>
      <c r="U1568" s="240">
        <v>0</v>
      </c>
    </row>
    <row r="1569" spans="2:21" x14ac:dyDescent="0.3">
      <c r="B1569" s="47"/>
      <c r="C1569" s="24"/>
      <c r="D1569" s="312"/>
      <c r="E1569" s="312"/>
      <c r="G1569" s="47"/>
      <c r="H1569" s="24"/>
      <c r="I1569" s="312"/>
      <c r="J1569" s="312"/>
      <c r="L1569" s="47"/>
      <c r="M1569" s="24"/>
      <c r="N1569" s="312"/>
      <c r="O1569" s="312"/>
      <c r="Q1569" s="47"/>
      <c r="R1569" s="136" t="s">
        <v>2138</v>
      </c>
      <c r="S1569" s="24" t="s">
        <v>7</v>
      </c>
      <c r="T1569" s="155">
        <v>80460</v>
      </c>
      <c r="U1569" s="155">
        <v>0</v>
      </c>
    </row>
    <row r="1570" spans="2:21" x14ac:dyDescent="0.3">
      <c r="B1570" s="47"/>
      <c r="C1570" s="24"/>
      <c r="D1570" s="312"/>
      <c r="E1570" s="312"/>
      <c r="G1570" s="47"/>
      <c r="H1570" s="24"/>
      <c r="I1570" s="312"/>
      <c r="J1570" s="312"/>
      <c r="L1570" s="47"/>
      <c r="M1570" s="24"/>
      <c r="N1570" s="312"/>
      <c r="O1570" s="312"/>
      <c r="Q1570" s="241">
        <v>70110007</v>
      </c>
      <c r="R1570" s="242"/>
      <c r="S1570" s="243" t="s">
        <v>1121</v>
      </c>
      <c r="T1570" s="240">
        <v>0</v>
      </c>
      <c r="U1570" s="240">
        <v>0</v>
      </c>
    </row>
    <row r="1571" spans="2:21" x14ac:dyDescent="0.3">
      <c r="B1571" s="47"/>
      <c r="C1571" s="24"/>
      <c r="D1571" s="312"/>
      <c r="E1571" s="312"/>
      <c r="G1571" s="47"/>
      <c r="H1571" s="24"/>
      <c r="I1571" s="312"/>
      <c r="J1571" s="312"/>
      <c r="L1571" s="47"/>
      <c r="M1571" s="24"/>
      <c r="N1571" s="312"/>
      <c r="O1571" s="312"/>
      <c r="Q1571" s="241">
        <v>70110008</v>
      </c>
      <c r="R1571" s="242"/>
      <c r="S1571" s="243" t="s">
        <v>1122</v>
      </c>
      <c r="T1571" s="239">
        <f>SUM(T1572)-SUM(U1572)</f>
        <v>210000</v>
      </c>
      <c r="U1571" s="240">
        <v>0</v>
      </c>
    </row>
    <row r="1572" spans="2:21" x14ac:dyDescent="0.3">
      <c r="B1572" s="47"/>
      <c r="C1572" s="24"/>
      <c r="D1572" s="312"/>
      <c r="E1572" s="312"/>
      <c r="G1572" s="47"/>
      <c r="H1572" s="24"/>
      <c r="I1572" s="312"/>
      <c r="J1572" s="312"/>
      <c r="L1572" s="47"/>
      <c r="M1572" s="24"/>
      <c r="N1572" s="312"/>
      <c r="O1572" s="312"/>
      <c r="Q1572" s="47"/>
      <c r="R1572" s="136" t="s">
        <v>2138</v>
      </c>
      <c r="S1572" s="24" t="s">
        <v>7</v>
      </c>
      <c r="T1572" s="155">
        <v>210000</v>
      </c>
      <c r="U1572" s="155">
        <v>0</v>
      </c>
    </row>
    <row r="1573" spans="2:21" x14ac:dyDescent="0.3">
      <c r="B1573" s="47"/>
      <c r="C1573" s="24"/>
      <c r="D1573" s="312"/>
      <c r="E1573" s="312"/>
      <c r="G1573" s="47"/>
      <c r="H1573" s="24"/>
      <c r="I1573" s="312"/>
      <c r="J1573" s="312"/>
      <c r="L1573" s="47"/>
      <c r="M1573" s="24"/>
      <c r="N1573" s="312"/>
      <c r="O1573" s="312"/>
      <c r="Q1573" s="241">
        <v>70110009</v>
      </c>
      <c r="R1573" s="242"/>
      <c r="S1573" s="243" t="s">
        <v>1123</v>
      </c>
      <c r="T1573" s="239">
        <f>SUM(T1574)-SUM(U1574)</f>
        <v>557333</v>
      </c>
      <c r="U1573" s="240">
        <v>0</v>
      </c>
    </row>
    <row r="1574" spans="2:21" x14ac:dyDescent="0.3">
      <c r="B1574" s="47"/>
      <c r="C1574" s="24"/>
      <c r="D1574" s="312"/>
      <c r="E1574" s="312"/>
      <c r="G1574" s="47"/>
      <c r="H1574" s="24"/>
      <c r="I1574" s="312"/>
      <c r="J1574" s="312"/>
      <c r="L1574" s="47"/>
      <c r="M1574" s="24"/>
      <c r="N1574" s="312"/>
      <c r="O1574" s="312"/>
      <c r="Q1574" s="47"/>
      <c r="R1574" s="136" t="s">
        <v>2138</v>
      </c>
      <c r="S1574" s="24" t="s">
        <v>7</v>
      </c>
      <c r="T1574" s="155">
        <v>557333</v>
      </c>
      <c r="U1574" s="155">
        <v>0</v>
      </c>
    </row>
    <row r="1575" spans="2:21" x14ac:dyDescent="0.3">
      <c r="B1575" s="47"/>
      <c r="C1575" s="24"/>
      <c r="D1575" s="312"/>
      <c r="E1575" s="312"/>
      <c r="G1575" s="47"/>
      <c r="H1575" s="24"/>
      <c r="I1575" s="312"/>
      <c r="J1575" s="312"/>
      <c r="L1575" s="47"/>
      <c r="M1575" s="24"/>
      <c r="N1575" s="312"/>
      <c r="O1575" s="312"/>
      <c r="Q1575" s="241">
        <v>70110010</v>
      </c>
      <c r="R1575" s="242"/>
      <c r="S1575" s="243" t="s">
        <v>1124</v>
      </c>
      <c r="T1575" s="239">
        <f>SUM(T1576)-SUM(U1576)</f>
        <v>577270</v>
      </c>
      <c r="U1575" s="240">
        <v>0</v>
      </c>
    </row>
    <row r="1576" spans="2:21" x14ac:dyDescent="0.3">
      <c r="B1576" s="47"/>
      <c r="C1576" s="24"/>
      <c r="D1576" s="312"/>
      <c r="E1576" s="312"/>
      <c r="G1576" s="47"/>
      <c r="H1576" s="24"/>
      <c r="I1576" s="312"/>
      <c r="J1576" s="312"/>
      <c r="L1576" s="47"/>
      <c r="M1576" s="24"/>
      <c r="N1576" s="312"/>
      <c r="O1576" s="312"/>
      <c r="Q1576" s="47"/>
      <c r="R1576" s="136" t="s">
        <v>2138</v>
      </c>
      <c r="S1576" s="24" t="s">
        <v>7</v>
      </c>
      <c r="T1576" s="155">
        <v>577270</v>
      </c>
      <c r="U1576" s="155">
        <v>0</v>
      </c>
    </row>
    <row r="1577" spans="2:21" x14ac:dyDescent="0.3">
      <c r="B1577" s="47"/>
      <c r="C1577" s="24"/>
      <c r="D1577" s="312"/>
      <c r="E1577" s="312"/>
      <c r="G1577" s="47"/>
      <c r="H1577" s="24"/>
      <c r="I1577" s="312"/>
      <c r="J1577" s="312"/>
      <c r="L1577" s="47"/>
      <c r="M1577" s="24"/>
      <c r="N1577" s="312"/>
      <c r="O1577" s="312"/>
      <c r="Q1577" s="241">
        <v>70110011</v>
      </c>
      <c r="R1577" s="242"/>
      <c r="S1577" s="243" t="s">
        <v>2081</v>
      </c>
      <c r="T1577" s="240">
        <v>0</v>
      </c>
      <c r="U1577" s="240">
        <v>0</v>
      </c>
    </row>
    <row r="1578" spans="2:21" x14ac:dyDescent="0.3">
      <c r="B1578" s="47"/>
      <c r="C1578" s="24"/>
      <c r="D1578" s="312"/>
      <c r="E1578" s="312"/>
      <c r="G1578" s="47"/>
      <c r="H1578" s="24"/>
      <c r="I1578" s="312"/>
      <c r="J1578" s="312"/>
      <c r="L1578" s="47"/>
      <c r="M1578" s="24"/>
      <c r="N1578" s="312"/>
      <c r="O1578" s="312"/>
      <c r="Q1578" s="47"/>
      <c r="R1578" s="136"/>
      <c r="S1578" s="24"/>
      <c r="T1578" s="155"/>
      <c r="U1578" s="155"/>
    </row>
    <row r="1579" spans="2:21" x14ac:dyDescent="0.3">
      <c r="B1579" s="47"/>
      <c r="C1579" s="24"/>
      <c r="D1579" s="312"/>
      <c r="E1579" s="312"/>
      <c r="G1579" s="47"/>
      <c r="H1579" s="24"/>
      <c r="I1579" s="312"/>
      <c r="J1579" s="312"/>
      <c r="K1579">
        <v>7012</v>
      </c>
      <c r="L1579" s="241">
        <v>7012</v>
      </c>
      <c r="M1579" s="243" t="s">
        <v>915</v>
      </c>
      <c r="N1579" s="314">
        <f>T1579+T1586+T1588+T1590+T1591+T1595+T1596+T1597+T1598</f>
        <v>1478466</v>
      </c>
      <c r="O1579" s="314">
        <v>0</v>
      </c>
      <c r="Q1579" s="241">
        <v>70120001</v>
      </c>
      <c r="R1579" s="242"/>
      <c r="S1579" s="243" t="s">
        <v>1125</v>
      </c>
      <c r="T1579" s="239">
        <f>SUM(T1580:T1585)-SUM(U1580:U1585)</f>
        <v>1154156</v>
      </c>
      <c r="U1579" s="240">
        <v>0</v>
      </c>
    </row>
    <row r="1580" spans="2:21" x14ac:dyDescent="0.3">
      <c r="B1580" s="47"/>
      <c r="C1580" s="24"/>
      <c r="D1580" s="312"/>
      <c r="E1580" s="312"/>
      <c r="G1580" s="47"/>
      <c r="H1580" s="24"/>
      <c r="I1580" s="312"/>
      <c r="J1580" s="312"/>
      <c r="L1580" s="47"/>
      <c r="M1580" s="24"/>
      <c r="N1580" s="312"/>
      <c r="O1580" s="312"/>
      <c r="Q1580" s="47"/>
      <c r="R1580" s="136" t="s">
        <v>2138</v>
      </c>
      <c r="S1580" s="24" t="s">
        <v>7</v>
      </c>
      <c r="T1580" s="155">
        <v>577529</v>
      </c>
      <c r="U1580" s="155">
        <v>0</v>
      </c>
    </row>
    <row r="1581" spans="2:21" x14ac:dyDescent="0.3">
      <c r="B1581" s="47"/>
      <c r="C1581" s="24"/>
      <c r="D1581" s="312"/>
      <c r="E1581" s="312"/>
      <c r="G1581" s="47"/>
      <c r="H1581" s="24"/>
      <c r="I1581" s="312"/>
      <c r="J1581" s="312"/>
      <c r="L1581" s="47"/>
      <c r="M1581" s="24"/>
      <c r="N1581" s="312"/>
      <c r="O1581" s="312"/>
      <c r="Q1581" s="47"/>
      <c r="R1581" s="136" t="s">
        <v>1177</v>
      </c>
      <c r="S1581" s="24" t="s">
        <v>2141</v>
      </c>
      <c r="T1581" s="155">
        <v>97038</v>
      </c>
      <c r="U1581" s="155">
        <v>0</v>
      </c>
    </row>
    <row r="1582" spans="2:21" x14ac:dyDescent="0.3">
      <c r="B1582" s="47"/>
      <c r="C1582" s="24"/>
      <c r="D1582" s="312"/>
      <c r="E1582" s="312"/>
      <c r="G1582" s="47"/>
      <c r="H1582" s="24"/>
      <c r="I1582" s="312"/>
      <c r="J1582" s="312"/>
      <c r="L1582" s="47"/>
      <c r="M1582" s="24"/>
      <c r="N1582" s="312"/>
      <c r="O1582" s="312"/>
      <c r="Q1582" s="47"/>
      <c r="R1582" s="136" t="s">
        <v>1179</v>
      </c>
      <c r="S1582" s="24" t="s">
        <v>2148</v>
      </c>
      <c r="T1582" s="155">
        <v>62478</v>
      </c>
      <c r="U1582" s="155">
        <v>0</v>
      </c>
    </row>
    <row r="1583" spans="2:21" x14ac:dyDescent="0.3">
      <c r="B1583" s="47"/>
      <c r="C1583" s="24"/>
      <c r="D1583" s="312"/>
      <c r="E1583" s="312"/>
      <c r="G1583" s="47"/>
      <c r="H1583" s="24"/>
      <c r="I1583" s="312"/>
      <c r="J1583" s="312"/>
      <c r="L1583" s="47"/>
      <c r="M1583" s="24"/>
      <c r="N1583" s="312"/>
      <c r="O1583" s="312"/>
      <c r="Q1583" s="47"/>
      <c r="R1583" s="136" t="s">
        <v>1179</v>
      </c>
      <c r="S1583" s="24" t="s">
        <v>2143</v>
      </c>
      <c r="T1583" s="155">
        <v>195516</v>
      </c>
      <c r="U1583" s="155">
        <v>0</v>
      </c>
    </row>
    <row r="1584" spans="2:21" x14ac:dyDescent="0.3">
      <c r="B1584" s="47"/>
      <c r="C1584" s="24"/>
      <c r="D1584" s="312"/>
      <c r="E1584" s="312"/>
      <c r="G1584" s="47"/>
      <c r="H1584" s="24"/>
      <c r="I1584" s="312"/>
      <c r="J1584" s="312"/>
      <c r="L1584" s="47"/>
      <c r="M1584" s="24"/>
      <c r="N1584" s="312"/>
      <c r="O1584" s="312"/>
      <c r="Q1584" s="47"/>
      <c r="R1584" s="136" t="s">
        <v>2150</v>
      </c>
      <c r="S1584" s="24" t="s">
        <v>2151</v>
      </c>
      <c r="T1584" s="155">
        <v>156426</v>
      </c>
      <c r="U1584" s="155">
        <v>0</v>
      </c>
    </row>
    <row r="1585" spans="2:21" x14ac:dyDescent="0.3">
      <c r="B1585" s="47"/>
      <c r="C1585" s="24"/>
      <c r="D1585" s="312"/>
      <c r="E1585" s="312"/>
      <c r="G1585" s="47"/>
      <c r="H1585" s="24"/>
      <c r="I1585" s="312"/>
      <c r="J1585" s="312"/>
      <c r="L1585" s="47"/>
      <c r="M1585" s="24"/>
      <c r="N1585" s="312"/>
      <c r="O1585" s="312"/>
      <c r="Q1585" s="47"/>
      <c r="R1585" s="136" t="s">
        <v>2152</v>
      </c>
      <c r="S1585" s="24" t="s">
        <v>2153</v>
      </c>
      <c r="T1585" s="155">
        <v>65169</v>
      </c>
      <c r="U1585" s="155">
        <v>0</v>
      </c>
    </row>
    <row r="1586" spans="2:21" x14ac:dyDescent="0.3">
      <c r="B1586" s="47"/>
      <c r="C1586" s="24"/>
      <c r="D1586" s="312"/>
      <c r="E1586" s="312"/>
      <c r="G1586" s="47"/>
      <c r="H1586" s="24"/>
      <c r="I1586" s="312"/>
      <c r="J1586" s="312"/>
      <c r="L1586" s="47"/>
      <c r="M1586" s="24"/>
      <c r="N1586" s="312"/>
      <c r="O1586" s="312"/>
      <c r="Q1586" s="241">
        <v>70120002</v>
      </c>
      <c r="R1586" s="242"/>
      <c r="S1586" s="243" t="s">
        <v>1126</v>
      </c>
      <c r="T1586" s="239">
        <f>SUM(T1587)-SUM(U1587)</f>
        <v>7389</v>
      </c>
      <c r="U1586" s="240">
        <v>0</v>
      </c>
    </row>
    <row r="1587" spans="2:21" x14ac:dyDescent="0.3">
      <c r="B1587" s="47"/>
      <c r="C1587" s="24"/>
      <c r="D1587" s="312"/>
      <c r="E1587" s="312"/>
      <c r="G1587" s="47"/>
      <c r="H1587" s="24"/>
      <c r="I1587" s="312"/>
      <c r="J1587" s="312"/>
      <c r="L1587" s="47"/>
      <c r="M1587" s="24"/>
      <c r="N1587" s="312"/>
      <c r="O1587" s="312"/>
      <c r="Q1587" s="47"/>
      <c r="R1587" s="136" t="s">
        <v>2138</v>
      </c>
      <c r="S1587" s="24" t="s">
        <v>7</v>
      </c>
      <c r="T1587" s="155">
        <v>7389</v>
      </c>
      <c r="U1587" s="155">
        <v>0</v>
      </c>
    </row>
    <row r="1588" spans="2:21" x14ac:dyDescent="0.3">
      <c r="B1588" s="47"/>
      <c r="C1588" s="24"/>
      <c r="D1588" s="312"/>
      <c r="E1588" s="312"/>
      <c r="G1588" s="47"/>
      <c r="H1588" s="24"/>
      <c r="I1588" s="312"/>
      <c r="J1588" s="312"/>
      <c r="L1588" s="47"/>
      <c r="M1588" s="24"/>
      <c r="N1588" s="312"/>
      <c r="O1588" s="312"/>
      <c r="Q1588" s="241">
        <v>70120003</v>
      </c>
      <c r="R1588" s="242"/>
      <c r="S1588" s="243" t="s">
        <v>1127</v>
      </c>
      <c r="T1588" s="239">
        <f>SUM(T1589)-SUM(U1589)</f>
        <v>254142</v>
      </c>
      <c r="U1588" s="240">
        <v>0</v>
      </c>
    </row>
    <row r="1589" spans="2:21" x14ac:dyDescent="0.3">
      <c r="B1589" s="47"/>
      <c r="C1589" s="24"/>
      <c r="D1589" s="312"/>
      <c r="E1589" s="312"/>
      <c r="G1589" s="47"/>
      <c r="H1589" s="24"/>
      <c r="I1589" s="312"/>
      <c r="J1589" s="312"/>
      <c r="L1589" s="47"/>
      <c r="M1589" s="24"/>
      <c r="N1589" s="312"/>
      <c r="O1589" s="312"/>
      <c r="Q1589" s="47"/>
      <c r="R1589" s="136" t="s">
        <v>2138</v>
      </c>
      <c r="S1589" s="24" t="s">
        <v>7</v>
      </c>
      <c r="T1589" s="155">
        <v>254142</v>
      </c>
      <c r="U1589" s="155">
        <v>0</v>
      </c>
    </row>
    <row r="1590" spans="2:21" x14ac:dyDescent="0.3">
      <c r="B1590" s="47"/>
      <c r="C1590" s="24"/>
      <c r="D1590" s="312"/>
      <c r="E1590" s="312"/>
      <c r="G1590" s="47"/>
      <c r="H1590" s="24"/>
      <c r="I1590" s="312"/>
      <c r="J1590" s="312"/>
      <c r="L1590" s="47"/>
      <c r="M1590" s="24"/>
      <c r="N1590" s="312"/>
      <c r="O1590" s="312"/>
      <c r="Q1590" s="241">
        <v>70120004</v>
      </c>
      <c r="R1590" s="242"/>
      <c r="S1590" s="243" t="s">
        <v>1128</v>
      </c>
      <c r="T1590" s="240">
        <v>0</v>
      </c>
      <c r="U1590" s="240">
        <v>0</v>
      </c>
    </row>
    <row r="1591" spans="2:21" x14ac:dyDescent="0.3">
      <c r="B1591" s="47"/>
      <c r="C1591" s="24"/>
      <c r="D1591" s="312"/>
      <c r="E1591" s="312"/>
      <c r="G1591" s="47"/>
      <c r="H1591" s="24"/>
      <c r="I1591" s="312"/>
      <c r="J1591" s="312"/>
      <c r="L1591" s="47"/>
      <c r="M1591" s="24"/>
      <c r="N1591" s="312"/>
      <c r="O1591" s="312"/>
      <c r="Q1591" s="241">
        <v>70120005</v>
      </c>
      <c r="R1591" s="242"/>
      <c r="S1591" s="243" t="s">
        <v>1129</v>
      </c>
      <c r="T1591" s="239">
        <f>SUM(T1592:T1594)-SUM(U1592:U1594)</f>
        <v>62779</v>
      </c>
      <c r="U1591" s="240">
        <v>0</v>
      </c>
    </row>
    <row r="1592" spans="2:21" x14ac:dyDescent="0.3">
      <c r="B1592" s="47"/>
      <c r="C1592" s="24"/>
      <c r="D1592" s="312"/>
      <c r="E1592" s="312"/>
      <c r="G1592" s="47"/>
      <c r="H1592" s="24"/>
      <c r="I1592" s="312"/>
      <c r="J1592" s="312"/>
      <c r="L1592" s="47"/>
      <c r="M1592" s="24"/>
      <c r="N1592" s="312"/>
      <c r="O1592" s="312"/>
      <c r="Q1592" s="47"/>
      <c r="R1592" s="136" t="s">
        <v>2138</v>
      </c>
      <c r="S1592" s="24" t="s">
        <v>7</v>
      </c>
      <c r="T1592" s="155">
        <v>54861</v>
      </c>
      <c r="U1592" s="155">
        <v>0</v>
      </c>
    </row>
    <row r="1593" spans="2:21" x14ac:dyDescent="0.3">
      <c r="B1593" s="47"/>
      <c r="C1593" s="24"/>
      <c r="D1593" s="312"/>
      <c r="E1593" s="312"/>
      <c r="G1593" s="47"/>
      <c r="H1593" s="24"/>
      <c r="I1593" s="312"/>
      <c r="J1593" s="312"/>
      <c r="L1593" s="47"/>
      <c r="M1593" s="24"/>
      <c r="N1593" s="312"/>
      <c r="O1593" s="312"/>
      <c r="Q1593" s="47"/>
      <c r="R1593" s="136" t="s">
        <v>1179</v>
      </c>
      <c r="S1593" s="24" t="s">
        <v>2148</v>
      </c>
      <c r="T1593" s="155">
        <v>2517</v>
      </c>
      <c r="U1593" s="155">
        <v>0</v>
      </c>
    </row>
    <row r="1594" spans="2:21" x14ac:dyDescent="0.3">
      <c r="B1594" s="47"/>
      <c r="C1594" s="24"/>
      <c r="D1594" s="312"/>
      <c r="E1594" s="312"/>
      <c r="G1594" s="47"/>
      <c r="H1594" s="24"/>
      <c r="I1594" s="312"/>
      <c r="J1594" s="312"/>
      <c r="L1594" s="47"/>
      <c r="M1594" s="24"/>
      <c r="N1594" s="312"/>
      <c r="O1594" s="312"/>
      <c r="Q1594" s="47"/>
      <c r="R1594" s="136" t="s">
        <v>2152</v>
      </c>
      <c r="S1594" s="24" t="s">
        <v>2153</v>
      </c>
      <c r="T1594" s="155">
        <v>5401</v>
      </c>
      <c r="U1594" s="155">
        <v>0</v>
      </c>
    </row>
    <row r="1595" spans="2:21" x14ac:dyDescent="0.3">
      <c r="B1595" s="47"/>
      <c r="C1595" s="24"/>
      <c r="D1595" s="312"/>
      <c r="E1595" s="312"/>
      <c r="G1595" s="47"/>
      <c r="H1595" s="24"/>
      <c r="I1595" s="312"/>
      <c r="J1595" s="312"/>
      <c r="L1595" s="47"/>
      <c r="M1595" s="24"/>
      <c r="N1595" s="312"/>
      <c r="O1595" s="312"/>
      <c r="Q1595" s="241">
        <v>70120006</v>
      </c>
      <c r="R1595" s="242"/>
      <c r="S1595" s="243" t="s">
        <v>1130</v>
      </c>
      <c r="T1595" s="240">
        <v>0</v>
      </c>
      <c r="U1595" s="240">
        <v>0</v>
      </c>
    </row>
    <row r="1596" spans="2:21" x14ac:dyDescent="0.3">
      <c r="B1596" s="47"/>
      <c r="C1596" s="24"/>
      <c r="D1596" s="312"/>
      <c r="E1596" s="312"/>
      <c r="G1596" s="47"/>
      <c r="H1596" s="24"/>
      <c r="I1596" s="312"/>
      <c r="J1596" s="312"/>
      <c r="L1596" s="47"/>
      <c r="M1596" s="24"/>
      <c r="N1596" s="312"/>
      <c r="O1596" s="312"/>
      <c r="Q1596" s="241">
        <v>70120007</v>
      </c>
      <c r="R1596" s="242"/>
      <c r="S1596" s="243" t="s">
        <v>1131</v>
      </c>
      <c r="T1596" s="240">
        <v>0</v>
      </c>
      <c r="U1596" s="240">
        <v>0</v>
      </c>
    </row>
    <row r="1597" spans="2:21" x14ac:dyDescent="0.3">
      <c r="B1597" s="47"/>
      <c r="C1597" s="24"/>
      <c r="D1597" s="312"/>
      <c r="E1597" s="312"/>
      <c r="G1597" s="47"/>
      <c r="H1597" s="24"/>
      <c r="I1597" s="312"/>
      <c r="J1597" s="312"/>
      <c r="L1597" s="47"/>
      <c r="M1597" s="24"/>
      <c r="N1597" s="312"/>
      <c r="O1597" s="312"/>
      <c r="Q1597" s="241">
        <v>70120008</v>
      </c>
      <c r="R1597" s="242"/>
      <c r="S1597" s="243" t="s">
        <v>1132</v>
      </c>
      <c r="T1597" s="240">
        <v>0</v>
      </c>
      <c r="U1597" s="240">
        <v>0</v>
      </c>
    </row>
    <row r="1598" spans="2:21" x14ac:dyDescent="0.3">
      <c r="B1598" s="47"/>
      <c r="C1598" s="24"/>
      <c r="D1598" s="312"/>
      <c r="E1598" s="312"/>
      <c r="G1598" s="47"/>
      <c r="H1598" s="24"/>
      <c r="I1598" s="312"/>
      <c r="J1598" s="312"/>
      <c r="L1598" s="47"/>
      <c r="M1598" s="24"/>
      <c r="N1598" s="312"/>
      <c r="O1598" s="312"/>
      <c r="Q1598" s="241">
        <v>70120009</v>
      </c>
      <c r="R1598" s="242"/>
      <c r="S1598" s="243" t="s">
        <v>1133</v>
      </c>
      <c r="T1598" s="240">
        <v>0</v>
      </c>
      <c r="U1598" s="240">
        <v>0</v>
      </c>
    </row>
    <row r="1599" spans="2:21" x14ac:dyDescent="0.3">
      <c r="B1599" s="47"/>
      <c r="C1599" s="24"/>
      <c r="D1599" s="312"/>
      <c r="E1599" s="312"/>
      <c r="G1599" s="47"/>
      <c r="H1599" s="24"/>
      <c r="I1599" s="312"/>
      <c r="J1599" s="312"/>
      <c r="L1599" s="47"/>
      <c r="M1599" s="24"/>
      <c r="N1599" s="312"/>
      <c r="O1599" s="312"/>
      <c r="Q1599" s="47"/>
      <c r="R1599" s="136"/>
      <c r="S1599" s="24"/>
      <c r="T1599" s="155"/>
      <c r="U1599" s="155"/>
    </row>
    <row r="1600" spans="2:21" x14ac:dyDescent="0.3">
      <c r="B1600" s="47"/>
      <c r="C1600" s="24"/>
      <c r="D1600" s="312"/>
      <c r="E1600" s="312"/>
      <c r="G1600" s="47"/>
      <c r="H1600" s="24"/>
      <c r="I1600" s="312"/>
      <c r="J1600" s="312"/>
      <c r="K1600">
        <v>7013</v>
      </c>
      <c r="L1600" s="241">
        <v>7013</v>
      </c>
      <c r="M1600" s="243" t="s">
        <v>916</v>
      </c>
      <c r="N1600" s="314">
        <f>T1601</f>
        <v>127075</v>
      </c>
      <c r="O1600" s="314">
        <v>0</v>
      </c>
      <c r="Q1600" s="241">
        <v>70130001</v>
      </c>
      <c r="R1600" s="242"/>
      <c r="S1600" s="243" t="s">
        <v>1136</v>
      </c>
      <c r="T1600" s="240">
        <v>0</v>
      </c>
      <c r="U1600" s="240">
        <v>0</v>
      </c>
    </row>
    <row r="1601" spans="2:21" x14ac:dyDescent="0.3">
      <c r="B1601" s="47"/>
      <c r="C1601" s="24"/>
      <c r="D1601" s="312"/>
      <c r="E1601" s="312"/>
      <c r="G1601" s="47"/>
      <c r="H1601" s="24"/>
      <c r="I1601" s="312"/>
      <c r="J1601" s="312"/>
      <c r="L1601" s="47"/>
      <c r="M1601" s="24"/>
      <c r="N1601" s="312"/>
      <c r="O1601" s="312"/>
      <c r="Q1601" s="241">
        <v>70130002</v>
      </c>
      <c r="R1601" s="242"/>
      <c r="S1601" s="243" t="s">
        <v>1137</v>
      </c>
      <c r="T1601" s="239">
        <f>SUM(T1602)-SUM(U1602)</f>
        <v>127075</v>
      </c>
      <c r="U1601" s="240">
        <v>0</v>
      </c>
    </row>
    <row r="1602" spans="2:21" x14ac:dyDescent="0.3">
      <c r="B1602" s="47"/>
      <c r="C1602" s="24"/>
      <c r="D1602" s="312"/>
      <c r="E1602" s="312"/>
      <c r="G1602" s="47"/>
      <c r="H1602" s="24"/>
      <c r="I1602" s="312"/>
      <c r="J1602" s="312"/>
      <c r="L1602" s="47"/>
      <c r="M1602" s="24"/>
      <c r="N1602" s="312"/>
      <c r="O1602" s="312"/>
      <c r="Q1602" s="241"/>
      <c r="R1602" s="136" t="s">
        <v>2138</v>
      </c>
      <c r="S1602" s="24" t="s">
        <v>7</v>
      </c>
      <c r="T1602" s="248">
        <v>127075</v>
      </c>
      <c r="U1602" s="248">
        <v>0</v>
      </c>
    </row>
    <row r="1603" spans="2:21" x14ac:dyDescent="0.3">
      <c r="B1603" s="47"/>
      <c r="C1603" s="24"/>
      <c r="D1603" s="312"/>
      <c r="E1603" s="312"/>
      <c r="G1603" s="47"/>
      <c r="H1603" s="24"/>
      <c r="I1603" s="312"/>
      <c r="J1603" s="312"/>
      <c r="L1603" s="47"/>
      <c r="M1603" s="24"/>
      <c r="N1603" s="312"/>
      <c r="O1603" s="312"/>
      <c r="Q1603" s="47"/>
      <c r="R1603" s="136"/>
      <c r="S1603" s="24"/>
      <c r="T1603" s="155"/>
      <c r="U1603" s="155"/>
    </row>
    <row r="1604" spans="2:21" x14ac:dyDescent="0.3">
      <c r="B1604" s="47"/>
      <c r="C1604" s="24"/>
      <c r="D1604" s="312"/>
      <c r="E1604" s="312"/>
      <c r="G1604" s="47"/>
      <c r="H1604" s="24"/>
      <c r="I1604" s="312"/>
      <c r="J1604" s="312"/>
      <c r="K1604">
        <v>7014</v>
      </c>
      <c r="L1604" s="241">
        <v>7014</v>
      </c>
      <c r="M1604" s="243" t="s">
        <v>2066</v>
      </c>
      <c r="N1604" s="314">
        <f>T1604</f>
        <v>0</v>
      </c>
      <c r="O1604" s="314">
        <v>0</v>
      </c>
      <c r="P1604" s="12"/>
      <c r="Q1604" s="244">
        <v>70140001</v>
      </c>
      <c r="R1604" s="245"/>
      <c r="S1604" s="246" t="s">
        <v>2067</v>
      </c>
      <c r="T1604" s="247">
        <v>0</v>
      </c>
      <c r="U1604" s="247">
        <v>0</v>
      </c>
    </row>
    <row r="1605" spans="2:21" x14ac:dyDescent="0.3">
      <c r="B1605" s="47"/>
      <c r="C1605" s="24"/>
      <c r="D1605" s="312"/>
      <c r="E1605" s="312"/>
      <c r="G1605" s="47"/>
      <c r="H1605" s="24"/>
      <c r="I1605" s="312"/>
      <c r="J1605" s="312"/>
      <c r="L1605" s="47"/>
      <c r="M1605" s="24"/>
      <c r="N1605" s="312"/>
      <c r="O1605" s="312"/>
      <c r="Q1605" s="47"/>
      <c r="R1605" s="136"/>
      <c r="S1605" s="24"/>
      <c r="T1605" s="155"/>
      <c r="U1605" s="155"/>
    </row>
    <row r="1606" spans="2:21" x14ac:dyDescent="0.3">
      <c r="B1606" s="47"/>
      <c r="C1606" s="24"/>
      <c r="D1606" s="312"/>
      <c r="E1606" s="312"/>
      <c r="G1606" s="47"/>
      <c r="H1606" s="24"/>
      <c r="I1606" s="312"/>
      <c r="J1606" s="312"/>
      <c r="K1606">
        <v>7015</v>
      </c>
      <c r="L1606" s="241">
        <v>7015</v>
      </c>
      <c r="M1606" s="243" t="s">
        <v>918</v>
      </c>
      <c r="N1606" s="314">
        <f>T1606+T1608+T1611+T1614+T1618+T1622+T1623+T1624+T1625+T1626</f>
        <v>9590278</v>
      </c>
      <c r="O1606" s="314">
        <v>0</v>
      </c>
      <c r="Q1606" s="241">
        <v>70150001</v>
      </c>
      <c r="R1606" s="242"/>
      <c r="S1606" s="243" t="s">
        <v>2082</v>
      </c>
      <c r="T1606" s="239">
        <f>SUM(T1607)-SUM(U1607)</f>
        <v>652772</v>
      </c>
      <c r="U1606" s="240">
        <v>0</v>
      </c>
    </row>
    <row r="1607" spans="2:21" x14ac:dyDescent="0.3">
      <c r="B1607" s="47"/>
      <c r="C1607" s="24"/>
      <c r="D1607" s="312"/>
      <c r="E1607" s="312"/>
      <c r="G1607" s="47"/>
      <c r="H1607" s="24"/>
      <c r="I1607" s="312"/>
      <c r="J1607" s="312"/>
      <c r="L1607" s="47"/>
      <c r="M1607" s="24"/>
      <c r="N1607" s="312"/>
      <c r="O1607" s="312"/>
      <c r="Q1607" s="47"/>
      <c r="R1607" s="136" t="s">
        <v>2138</v>
      </c>
      <c r="S1607" s="24" t="s">
        <v>7</v>
      </c>
      <c r="T1607" s="155">
        <v>652772</v>
      </c>
      <c r="U1607" s="155">
        <v>0</v>
      </c>
    </row>
    <row r="1608" spans="2:21" x14ac:dyDescent="0.3">
      <c r="B1608" s="47"/>
      <c r="C1608" s="24"/>
      <c r="D1608" s="312"/>
      <c r="E1608" s="312"/>
      <c r="G1608" s="47"/>
      <c r="H1608" s="24"/>
      <c r="I1608" s="312"/>
      <c r="J1608" s="312"/>
      <c r="L1608" s="47"/>
      <c r="M1608" s="24"/>
      <c r="N1608" s="312"/>
      <c r="O1608" s="312"/>
      <c r="Q1608" s="241">
        <v>70150002</v>
      </c>
      <c r="R1608" s="242"/>
      <c r="S1608" s="243" t="s">
        <v>2083</v>
      </c>
      <c r="T1608" s="239">
        <f>SUM(T1609:T1610)-SUM(U1609:U1610)</f>
        <v>409494</v>
      </c>
      <c r="U1608" s="240">
        <v>0</v>
      </c>
    </row>
    <row r="1609" spans="2:21" x14ac:dyDescent="0.3">
      <c r="B1609" s="47"/>
      <c r="C1609" s="24"/>
      <c r="D1609" s="312"/>
      <c r="E1609" s="312"/>
      <c r="G1609" s="47"/>
      <c r="H1609" s="24"/>
      <c r="I1609" s="312"/>
      <c r="J1609" s="312"/>
      <c r="L1609" s="47"/>
      <c r="M1609" s="24"/>
      <c r="N1609" s="312"/>
      <c r="O1609" s="312"/>
      <c r="Q1609" s="47"/>
      <c r="R1609" s="136" t="s">
        <v>2152</v>
      </c>
      <c r="S1609" s="24" t="s">
        <v>2153</v>
      </c>
      <c r="T1609" s="155">
        <v>215712</v>
      </c>
      <c r="U1609" s="155">
        <v>0</v>
      </c>
    </row>
    <row r="1610" spans="2:21" x14ac:dyDescent="0.3">
      <c r="B1610" s="47"/>
      <c r="C1610" s="24"/>
      <c r="D1610" s="312"/>
      <c r="E1610" s="312"/>
      <c r="G1610" s="47"/>
      <c r="H1610" s="24"/>
      <c r="I1610" s="312"/>
      <c r="J1610" s="312"/>
      <c r="L1610" s="47"/>
      <c r="M1610" s="24"/>
      <c r="N1610" s="312"/>
      <c r="O1610" s="312"/>
      <c r="Q1610" s="47"/>
      <c r="R1610" s="136" t="s">
        <v>2138</v>
      </c>
      <c r="S1610" s="24" t="s">
        <v>7</v>
      </c>
      <c r="T1610" s="155">
        <v>193782</v>
      </c>
      <c r="U1610" s="155">
        <v>0</v>
      </c>
    </row>
    <row r="1611" spans="2:21" x14ac:dyDescent="0.3">
      <c r="B1611" s="47"/>
      <c r="C1611" s="24"/>
      <c r="D1611" s="312"/>
      <c r="E1611" s="312"/>
      <c r="G1611" s="47"/>
      <c r="H1611" s="24"/>
      <c r="I1611" s="312"/>
      <c r="J1611" s="312"/>
      <c r="L1611" s="47"/>
      <c r="M1611" s="24"/>
      <c r="N1611" s="312"/>
      <c r="O1611" s="312"/>
      <c r="Q1611" s="241">
        <v>70150003</v>
      </c>
      <c r="R1611" s="242"/>
      <c r="S1611" s="243" t="s">
        <v>2084</v>
      </c>
      <c r="T1611" s="239">
        <f>SUM(T1612:T1613)-SUM(U1612:U1613)</f>
        <v>543868</v>
      </c>
      <c r="U1611" s="240">
        <v>0</v>
      </c>
    </row>
    <row r="1612" spans="2:21" x14ac:dyDescent="0.3">
      <c r="B1612" s="47"/>
      <c r="C1612" s="24"/>
      <c r="D1612" s="312"/>
      <c r="E1612" s="312"/>
      <c r="G1612" s="47"/>
      <c r="H1612" s="24"/>
      <c r="I1612" s="312"/>
      <c r="J1612" s="312"/>
      <c r="L1612" s="47"/>
      <c r="M1612" s="24"/>
      <c r="N1612" s="312"/>
      <c r="O1612" s="312"/>
      <c r="Q1612" s="47"/>
      <c r="R1612" s="136" t="s">
        <v>2152</v>
      </c>
      <c r="S1612" s="24" t="s">
        <v>2153</v>
      </c>
      <c r="T1612" s="155">
        <v>3393</v>
      </c>
      <c r="U1612" s="155">
        <v>0</v>
      </c>
    </row>
    <row r="1613" spans="2:21" x14ac:dyDescent="0.3">
      <c r="B1613" s="47"/>
      <c r="C1613" s="24"/>
      <c r="D1613" s="312"/>
      <c r="E1613" s="312"/>
      <c r="G1613" s="47"/>
      <c r="H1613" s="24"/>
      <c r="I1613" s="312"/>
      <c r="J1613" s="312"/>
      <c r="L1613" s="47"/>
      <c r="M1613" s="24"/>
      <c r="N1613" s="312"/>
      <c r="O1613" s="312"/>
      <c r="Q1613" s="47"/>
      <c r="R1613" s="136" t="s">
        <v>2138</v>
      </c>
      <c r="S1613" s="24" t="s">
        <v>7</v>
      </c>
      <c r="T1613" s="155">
        <v>540475</v>
      </c>
      <c r="U1613" s="155">
        <v>0</v>
      </c>
    </row>
    <row r="1614" spans="2:21" x14ac:dyDescent="0.3">
      <c r="B1614" s="47"/>
      <c r="C1614" s="24"/>
      <c r="D1614" s="312"/>
      <c r="E1614" s="312"/>
      <c r="G1614" s="47"/>
      <c r="H1614" s="24"/>
      <c r="I1614" s="312"/>
      <c r="J1614" s="312"/>
      <c r="L1614" s="47"/>
      <c r="M1614" s="24"/>
      <c r="N1614" s="312"/>
      <c r="O1614" s="312"/>
      <c r="Q1614" s="241">
        <v>70150004</v>
      </c>
      <c r="R1614" s="242"/>
      <c r="S1614" s="243" t="s">
        <v>2085</v>
      </c>
      <c r="T1614" s="239">
        <f>SUM(T1615:T1617)-SUM(U1615:U1617)</f>
        <v>1881153</v>
      </c>
      <c r="U1614" s="240">
        <v>0</v>
      </c>
    </row>
    <row r="1615" spans="2:21" x14ac:dyDescent="0.3">
      <c r="B1615" s="47"/>
      <c r="C1615" s="24"/>
      <c r="D1615" s="312"/>
      <c r="E1615" s="312"/>
      <c r="G1615" s="47"/>
      <c r="H1615" s="24"/>
      <c r="I1615" s="312"/>
      <c r="J1615" s="312"/>
      <c r="L1615" s="47"/>
      <c r="M1615" s="24"/>
      <c r="N1615" s="312"/>
      <c r="O1615" s="312"/>
      <c r="Q1615" s="47"/>
      <c r="R1615" s="136" t="s">
        <v>2152</v>
      </c>
      <c r="S1615" s="24" t="s">
        <v>2153</v>
      </c>
      <c r="T1615" s="155">
        <v>195826</v>
      </c>
      <c r="U1615" s="155">
        <v>0</v>
      </c>
    </row>
    <row r="1616" spans="2:21" x14ac:dyDescent="0.3">
      <c r="B1616" s="47"/>
      <c r="C1616" s="24"/>
      <c r="D1616" s="312"/>
      <c r="E1616" s="312"/>
      <c r="G1616" s="47"/>
      <c r="H1616" s="24"/>
      <c r="I1616" s="312"/>
      <c r="J1616" s="312"/>
      <c r="L1616" s="47"/>
      <c r="M1616" s="24"/>
      <c r="N1616" s="312"/>
      <c r="O1616" s="312"/>
      <c r="Q1616" s="47"/>
      <c r="R1616" s="136" t="s">
        <v>2138</v>
      </c>
      <c r="S1616" s="24" t="s">
        <v>7</v>
      </c>
      <c r="T1616" s="155">
        <v>1576085</v>
      </c>
      <c r="U1616" s="155">
        <v>0</v>
      </c>
    </row>
    <row r="1617" spans="2:21" x14ac:dyDescent="0.3">
      <c r="B1617" s="47"/>
      <c r="C1617" s="24"/>
      <c r="D1617" s="312"/>
      <c r="E1617" s="312"/>
      <c r="G1617" s="47"/>
      <c r="H1617" s="24"/>
      <c r="I1617" s="312"/>
      <c r="J1617" s="312"/>
      <c r="L1617" s="47"/>
      <c r="M1617" s="24"/>
      <c r="N1617" s="312"/>
      <c r="O1617" s="312"/>
      <c r="Q1617" s="47"/>
      <c r="R1617" s="136" t="s">
        <v>1179</v>
      </c>
      <c r="S1617" s="24" t="s">
        <v>2148</v>
      </c>
      <c r="T1617" s="155">
        <v>109242</v>
      </c>
      <c r="U1617" s="155">
        <v>0</v>
      </c>
    </row>
    <row r="1618" spans="2:21" x14ac:dyDescent="0.3">
      <c r="B1618" s="47"/>
      <c r="C1618" s="24"/>
      <c r="D1618" s="312"/>
      <c r="E1618" s="312"/>
      <c r="G1618" s="47"/>
      <c r="H1618" s="24"/>
      <c r="I1618" s="312"/>
      <c r="J1618" s="312"/>
      <c r="L1618" s="47"/>
      <c r="M1618" s="24"/>
      <c r="N1618" s="312"/>
      <c r="O1618" s="312"/>
      <c r="Q1618" s="241">
        <v>70150005</v>
      </c>
      <c r="R1618" s="242"/>
      <c r="S1618" s="243" t="s">
        <v>2086</v>
      </c>
      <c r="T1618" s="239">
        <f>SUM(T1619:T1621)-SUM(U1619:U1621)</f>
        <v>6102991</v>
      </c>
      <c r="U1618" s="240">
        <v>0</v>
      </c>
    </row>
    <row r="1619" spans="2:21" x14ac:dyDescent="0.3">
      <c r="B1619" s="47"/>
      <c r="C1619" s="24"/>
      <c r="D1619" s="312"/>
      <c r="E1619" s="312"/>
      <c r="G1619" s="47"/>
      <c r="H1619" s="24"/>
      <c r="I1619" s="312"/>
      <c r="J1619" s="312"/>
      <c r="L1619" s="47"/>
      <c r="M1619" s="24"/>
      <c r="N1619" s="312"/>
      <c r="O1619" s="312"/>
      <c r="Q1619" s="47"/>
      <c r="R1619" s="136" t="s">
        <v>2152</v>
      </c>
      <c r="S1619" s="24" t="s">
        <v>2153</v>
      </c>
      <c r="T1619" s="155">
        <v>629299</v>
      </c>
      <c r="U1619" s="155">
        <v>0</v>
      </c>
    </row>
    <row r="1620" spans="2:21" x14ac:dyDescent="0.3">
      <c r="B1620" s="47"/>
      <c r="C1620" s="24"/>
      <c r="D1620" s="312"/>
      <c r="E1620" s="312"/>
      <c r="G1620" s="47"/>
      <c r="H1620" s="24"/>
      <c r="I1620" s="312"/>
      <c r="J1620" s="312"/>
      <c r="L1620" s="47"/>
      <c r="M1620" s="24"/>
      <c r="N1620" s="312"/>
      <c r="O1620" s="312"/>
      <c r="Q1620" s="47"/>
      <c r="R1620" s="136" t="s">
        <v>2138</v>
      </c>
      <c r="S1620" s="24" t="s">
        <v>7</v>
      </c>
      <c r="T1620" s="155">
        <v>4778982</v>
      </c>
      <c r="U1620" s="155">
        <v>0</v>
      </c>
    </row>
    <row r="1621" spans="2:21" x14ac:dyDescent="0.3">
      <c r="B1621" s="47"/>
      <c r="C1621" s="24"/>
      <c r="D1621" s="312"/>
      <c r="E1621" s="312"/>
      <c r="G1621" s="47"/>
      <c r="H1621" s="24"/>
      <c r="I1621" s="312"/>
      <c r="J1621" s="312"/>
      <c r="L1621" s="47"/>
      <c r="M1621" s="24"/>
      <c r="N1621" s="312"/>
      <c r="O1621" s="312"/>
      <c r="Q1621" s="47"/>
      <c r="R1621" s="136" t="s">
        <v>1179</v>
      </c>
      <c r="S1621" s="24" t="s">
        <v>2148</v>
      </c>
      <c r="T1621" s="155">
        <v>694710</v>
      </c>
      <c r="U1621" s="155">
        <v>0</v>
      </c>
    </row>
    <row r="1622" spans="2:21" x14ac:dyDescent="0.3">
      <c r="B1622" s="47"/>
      <c r="C1622" s="24"/>
      <c r="D1622" s="312"/>
      <c r="E1622" s="312"/>
      <c r="G1622" s="47"/>
      <c r="H1622" s="24"/>
      <c r="I1622" s="312"/>
      <c r="J1622" s="312"/>
      <c r="L1622" s="47"/>
      <c r="M1622" s="24"/>
      <c r="N1622" s="312"/>
      <c r="O1622" s="312"/>
      <c r="Q1622" s="241">
        <v>70150006</v>
      </c>
      <c r="R1622" s="242"/>
      <c r="S1622" s="243" t="s">
        <v>2087</v>
      </c>
      <c r="T1622" s="240">
        <v>0</v>
      </c>
      <c r="U1622" s="240">
        <v>0</v>
      </c>
    </row>
    <row r="1623" spans="2:21" x14ac:dyDescent="0.3">
      <c r="B1623" s="47"/>
      <c r="C1623" s="24"/>
      <c r="D1623" s="312"/>
      <c r="E1623" s="312"/>
      <c r="G1623" s="47"/>
      <c r="H1623" s="24"/>
      <c r="I1623" s="312"/>
      <c r="J1623" s="312"/>
      <c r="L1623" s="47"/>
      <c r="M1623" s="24"/>
      <c r="N1623" s="312"/>
      <c r="O1623" s="312"/>
      <c r="Q1623" s="241">
        <v>70150007</v>
      </c>
      <c r="R1623" s="242"/>
      <c r="S1623" s="243" t="s">
        <v>2088</v>
      </c>
      <c r="T1623" s="240">
        <v>0</v>
      </c>
      <c r="U1623" s="240">
        <v>0</v>
      </c>
    </row>
    <row r="1624" spans="2:21" x14ac:dyDescent="0.3">
      <c r="B1624" s="47"/>
      <c r="C1624" s="24"/>
      <c r="D1624" s="312"/>
      <c r="E1624" s="312"/>
      <c r="G1624" s="47"/>
      <c r="H1624" s="24"/>
      <c r="I1624" s="312"/>
      <c r="J1624" s="312"/>
      <c r="L1624" s="47"/>
      <c r="M1624" s="24"/>
      <c r="N1624" s="312"/>
      <c r="O1624" s="312"/>
      <c r="Q1624" s="241">
        <v>70150008</v>
      </c>
      <c r="R1624" s="242"/>
      <c r="S1624" s="243" t="s">
        <v>2089</v>
      </c>
      <c r="T1624" s="240">
        <v>0</v>
      </c>
      <c r="U1624" s="240">
        <v>0</v>
      </c>
    </row>
    <row r="1625" spans="2:21" x14ac:dyDescent="0.3">
      <c r="B1625" s="47"/>
      <c r="C1625" s="24"/>
      <c r="D1625" s="312"/>
      <c r="E1625" s="312"/>
      <c r="G1625" s="47"/>
      <c r="H1625" s="24"/>
      <c r="I1625" s="312"/>
      <c r="J1625" s="312"/>
      <c r="L1625" s="47"/>
      <c r="M1625" s="24"/>
      <c r="N1625" s="312"/>
      <c r="O1625" s="312"/>
      <c r="Q1625" s="241">
        <v>70150021</v>
      </c>
      <c r="R1625" s="242"/>
      <c r="S1625" s="243" t="s">
        <v>2090</v>
      </c>
      <c r="T1625" s="240">
        <v>0</v>
      </c>
      <c r="U1625" s="240">
        <v>0</v>
      </c>
    </row>
    <row r="1626" spans="2:21" x14ac:dyDescent="0.3">
      <c r="B1626" s="47"/>
      <c r="C1626" s="24"/>
      <c r="D1626" s="312"/>
      <c r="E1626" s="312"/>
      <c r="G1626" s="47"/>
      <c r="H1626" s="24"/>
      <c r="I1626" s="312"/>
      <c r="J1626" s="312"/>
      <c r="L1626" s="47"/>
      <c r="M1626" s="24"/>
      <c r="N1626" s="312"/>
      <c r="O1626" s="312"/>
      <c r="Q1626" s="241">
        <v>70150022</v>
      </c>
      <c r="R1626" s="242"/>
      <c r="S1626" s="243" t="s">
        <v>2091</v>
      </c>
      <c r="T1626" s="240">
        <v>0</v>
      </c>
      <c r="U1626" s="240">
        <v>0</v>
      </c>
    </row>
    <row r="1627" spans="2:21" x14ac:dyDescent="0.3">
      <c r="B1627" s="47"/>
      <c r="C1627" s="24"/>
      <c r="D1627" s="312"/>
      <c r="E1627" s="312"/>
      <c r="G1627" s="47"/>
      <c r="H1627" s="24"/>
      <c r="I1627" s="312"/>
      <c r="J1627" s="312"/>
      <c r="L1627" s="47"/>
      <c r="M1627" s="24"/>
      <c r="N1627" s="312"/>
      <c r="O1627" s="312"/>
      <c r="Q1627" s="47"/>
      <c r="R1627" s="136"/>
      <c r="S1627" s="24"/>
      <c r="T1627" s="155"/>
      <c r="U1627" s="155"/>
    </row>
    <row r="1628" spans="2:21" x14ac:dyDescent="0.3">
      <c r="B1628" s="47"/>
      <c r="C1628" s="24"/>
      <c r="D1628" s="312"/>
      <c r="E1628" s="312"/>
      <c r="G1628" s="47"/>
      <c r="H1628" s="24"/>
      <c r="I1628" s="312"/>
      <c r="J1628" s="312"/>
      <c r="K1628">
        <v>7016</v>
      </c>
      <c r="L1628" s="241">
        <v>7016</v>
      </c>
      <c r="M1628" s="243" t="s">
        <v>2094</v>
      </c>
      <c r="N1628" s="314">
        <f>T1628</f>
        <v>0</v>
      </c>
      <c r="O1628" s="314">
        <v>0</v>
      </c>
      <c r="Q1628" s="348">
        <v>70160001</v>
      </c>
      <c r="R1628" s="242"/>
      <c r="S1628" s="243" t="s">
        <v>2095</v>
      </c>
      <c r="T1628" s="240">
        <v>0</v>
      </c>
      <c r="U1628" s="240">
        <v>0</v>
      </c>
    </row>
    <row r="1629" spans="2:21" x14ac:dyDescent="0.3">
      <c r="B1629" s="47"/>
      <c r="C1629" s="24"/>
      <c r="D1629" s="312"/>
      <c r="E1629" s="312"/>
      <c r="G1629" s="47"/>
      <c r="H1629" s="24"/>
      <c r="I1629" s="312"/>
      <c r="J1629" s="312"/>
      <c r="L1629" s="47"/>
      <c r="M1629" s="24"/>
      <c r="N1629" s="312"/>
      <c r="O1629" s="312"/>
      <c r="Q1629" s="47"/>
      <c r="R1629" s="136"/>
      <c r="S1629" s="24"/>
      <c r="T1629" s="155"/>
      <c r="U1629" s="155"/>
    </row>
    <row r="1630" spans="2:21" x14ac:dyDescent="0.3">
      <c r="B1630" s="47"/>
      <c r="C1630" s="24"/>
      <c r="D1630" s="312"/>
      <c r="E1630" s="312"/>
      <c r="G1630" s="47"/>
      <c r="H1630" s="24"/>
      <c r="I1630" s="312"/>
      <c r="J1630" s="312"/>
      <c r="K1630">
        <v>7017</v>
      </c>
      <c r="L1630" s="241">
        <v>7017</v>
      </c>
      <c r="M1630" s="243" t="s">
        <v>2092</v>
      </c>
      <c r="N1630" s="314">
        <f>T1630</f>
        <v>307044</v>
      </c>
      <c r="O1630" s="314">
        <v>0</v>
      </c>
      <c r="Q1630" s="241">
        <v>70170001</v>
      </c>
      <c r="R1630" s="242"/>
      <c r="S1630" s="243" t="s">
        <v>2092</v>
      </c>
      <c r="T1630" s="239">
        <f>SUM(T1631:T1632)-SUM(U1631:U1632)</f>
        <v>307044</v>
      </c>
      <c r="U1630" s="240">
        <v>0</v>
      </c>
    </row>
    <row r="1631" spans="2:21" x14ac:dyDescent="0.3">
      <c r="B1631" s="47"/>
      <c r="C1631" s="24"/>
      <c r="D1631" s="312"/>
      <c r="E1631" s="312"/>
      <c r="G1631" s="47"/>
      <c r="H1631" s="24"/>
      <c r="I1631" s="312"/>
      <c r="J1631" s="312"/>
      <c r="L1631" s="47"/>
      <c r="M1631" s="24"/>
      <c r="N1631" s="312"/>
      <c r="O1631" s="312"/>
      <c r="Q1631" s="47"/>
      <c r="R1631" s="136" t="s">
        <v>2152</v>
      </c>
      <c r="S1631" s="24" t="s">
        <v>2153</v>
      </c>
      <c r="T1631" s="155">
        <v>61227</v>
      </c>
      <c r="U1631" s="155">
        <v>0</v>
      </c>
    </row>
    <row r="1632" spans="2:21" x14ac:dyDescent="0.3">
      <c r="B1632" s="47"/>
      <c r="C1632" s="24"/>
      <c r="D1632" s="312"/>
      <c r="E1632" s="312"/>
      <c r="G1632" s="47"/>
      <c r="H1632" s="24"/>
      <c r="I1632" s="312"/>
      <c r="J1632" s="312"/>
      <c r="L1632" s="47"/>
      <c r="M1632" s="24"/>
      <c r="N1632" s="312"/>
      <c r="O1632" s="312"/>
      <c r="Q1632" s="47"/>
      <c r="R1632" s="136" t="s">
        <v>2138</v>
      </c>
      <c r="S1632" s="24" t="s">
        <v>7</v>
      </c>
      <c r="T1632" s="155">
        <v>245817</v>
      </c>
      <c r="U1632" s="155">
        <v>0</v>
      </c>
    </row>
    <row r="1633" spans="2:21" x14ac:dyDescent="0.3">
      <c r="B1633" s="47"/>
      <c r="C1633" s="24"/>
      <c r="D1633" s="312"/>
      <c r="E1633" s="312"/>
      <c r="G1633" s="47"/>
      <c r="H1633" s="24"/>
      <c r="I1633" s="312"/>
      <c r="J1633" s="312"/>
      <c r="L1633" s="47"/>
      <c r="M1633" s="24"/>
      <c r="N1633" s="312"/>
      <c r="O1633" s="312"/>
      <c r="Q1633" s="47"/>
      <c r="R1633" s="136"/>
      <c r="S1633" s="24"/>
      <c r="T1633" s="155"/>
      <c r="U1633" s="155"/>
    </row>
    <row r="1634" spans="2:21" x14ac:dyDescent="0.3">
      <c r="B1634" s="47"/>
      <c r="C1634" s="24"/>
      <c r="D1634" s="312"/>
      <c r="E1634" s="312"/>
      <c r="G1634" s="47"/>
      <c r="H1634" s="24"/>
      <c r="I1634" s="312"/>
      <c r="J1634" s="312"/>
      <c r="K1634">
        <v>7018</v>
      </c>
      <c r="L1634" s="241">
        <v>7018</v>
      </c>
      <c r="M1634" s="243" t="s">
        <v>2096</v>
      </c>
      <c r="N1634" s="314">
        <f>T1635+T1636+T1637+T1638+T1639+T1640+T1641+T1642+T1643+T1644+T1645+T1646+T1647+T1648+T1649+T1650+T1651</f>
        <v>0</v>
      </c>
      <c r="O1634" s="314">
        <v>0</v>
      </c>
      <c r="Q1634" s="241">
        <v>70180001</v>
      </c>
      <c r="R1634" s="242"/>
      <c r="S1634" s="243" t="s">
        <v>2097</v>
      </c>
      <c r="T1634" s="240">
        <v>0</v>
      </c>
      <c r="U1634" s="240">
        <v>0</v>
      </c>
    </row>
    <row r="1635" spans="2:21" x14ac:dyDescent="0.3">
      <c r="B1635" s="47"/>
      <c r="C1635" s="24"/>
      <c r="D1635" s="312"/>
      <c r="E1635" s="312"/>
      <c r="G1635" s="47"/>
      <c r="H1635" s="24"/>
      <c r="I1635" s="312"/>
      <c r="J1635" s="312"/>
      <c r="L1635" s="47"/>
      <c r="M1635" s="24"/>
      <c r="N1635" s="312"/>
      <c r="O1635" s="312"/>
      <c r="Q1635" s="241">
        <v>70180002</v>
      </c>
      <c r="R1635" s="242"/>
      <c r="S1635" s="243" t="s">
        <v>1142</v>
      </c>
      <c r="T1635" s="240">
        <v>0</v>
      </c>
      <c r="U1635" s="240">
        <v>0</v>
      </c>
    </row>
    <row r="1636" spans="2:21" x14ac:dyDescent="0.3">
      <c r="B1636" s="47"/>
      <c r="C1636" s="24"/>
      <c r="D1636" s="312"/>
      <c r="E1636" s="312"/>
      <c r="G1636" s="47"/>
      <c r="H1636" s="24"/>
      <c r="I1636" s="312"/>
      <c r="J1636" s="312"/>
      <c r="L1636" s="47"/>
      <c r="M1636" s="24"/>
      <c r="N1636" s="312"/>
      <c r="O1636" s="312"/>
      <c r="Q1636" s="241">
        <v>70180003</v>
      </c>
      <c r="R1636" s="242"/>
      <c r="S1636" s="243" t="s">
        <v>1143</v>
      </c>
      <c r="T1636" s="240">
        <v>0</v>
      </c>
      <c r="U1636" s="240">
        <v>0</v>
      </c>
    </row>
    <row r="1637" spans="2:21" x14ac:dyDescent="0.3">
      <c r="B1637" s="47"/>
      <c r="C1637" s="24"/>
      <c r="D1637" s="312"/>
      <c r="E1637" s="312"/>
      <c r="G1637" s="47"/>
      <c r="H1637" s="24"/>
      <c r="I1637" s="312"/>
      <c r="J1637" s="312"/>
      <c r="L1637" s="47"/>
      <c r="M1637" s="24"/>
      <c r="N1637" s="312"/>
      <c r="O1637" s="312"/>
      <c r="Q1637" s="241">
        <v>70180004</v>
      </c>
      <c r="R1637" s="242"/>
      <c r="S1637" s="243" t="s">
        <v>1144</v>
      </c>
      <c r="T1637" s="240">
        <v>0</v>
      </c>
      <c r="U1637" s="240">
        <v>0</v>
      </c>
    </row>
    <row r="1638" spans="2:21" x14ac:dyDescent="0.3">
      <c r="B1638" s="47"/>
      <c r="C1638" s="24"/>
      <c r="D1638" s="312"/>
      <c r="E1638" s="312"/>
      <c r="G1638" s="47"/>
      <c r="H1638" s="24"/>
      <c r="I1638" s="312"/>
      <c r="J1638" s="312"/>
      <c r="L1638" s="47"/>
      <c r="M1638" s="24"/>
      <c r="N1638" s="312"/>
      <c r="O1638" s="312"/>
      <c r="Q1638" s="241">
        <v>70180005</v>
      </c>
      <c r="R1638" s="242"/>
      <c r="S1638" s="243" t="s">
        <v>1145</v>
      </c>
      <c r="T1638" s="240">
        <v>0</v>
      </c>
      <c r="U1638" s="240">
        <v>0</v>
      </c>
    </row>
    <row r="1639" spans="2:21" x14ac:dyDescent="0.3">
      <c r="B1639" s="47"/>
      <c r="C1639" s="24"/>
      <c r="D1639" s="312"/>
      <c r="E1639" s="312"/>
      <c r="G1639" s="47"/>
      <c r="H1639" s="24"/>
      <c r="I1639" s="312"/>
      <c r="J1639" s="312"/>
      <c r="L1639" s="47"/>
      <c r="M1639" s="24"/>
      <c r="N1639" s="312"/>
      <c r="O1639" s="312"/>
      <c r="Q1639" s="241">
        <v>70180006</v>
      </c>
      <c r="R1639" s="242"/>
      <c r="S1639" s="243" t="s">
        <v>1146</v>
      </c>
      <c r="T1639" s="240">
        <v>0</v>
      </c>
      <c r="U1639" s="240">
        <v>0</v>
      </c>
    </row>
    <row r="1640" spans="2:21" x14ac:dyDescent="0.3">
      <c r="B1640" s="47"/>
      <c r="C1640" s="24"/>
      <c r="D1640" s="312"/>
      <c r="E1640" s="312"/>
      <c r="G1640" s="47"/>
      <c r="H1640" s="24"/>
      <c r="I1640" s="312"/>
      <c r="J1640" s="312"/>
      <c r="L1640" s="47"/>
      <c r="M1640" s="24"/>
      <c r="N1640" s="312"/>
      <c r="O1640" s="312"/>
      <c r="Q1640" s="241">
        <v>70180007</v>
      </c>
      <c r="R1640" s="242"/>
      <c r="S1640" s="243" t="s">
        <v>1147</v>
      </c>
      <c r="T1640" s="240">
        <v>0</v>
      </c>
      <c r="U1640" s="240">
        <v>0</v>
      </c>
    </row>
    <row r="1641" spans="2:21" x14ac:dyDescent="0.3">
      <c r="B1641" s="47"/>
      <c r="C1641" s="24"/>
      <c r="D1641" s="312"/>
      <c r="E1641" s="312"/>
      <c r="G1641" s="47"/>
      <c r="H1641" s="24"/>
      <c r="I1641" s="312"/>
      <c r="J1641" s="312"/>
      <c r="L1641" s="47"/>
      <c r="M1641" s="24"/>
      <c r="N1641" s="312"/>
      <c r="O1641" s="312"/>
      <c r="Q1641" s="241">
        <v>70180008</v>
      </c>
      <c r="R1641" s="242"/>
      <c r="S1641" s="243" t="s">
        <v>1148</v>
      </c>
      <c r="T1641" s="240">
        <v>0</v>
      </c>
      <c r="U1641" s="240">
        <v>0</v>
      </c>
    </row>
    <row r="1642" spans="2:21" x14ac:dyDescent="0.3">
      <c r="B1642" s="47"/>
      <c r="C1642" s="24"/>
      <c r="D1642" s="312"/>
      <c r="E1642" s="312"/>
      <c r="G1642" s="47"/>
      <c r="H1642" s="24"/>
      <c r="I1642" s="312"/>
      <c r="J1642" s="312"/>
      <c r="L1642" s="47"/>
      <c r="M1642" s="24"/>
      <c r="N1642" s="312"/>
      <c r="O1642" s="312"/>
      <c r="Q1642" s="241">
        <v>70180009</v>
      </c>
      <c r="R1642" s="242"/>
      <c r="S1642" s="243" t="s">
        <v>1149</v>
      </c>
      <c r="T1642" s="240">
        <v>0</v>
      </c>
      <c r="U1642" s="240">
        <v>0</v>
      </c>
    </row>
    <row r="1643" spans="2:21" x14ac:dyDescent="0.3">
      <c r="B1643" s="47"/>
      <c r="C1643" s="24"/>
      <c r="D1643" s="312"/>
      <c r="E1643" s="312"/>
      <c r="G1643" s="47"/>
      <c r="H1643" s="24"/>
      <c r="I1643" s="312"/>
      <c r="J1643" s="312"/>
      <c r="L1643" s="47"/>
      <c r="M1643" s="24"/>
      <c r="N1643" s="312"/>
      <c r="O1643" s="312"/>
      <c r="Q1643" s="241">
        <v>70180010</v>
      </c>
      <c r="R1643" s="242"/>
      <c r="S1643" s="243" t="s">
        <v>1150</v>
      </c>
      <c r="T1643" s="240">
        <v>0</v>
      </c>
      <c r="U1643" s="240">
        <v>0</v>
      </c>
    </row>
    <row r="1644" spans="2:21" x14ac:dyDescent="0.3">
      <c r="B1644" s="47"/>
      <c r="C1644" s="24"/>
      <c r="D1644" s="312"/>
      <c r="E1644" s="312"/>
      <c r="G1644" s="47"/>
      <c r="H1644" s="24"/>
      <c r="I1644" s="312"/>
      <c r="J1644" s="312"/>
      <c r="L1644" s="47"/>
      <c r="M1644" s="24"/>
      <c r="N1644" s="312"/>
      <c r="O1644" s="312"/>
      <c r="Q1644" s="241">
        <v>70180011</v>
      </c>
      <c r="R1644" s="242"/>
      <c r="S1644" s="243" t="s">
        <v>1151</v>
      </c>
      <c r="T1644" s="240">
        <v>0</v>
      </c>
      <c r="U1644" s="240">
        <v>0</v>
      </c>
    </row>
    <row r="1645" spans="2:21" x14ac:dyDescent="0.3">
      <c r="B1645" s="47"/>
      <c r="C1645" s="24"/>
      <c r="D1645" s="312"/>
      <c r="E1645" s="312"/>
      <c r="G1645" s="47"/>
      <c r="H1645" s="24"/>
      <c r="I1645" s="312"/>
      <c r="J1645" s="312"/>
      <c r="L1645" s="47"/>
      <c r="M1645" s="24"/>
      <c r="N1645" s="312"/>
      <c r="O1645" s="312"/>
      <c r="Q1645" s="241">
        <v>70180012</v>
      </c>
      <c r="R1645" s="242"/>
      <c r="S1645" s="243" t="s">
        <v>1152</v>
      </c>
      <c r="T1645" s="240">
        <v>0</v>
      </c>
      <c r="U1645" s="240">
        <v>0</v>
      </c>
    </row>
    <row r="1646" spans="2:21" x14ac:dyDescent="0.3">
      <c r="B1646" s="47"/>
      <c r="C1646" s="24"/>
      <c r="D1646" s="312"/>
      <c r="E1646" s="312"/>
      <c r="G1646" s="47"/>
      <c r="H1646" s="24"/>
      <c r="I1646" s="312"/>
      <c r="J1646" s="312"/>
      <c r="L1646" s="47"/>
      <c r="M1646" s="24"/>
      <c r="N1646" s="312"/>
      <c r="O1646" s="312"/>
      <c r="Q1646" s="241">
        <v>70180013</v>
      </c>
      <c r="R1646" s="242"/>
      <c r="S1646" s="243" t="s">
        <v>1153</v>
      </c>
      <c r="T1646" s="240">
        <v>0</v>
      </c>
      <c r="U1646" s="240">
        <v>0</v>
      </c>
    </row>
    <row r="1647" spans="2:21" x14ac:dyDescent="0.3">
      <c r="B1647" s="47"/>
      <c r="C1647" s="24"/>
      <c r="D1647" s="312"/>
      <c r="E1647" s="312"/>
      <c r="G1647" s="47"/>
      <c r="H1647" s="24"/>
      <c r="I1647" s="312"/>
      <c r="J1647" s="312"/>
      <c r="L1647" s="47"/>
      <c r="M1647" s="24"/>
      <c r="N1647" s="312"/>
      <c r="O1647" s="312"/>
      <c r="Q1647" s="241">
        <v>70180014</v>
      </c>
      <c r="R1647" s="242"/>
      <c r="S1647" s="243" t="s">
        <v>1154</v>
      </c>
      <c r="T1647" s="240">
        <v>0</v>
      </c>
      <c r="U1647" s="240">
        <v>0</v>
      </c>
    </row>
    <row r="1648" spans="2:21" x14ac:dyDescent="0.3">
      <c r="B1648" s="47"/>
      <c r="C1648" s="24"/>
      <c r="D1648" s="312"/>
      <c r="E1648" s="312"/>
      <c r="G1648" s="47"/>
      <c r="H1648" s="24"/>
      <c r="I1648" s="312"/>
      <c r="J1648" s="312"/>
      <c r="L1648" s="47"/>
      <c r="M1648" s="24"/>
      <c r="N1648" s="312"/>
      <c r="O1648" s="312"/>
      <c r="Q1648" s="241">
        <v>70180015</v>
      </c>
      <c r="R1648" s="242"/>
      <c r="S1648" s="243" t="s">
        <v>1155</v>
      </c>
      <c r="T1648" s="240">
        <v>0</v>
      </c>
      <c r="U1648" s="240">
        <v>0</v>
      </c>
    </row>
    <row r="1649" spans="2:21" x14ac:dyDescent="0.3">
      <c r="B1649" s="47"/>
      <c r="C1649" s="24"/>
      <c r="D1649" s="312"/>
      <c r="E1649" s="312"/>
      <c r="G1649" s="47"/>
      <c r="H1649" s="24"/>
      <c r="I1649" s="312"/>
      <c r="J1649" s="312"/>
      <c r="L1649" s="47"/>
      <c r="M1649" s="24"/>
      <c r="N1649" s="312"/>
      <c r="O1649" s="312"/>
      <c r="Q1649" s="241">
        <v>70180016</v>
      </c>
      <c r="R1649" s="242"/>
      <c r="S1649" s="243" t="s">
        <v>1156</v>
      </c>
      <c r="T1649" s="240">
        <v>0</v>
      </c>
      <c r="U1649" s="240">
        <v>0</v>
      </c>
    </row>
    <row r="1650" spans="2:21" x14ac:dyDescent="0.3">
      <c r="B1650" s="47"/>
      <c r="C1650" s="24"/>
      <c r="D1650" s="312"/>
      <c r="E1650" s="312"/>
      <c r="G1650" s="47"/>
      <c r="H1650" s="24"/>
      <c r="I1650" s="312"/>
      <c r="J1650" s="312"/>
      <c r="L1650" s="47"/>
      <c r="M1650" s="24"/>
      <c r="N1650" s="312"/>
      <c r="O1650" s="312"/>
      <c r="Q1650" s="241">
        <v>70180017</v>
      </c>
      <c r="R1650" s="242"/>
      <c r="S1650" s="243" t="s">
        <v>1157</v>
      </c>
      <c r="T1650" s="240">
        <v>0</v>
      </c>
      <c r="U1650" s="240">
        <v>0</v>
      </c>
    </row>
    <row r="1651" spans="2:21" x14ac:dyDescent="0.3">
      <c r="B1651" s="47"/>
      <c r="C1651" s="24"/>
      <c r="D1651" s="312"/>
      <c r="E1651" s="312"/>
      <c r="G1651" s="47"/>
      <c r="H1651" s="24"/>
      <c r="I1651" s="312"/>
      <c r="J1651" s="312"/>
      <c r="L1651" s="47"/>
      <c r="M1651" s="24"/>
      <c r="N1651" s="312"/>
      <c r="O1651" s="312"/>
      <c r="Q1651" s="241">
        <v>70180018</v>
      </c>
      <c r="R1651" s="242"/>
      <c r="S1651" s="243" t="s">
        <v>1158</v>
      </c>
      <c r="T1651" s="240">
        <v>0</v>
      </c>
      <c r="U1651" s="240">
        <v>0</v>
      </c>
    </row>
    <row r="1652" spans="2:21" x14ac:dyDescent="0.3">
      <c r="B1652" s="47"/>
      <c r="C1652" s="24"/>
      <c r="D1652" s="312"/>
      <c r="E1652" s="312"/>
      <c r="G1652" s="47"/>
      <c r="H1652" s="24"/>
      <c r="I1652" s="312"/>
      <c r="J1652" s="312"/>
      <c r="L1652" s="47"/>
      <c r="M1652" s="24"/>
      <c r="N1652" s="312"/>
      <c r="O1652" s="312"/>
      <c r="Q1652" s="47"/>
      <c r="R1652" s="136"/>
      <c r="S1652" s="24"/>
      <c r="T1652" s="155"/>
      <c r="U1652" s="155"/>
    </row>
    <row r="1653" spans="2:21" x14ac:dyDescent="0.3">
      <c r="B1653" s="47"/>
      <c r="C1653" s="24"/>
      <c r="D1653" s="312"/>
      <c r="E1653" s="312"/>
      <c r="G1653" s="47"/>
      <c r="H1653" s="24"/>
      <c r="I1653" s="312"/>
      <c r="J1653" s="312"/>
      <c r="K1653">
        <v>7019</v>
      </c>
      <c r="L1653" s="241">
        <v>7019</v>
      </c>
      <c r="M1653" s="243" t="s">
        <v>919</v>
      </c>
      <c r="N1653" s="314">
        <f>T1653+T1654</f>
        <v>0</v>
      </c>
      <c r="O1653" s="314">
        <v>0</v>
      </c>
      <c r="Q1653" s="241">
        <v>70190001</v>
      </c>
      <c r="R1653" s="242"/>
      <c r="S1653" s="243" t="s">
        <v>2098</v>
      </c>
      <c r="T1653" s="240">
        <v>0</v>
      </c>
      <c r="U1653" s="240">
        <v>0</v>
      </c>
    </row>
    <row r="1654" spans="2:21" x14ac:dyDescent="0.3">
      <c r="B1654" s="47"/>
      <c r="C1654" s="24"/>
      <c r="D1654" s="312"/>
      <c r="E1654" s="312"/>
      <c r="G1654" s="47"/>
      <c r="H1654" s="24"/>
      <c r="I1654" s="312"/>
      <c r="J1654" s="312"/>
      <c r="L1654" s="47"/>
      <c r="M1654" s="24"/>
      <c r="N1654" s="312"/>
      <c r="O1654" s="312"/>
      <c r="Q1654" s="241">
        <v>70190002</v>
      </c>
      <c r="R1654" s="242"/>
      <c r="S1654" s="243" t="s">
        <v>2099</v>
      </c>
      <c r="T1654" s="240">
        <v>0</v>
      </c>
      <c r="U1654" s="240">
        <v>0</v>
      </c>
    </row>
    <row r="1655" spans="2:21" x14ac:dyDescent="0.3">
      <c r="B1655" s="47"/>
      <c r="C1655" s="24"/>
      <c r="D1655" s="312"/>
      <c r="E1655" s="312"/>
      <c r="G1655" s="47"/>
      <c r="H1655" s="24"/>
      <c r="I1655" s="312"/>
      <c r="J1655" s="312"/>
      <c r="L1655" s="47"/>
      <c r="M1655" s="24"/>
      <c r="N1655" s="312"/>
      <c r="O1655" s="312"/>
      <c r="Q1655" s="241">
        <v>70190003</v>
      </c>
      <c r="R1655" s="242"/>
      <c r="S1655" s="243" t="s">
        <v>1160</v>
      </c>
      <c r="T1655" s="240">
        <v>0</v>
      </c>
      <c r="U1655" s="240">
        <v>0</v>
      </c>
    </row>
    <row r="1656" spans="2:21" x14ac:dyDescent="0.3">
      <c r="B1656" s="47"/>
      <c r="C1656" s="24"/>
      <c r="D1656" s="312"/>
      <c r="E1656" s="312"/>
      <c r="G1656" s="47"/>
      <c r="H1656" s="24"/>
      <c r="I1656" s="312"/>
      <c r="J1656" s="312"/>
      <c r="L1656" s="47"/>
      <c r="M1656" s="24"/>
      <c r="N1656" s="312"/>
      <c r="O1656" s="312"/>
      <c r="Q1656" s="241">
        <v>70190004</v>
      </c>
      <c r="R1656" s="242"/>
      <c r="S1656" s="243" t="s">
        <v>1159</v>
      </c>
      <c r="T1656" s="240">
        <v>0</v>
      </c>
      <c r="U1656" s="240">
        <v>0</v>
      </c>
    </row>
    <row r="1657" spans="2:21" x14ac:dyDescent="0.3">
      <c r="B1657" s="47"/>
      <c r="C1657" s="24"/>
      <c r="D1657" s="312"/>
      <c r="E1657" s="312"/>
      <c r="G1657" s="47"/>
      <c r="H1657" s="24"/>
      <c r="I1657" s="312"/>
      <c r="J1657" s="312"/>
      <c r="L1657" s="47"/>
      <c r="M1657" s="24"/>
      <c r="N1657" s="312"/>
      <c r="O1657" s="312"/>
      <c r="Q1657" s="47"/>
      <c r="R1657" s="136"/>
      <c r="S1657" s="24"/>
      <c r="T1657" s="155"/>
      <c r="U1657" s="155"/>
    </row>
    <row r="1658" spans="2:21" x14ac:dyDescent="0.3">
      <c r="B1658" s="47"/>
      <c r="C1658" s="24"/>
      <c r="D1658" s="312"/>
      <c r="E1658" s="312"/>
      <c r="G1658" s="47"/>
      <c r="H1658" s="24"/>
      <c r="I1658" s="312"/>
      <c r="J1658" s="312"/>
      <c r="K1658">
        <v>7020</v>
      </c>
      <c r="L1658" s="241">
        <v>7020</v>
      </c>
      <c r="M1658" s="243" t="s">
        <v>2112</v>
      </c>
      <c r="N1658" s="314">
        <f>T1658+T1659+T1660+T1661</f>
        <v>0</v>
      </c>
      <c r="O1658" s="314">
        <f>U1661</f>
        <v>12170027</v>
      </c>
      <c r="Q1658" s="241">
        <v>70200001</v>
      </c>
      <c r="R1658" s="242"/>
      <c r="S1658" s="243" t="s">
        <v>1164</v>
      </c>
      <c r="T1658" s="240">
        <v>0</v>
      </c>
      <c r="U1658" s="240">
        <v>0</v>
      </c>
    </row>
    <row r="1659" spans="2:21" x14ac:dyDescent="0.3">
      <c r="B1659" s="47"/>
      <c r="C1659" s="24"/>
      <c r="D1659" s="312"/>
      <c r="E1659" s="312"/>
      <c r="G1659" s="47"/>
      <c r="H1659" s="24"/>
      <c r="I1659" s="312"/>
      <c r="J1659" s="312"/>
      <c r="L1659" s="47"/>
      <c r="M1659" s="24"/>
      <c r="N1659" s="312"/>
      <c r="O1659" s="312"/>
      <c r="Q1659" s="241">
        <v>70200002</v>
      </c>
      <c r="R1659" s="242"/>
      <c r="S1659" s="243" t="s">
        <v>1165</v>
      </c>
      <c r="T1659" s="240">
        <v>0</v>
      </c>
      <c r="U1659" s="240">
        <v>0</v>
      </c>
    </row>
    <row r="1660" spans="2:21" x14ac:dyDescent="0.3">
      <c r="B1660" s="47"/>
      <c r="C1660" s="24"/>
      <c r="D1660" s="312"/>
      <c r="E1660" s="312"/>
      <c r="G1660" s="47"/>
      <c r="H1660" s="24"/>
      <c r="I1660" s="312"/>
      <c r="J1660" s="312"/>
      <c r="L1660" s="47"/>
      <c r="M1660" s="24"/>
      <c r="N1660" s="312"/>
      <c r="O1660" s="312"/>
      <c r="Q1660" s="241">
        <v>70200003</v>
      </c>
      <c r="R1660" s="242"/>
      <c r="S1660" s="243" t="s">
        <v>1166</v>
      </c>
      <c r="T1660" s="240">
        <v>0</v>
      </c>
      <c r="U1660" s="240">
        <v>0</v>
      </c>
    </row>
    <row r="1661" spans="2:21" x14ac:dyDescent="0.3">
      <c r="B1661" s="47"/>
      <c r="C1661" s="24"/>
      <c r="D1661" s="312"/>
      <c r="E1661" s="312"/>
      <c r="G1661" s="47"/>
      <c r="H1661" s="24"/>
      <c r="I1661" s="312"/>
      <c r="J1661" s="312"/>
      <c r="L1661" s="47"/>
      <c r="M1661" s="24"/>
      <c r="N1661" s="312"/>
      <c r="O1661" s="312"/>
      <c r="Q1661" s="241">
        <v>70200004</v>
      </c>
      <c r="R1661" s="242"/>
      <c r="S1661" s="243" t="s">
        <v>2100</v>
      </c>
      <c r="T1661" s="239">
        <v>0</v>
      </c>
      <c r="U1661" s="240">
        <f>SUM(U1662)-SUM(T1662)</f>
        <v>12170027</v>
      </c>
    </row>
    <row r="1662" spans="2:21" x14ac:dyDescent="0.3">
      <c r="B1662" s="47"/>
      <c r="C1662" s="24"/>
      <c r="D1662" s="312"/>
      <c r="E1662" s="312"/>
      <c r="G1662" s="47"/>
      <c r="H1662" s="24"/>
      <c r="I1662" s="312"/>
      <c r="J1662" s="312"/>
      <c r="L1662" s="47"/>
      <c r="M1662" s="24"/>
      <c r="N1662" s="312"/>
      <c r="O1662" s="312"/>
      <c r="Q1662" s="47"/>
      <c r="R1662" s="136" t="s">
        <v>2154</v>
      </c>
      <c r="S1662" s="24" t="s">
        <v>2155</v>
      </c>
      <c r="T1662" s="155">
        <v>0</v>
      </c>
      <c r="U1662" s="155">
        <v>12170027</v>
      </c>
    </row>
    <row r="1663" spans="2:21" x14ac:dyDescent="0.3">
      <c r="B1663" s="47"/>
      <c r="C1663" s="24"/>
      <c r="D1663" s="312"/>
      <c r="E1663" s="312"/>
      <c r="G1663" s="47"/>
      <c r="H1663" s="24"/>
      <c r="I1663" s="312"/>
      <c r="J1663" s="312"/>
      <c r="L1663" s="47"/>
      <c r="M1663" s="24"/>
      <c r="N1663" s="312"/>
      <c r="O1663" s="312"/>
      <c r="Q1663" s="47"/>
      <c r="R1663" s="136"/>
      <c r="S1663" s="24"/>
      <c r="T1663" s="155"/>
      <c r="U1663" s="155"/>
    </row>
    <row r="1664" spans="2:21" x14ac:dyDescent="0.3">
      <c r="B1664" s="47"/>
      <c r="C1664" s="24"/>
      <c r="D1664" s="312"/>
      <c r="E1664" s="312"/>
      <c r="G1664" s="47"/>
      <c r="H1664" s="24"/>
      <c r="I1664" s="312"/>
      <c r="J1664" s="312"/>
      <c r="K1664">
        <v>7021</v>
      </c>
      <c r="L1664" s="241">
        <v>7021</v>
      </c>
      <c r="M1664" s="243" t="s">
        <v>2101</v>
      </c>
      <c r="N1664" s="314">
        <f>T1664</f>
        <v>0</v>
      </c>
      <c r="O1664" s="314">
        <v>0</v>
      </c>
      <c r="Q1664" s="244">
        <v>70210001</v>
      </c>
      <c r="R1664" s="245"/>
      <c r="S1664" s="246" t="s">
        <v>2101</v>
      </c>
      <c r="T1664" s="240">
        <v>0</v>
      </c>
      <c r="U1664" s="240">
        <v>0</v>
      </c>
    </row>
    <row r="1665" spans="2:21" x14ac:dyDescent="0.3">
      <c r="B1665" s="47"/>
      <c r="C1665" s="24"/>
      <c r="D1665" s="312"/>
      <c r="E1665" s="312"/>
      <c r="G1665" s="47"/>
      <c r="H1665" s="24"/>
      <c r="I1665" s="312"/>
      <c r="J1665" s="312"/>
      <c r="L1665" s="47"/>
      <c r="M1665" s="24"/>
      <c r="N1665" s="312"/>
      <c r="O1665" s="312"/>
      <c r="Q1665" s="47"/>
      <c r="R1665" s="136"/>
      <c r="S1665" s="24"/>
      <c r="T1665" s="155"/>
      <c r="U1665" s="155"/>
    </row>
    <row r="1666" spans="2:21" x14ac:dyDescent="0.3">
      <c r="B1666" s="47"/>
      <c r="C1666" s="24"/>
      <c r="D1666" s="312"/>
      <c r="E1666" s="312"/>
      <c r="G1666" s="47"/>
      <c r="H1666" s="24"/>
      <c r="I1666" s="312"/>
      <c r="J1666" s="312"/>
      <c r="K1666">
        <v>7022</v>
      </c>
      <c r="L1666" s="241">
        <v>7022</v>
      </c>
      <c r="M1666" s="243" t="s">
        <v>2102</v>
      </c>
      <c r="N1666" s="314">
        <f>T1666+T1670+T1672+T1674+T1676+T1677+T1678+T1685+T1687+T1688+T1689+T1690+T1691+T1692+T1693+T1695+T1696+T1698+T1699+T1700</f>
        <v>2504754.3099999996</v>
      </c>
      <c r="O1666" s="314">
        <v>0</v>
      </c>
      <c r="Q1666" s="244">
        <v>70220001</v>
      </c>
      <c r="R1666" s="245"/>
      <c r="S1666" s="246" t="s">
        <v>1138</v>
      </c>
      <c r="T1666" s="239">
        <f>SUM(T1667:T1669)-SUM(U1667:U1669)</f>
        <v>1181963.8899999999</v>
      </c>
      <c r="U1666" s="240">
        <v>0</v>
      </c>
    </row>
    <row r="1667" spans="2:21" x14ac:dyDescent="0.3">
      <c r="B1667" s="47"/>
      <c r="C1667" s="24"/>
      <c r="D1667" s="312"/>
      <c r="E1667" s="312"/>
      <c r="G1667" s="47"/>
      <c r="H1667" s="24"/>
      <c r="I1667" s="312"/>
      <c r="J1667" s="312"/>
      <c r="L1667" s="47"/>
      <c r="M1667" s="24"/>
      <c r="N1667" s="312"/>
      <c r="O1667" s="312"/>
      <c r="Q1667" s="49"/>
      <c r="R1667" s="137" t="s">
        <v>2138</v>
      </c>
      <c r="S1667" s="25" t="s">
        <v>7</v>
      </c>
      <c r="T1667" s="156">
        <v>1154903.8899999999</v>
      </c>
      <c r="U1667" s="156">
        <v>0</v>
      </c>
    </row>
    <row r="1668" spans="2:21" x14ac:dyDescent="0.3">
      <c r="B1668" s="47"/>
      <c r="C1668" s="24"/>
      <c r="D1668" s="312"/>
      <c r="E1668" s="312"/>
      <c r="G1668" s="47"/>
      <c r="H1668" s="24"/>
      <c r="I1668" s="312"/>
      <c r="J1668" s="312"/>
      <c r="L1668" s="47"/>
      <c r="M1668" s="24"/>
      <c r="N1668" s="312"/>
      <c r="O1668" s="312"/>
      <c r="Q1668" s="49"/>
      <c r="R1668" s="137" t="s">
        <v>2150</v>
      </c>
      <c r="S1668" s="25" t="s">
        <v>2151</v>
      </c>
      <c r="T1668" s="156">
        <v>21260</v>
      </c>
      <c r="U1668" s="156">
        <v>0</v>
      </c>
    </row>
    <row r="1669" spans="2:21" x14ac:dyDescent="0.3">
      <c r="B1669" s="47"/>
      <c r="C1669" s="24"/>
      <c r="D1669" s="312"/>
      <c r="E1669" s="312"/>
      <c r="G1669" s="47"/>
      <c r="H1669" s="24"/>
      <c r="I1669" s="312"/>
      <c r="J1669" s="312"/>
      <c r="L1669" s="47"/>
      <c r="M1669" s="24"/>
      <c r="N1669" s="312"/>
      <c r="O1669" s="312"/>
      <c r="Q1669" s="49"/>
      <c r="R1669" s="137" t="s">
        <v>2152</v>
      </c>
      <c r="S1669" s="25" t="s">
        <v>2153</v>
      </c>
      <c r="T1669" s="156">
        <v>5800</v>
      </c>
      <c r="U1669" s="156">
        <v>0</v>
      </c>
    </row>
    <row r="1670" spans="2:21" x14ac:dyDescent="0.3">
      <c r="B1670" s="47"/>
      <c r="C1670" s="24"/>
      <c r="D1670" s="312"/>
      <c r="E1670" s="312"/>
      <c r="G1670" s="47"/>
      <c r="H1670" s="24"/>
      <c r="I1670" s="312"/>
      <c r="J1670" s="312"/>
      <c r="L1670" s="47"/>
      <c r="M1670" s="24"/>
      <c r="N1670" s="312"/>
      <c r="O1670" s="312"/>
      <c r="Q1670" s="244">
        <v>70220002</v>
      </c>
      <c r="R1670" s="245"/>
      <c r="S1670" s="246" t="s">
        <v>1108</v>
      </c>
      <c r="T1670" s="239">
        <f>SUM(T1671)-SUM(U1671)</f>
        <v>781511</v>
      </c>
      <c r="U1670" s="240">
        <v>0</v>
      </c>
    </row>
    <row r="1671" spans="2:21" x14ac:dyDescent="0.3">
      <c r="B1671" s="47"/>
      <c r="C1671" s="24"/>
      <c r="D1671" s="312"/>
      <c r="E1671" s="312"/>
      <c r="G1671" s="47"/>
      <c r="H1671" s="24"/>
      <c r="I1671" s="312"/>
      <c r="J1671" s="312"/>
      <c r="L1671" s="47"/>
      <c r="M1671" s="24"/>
      <c r="N1671" s="312"/>
      <c r="O1671" s="312"/>
      <c r="Q1671" s="49"/>
      <c r="R1671" s="137" t="s">
        <v>2138</v>
      </c>
      <c r="S1671" s="25" t="s">
        <v>7</v>
      </c>
      <c r="T1671" s="156">
        <v>781511</v>
      </c>
      <c r="U1671" s="156">
        <v>0</v>
      </c>
    </row>
    <row r="1672" spans="2:21" x14ac:dyDescent="0.3">
      <c r="B1672" s="47"/>
      <c r="C1672" s="24"/>
      <c r="D1672" s="312"/>
      <c r="E1672" s="312"/>
      <c r="G1672" s="47"/>
      <c r="H1672" s="24"/>
      <c r="I1672" s="312"/>
      <c r="J1672" s="312"/>
      <c r="L1672" s="47"/>
      <c r="M1672" s="24"/>
      <c r="N1672" s="312"/>
      <c r="O1672" s="312"/>
      <c r="Q1672" s="244">
        <v>70220003</v>
      </c>
      <c r="R1672" s="245"/>
      <c r="S1672" s="246" t="s">
        <v>1109</v>
      </c>
      <c r="T1672" s="239">
        <f>SUM(T1673)-SUM(U1673)</f>
        <v>425253</v>
      </c>
      <c r="U1672" s="240">
        <v>0</v>
      </c>
    </row>
    <row r="1673" spans="2:21" x14ac:dyDescent="0.3">
      <c r="B1673" s="47"/>
      <c r="C1673" s="24"/>
      <c r="D1673" s="312"/>
      <c r="E1673" s="312"/>
      <c r="G1673" s="47"/>
      <c r="H1673" s="24"/>
      <c r="I1673" s="312"/>
      <c r="J1673" s="312"/>
      <c r="L1673" s="47"/>
      <c r="M1673" s="24"/>
      <c r="N1673" s="312"/>
      <c r="O1673" s="312"/>
      <c r="Q1673" s="49"/>
      <c r="R1673" s="137" t="s">
        <v>2138</v>
      </c>
      <c r="S1673" s="25" t="s">
        <v>7</v>
      </c>
      <c r="T1673" s="156">
        <v>425253</v>
      </c>
      <c r="U1673" s="156">
        <v>0</v>
      </c>
    </row>
    <row r="1674" spans="2:21" x14ac:dyDescent="0.3">
      <c r="B1674" s="47"/>
      <c r="C1674" s="24"/>
      <c r="D1674" s="312"/>
      <c r="E1674" s="312"/>
      <c r="G1674" s="47"/>
      <c r="H1674" s="24"/>
      <c r="I1674" s="312"/>
      <c r="J1674" s="312"/>
      <c r="L1674" s="47"/>
      <c r="M1674" s="24"/>
      <c r="N1674" s="312"/>
      <c r="O1674" s="312"/>
      <c r="Q1674" s="244">
        <v>70220004</v>
      </c>
      <c r="R1674" s="245"/>
      <c r="S1674" s="246" t="s">
        <v>1080</v>
      </c>
      <c r="T1674" s="239">
        <f>SUM(T1675)-SUM(U1675)</f>
        <v>5000</v>
      </c>
      <c r="U1674" s="240">
        <v>0</v>
      </c>
    </row>
    <row r="1675" spans="2:21" x14ac:dyDescent="0.3">
      <c r="B1675" s="47"/>
      <c r="C1675" s="24"/>
      <c r="D1675" s="312"/>
      <c r="E1675" s="312"/>
      <c r="G1675" s="47"/>
      <c r="H1675" s="24"/>
      <c r="I1675" s="312"/>
      <c r="J1675" s="312"/>
      <c r="L1675" s="47"/>
      <c r="M1675" s="24"/>
      <c r="N1675" s="312"/>
      <c r="O1675" s="312"/>
      <c r="Q1675" s="49"/>
      <c r="R1675" s="137" t="s">
        <v>2138</v>
      </c>
      <c r="S1675" s="25" t="s">
        <v>7</v>
      </c>
      <c r="T1675" s="156">
        <v>5000</v>
      </c>
      <c r="U1675" s="156">
        <v>0</v>
      </c>
    </row>
    <row r="1676" spans="2:21" x14ac:dyDescent="0.3">
      <c r="B1676" s="47"/>
      <c r="C1676" s="24"/>
      <c r="D1676" s="312"/>
      <c r="E1676" s="312"/>
      <c r="G1676" s="47"/>
      <c r="H1676" s="24"/>
      <c r="I1676" s="312"/>
      <c r="J1676" s="312"/>
      <c r="L1676" s="47"/>
      <c r="M1676" s="24"/>
      <c r="N1676" s="312"/>
      <c r="O1676" s="312"/>
      <c r="Q1676" s="244">
        <v>70220005</v>
      </c>
      <c r="R1676" s="245"/>
      <c r="S1676" s="246" t="s">
        <v>1110</v>
      </c>
      <c r="T1676" s="247">
        <v>0</v>
      </c>
      <c r="U1676" s="247">
        <v>0</v>
      </c>
    </row>
    <row r="1677" spans="2:21" x14ac:dyDescent="0.3">
      <c r="B1677" s="47"/>
      <c r="C1677" s="24"/>
      <c r="D1677" s="312"/>
      <c r="E1677" s="312"/>
      <c r="G1677" s="47"/>
      <c r="H1677" s="24"/>
      <c r="I1677" s="312"/>
      <c r="J1677" s="312"/>
      <c r="L1677" s="47"/>
      <c r="M1677" s="24"/>
      <c r="N1677" s="312"/>
      <c r="O1677" s="312"/>
      <c r="Q1677" s="244">
        <v>70220006</v>
      </c>
      <c r="R1677" s="245"/>
      <c r="S1677" s="246" t="s">
        <v>1111</v>
      </c>
      <c r="T1677" s="247">
        <v>0</v>
      </c>
      <c r="U1677" s="247">
        <v>0</v>
      </c>
    </row>
    <row r="1678" spans="2:21" x14ac:dyDescent="0.3">
      <c r="B1678" s="47"/>
      <c r="C1678" s="24"/>
      <c r="D1678" s="312"/>
      <c r="E1678" s="312"/>
      <c r="G1678" s="47"/>
      <c r="H1678" s="24"/>
      <c r="I1678" s="312"/>
      <c r="J1678" s="312"/>
      <c r="L1678" s="47"/>
      <c r="M1678" s="24"/>
      <c r="N1678" s="312"/>
      <c r="O1678" s="312"/>
      <c r="Q1678" s="244">
        <v>70220007</v>
      </c>
      <c r="R1678" s="245"/>
      <c r="S1678" s="246" t="s">
        <v>1112</v>
      </c>
      <c r="T1678" s="239">
        <f>SUM(T1679:T1684)-SUM(U1679:U1684)</f>
        <v>63927</v>
      </c>
      <c r="U1678" s="240">
        <v>0</v>
      </c>
    </row>
    <row r="1679" spans="2:21" x14ac:dyDescent="0.3">
      <c r="B1679" s="47"/>
      <c r="C1679" s="24"/>
      <c r="D1679" s="312"/>
      <c r="E1679" s="312"/>
      <c r="G1679" s="47"/>
      <c r="H1679" s="24"/>
      <c r="I1679" s="312"/>
      <c r="J1679" s="312"/>
      <c r="L1679" s="47"/>
      <c r="M1679" s="24"/>
      <c r="N1679" s="312"/>
      <c r="O1679" s="312"/>
      <c r="Q1679" s="49"/>
      <c r="R1679" s="137" t="s">
        <v>2138</v>
      </c>
      <c r="S1679" s="25" t="s">
        <v>7</v>
      </c>
      <c r="T1679" s="156">
        <v>23750</v>
      </c>
      <c r="U1679" s="156">
        <v>0</v>
      </c>
    </row>
    <row r="1680" spans="2:21" x14ac:dyDescent="0.3">
      <c r="B1680" s="47"/>
      <c r="C1680" s="24"/>
      <c r="D1680" s="312"/>
      <c r="E1680" s="312"/>
      <c r="G1680" s="47"/>
      <c r="H1680" s="24"/>
      <c r="I1680" s="312"/>
      <c r="J1680" s="312"/>
      <c r="L1680" s="47"/>
      <c r="M1680" s="24"/>
      <c r="N1680" s="312"/>
      <c r="O1680" s="312"/>
      <c r="Q1680" s="49"/>
      <c r="R1680" s="137" t="s">
        <v>1177</v>
      </c>
      <c r="S1680" s="25" t="s">
        <v>2141</v>
      </c>
      <c r="T1680" s="156">
        <v>4500</v>
      </c>
      <c r="U1680" s="156">
        <v>0</v>
      </c>
    </row>
    <row r="1681" spans="2:21" x14ac:dyDescent="0.3">
      <c r="B1681" s="47"/>
      <c r="C1681" s="24"/>
      <c r="D1681" s="312"/>
      <c r="E1681" s="312"/>
      <c r="G1681" s="47"/>
      <c r="H1681" s="24"/>
      <c r="I1681" s="312"/>
      <c r="J1681" s="312"/>
      <c r="L1681" s="47"/>
      <c r="M1681" s="24"/>
      <c r="N1681" s="312"/>
      <c r="O1681" s="312"/>
      <c r="Q1681" s="49"/>
      <c r="R1681" s="137" t="s">
        <v>1179</v>
      </c>
      <c r="S1681" s="25" t="s">
        <v>2148</v>
      </c>
      <c r="T1681" s="156">
        <v>14090</v>
      </c>
      <c r="U1681" s="156">
        <v>0</v>
      </c>
    </row>
    <row r="1682" spans="2:21" x14ac:dyDescent="0.3">
      <c r="B1682" s="47"/>
      <c r="C1682" s="24"/>
      <c r="D1682" s="312"/>
      <c r="E1682" s="312"/>
      <c r="G1682" s="47"/>
      <c r="H1682" s="24"/>
      <c r="I1682" s="312"/>
      <c r="J1682" s="312"/>
      <c r="L1682" s="47"/>
      <c r="M1682" s="24"/>
      <c r="N1682" s="312"/>
      <c r="O1682" s="312"/>
      <c r="Q1682" s="49"/>
      <c r="R1682" s="137" t="s">
        <v>1179</v>
      </c>
      <c r="S1682" s="25" t="s">
        <v>2143</v>
      </c>
      <c r="T1682" s="156">
        <v>11087</v>
      </c>
      <c r="U1682" s="156">
        <v>0</v>
      </c>
    </row>
    <row r="1683" spans="2:21" x14ac:dyDescent="0.3">
      <c r="B1683" s="47"/>
      <c r="C1683" s="24"/>
      <c r="D1683" s="312"/>
      <c r="E1683" s="312"/>
      <c r="G1683" s="47"/>
      <c r="H1683" s="24"/>
      <c r="I1683" s="312"/>
      <c r="J1683" s="312"/>
      <c r="L1683" s="47"/>
      <c r="M1683" s="24"/>
      <c r="N1683" s="312"/>
      <c r="O1683" s="312"/>
      <c r="Q1683" s="49"/>
      <c r="R1683" s="137" t="s">
        <v>2150</v>
      </c>
      <c r="S1683" s="25" t="s">
        <v>2151</v>
      </c>
      <c r="T1683" s="156">
        <v>8500</v>
      </c>
      <c r="U1683" s="156">
        <v>0</v>
      </c>
    </row>
    <row r="1684" spans="2:21" x14ac:dyDescent="0.3">
      <c r="B1684" s="47"/>
      <c r="C1684" s="24"/>
      <c r="D1684" s="312"/>
      <c r="E1684" s="312"/>
      <c r="G1684" s="47"/>
      <c r="H1684" s="24"/>
      <c r="I1684" s="312"/>
      <c r="J1684" s="312"/>
      <c r="L1684" s="47"/>
      <c r="M1684" s="24"/>
      <c r="N1684" s="312"/>
      <c r="O1684" s="312"/>
      <c r="Q1684" s="49"/>
      <c r="R1684" s="137" t="s">
        <v>2152</v>
      </c>
      <c r="S1684" s="25" t="s">
        <v>2153</v>
      </c>
      <c r="T1684" s="156">
        <v>2000</v>
      </c>
      <c r="U1684" s="156">
        <v>0</v>
      </c>
    </row>
    <row r="1685" spans="2:21" x14ac:dyDescent="0.3">
      <c r="B1685" s="47"/>
      <c r="C1685" s="24"/>
      <c r="D1685" s="312"/>
      <c r="E1685" s="312"/>
      <c r="G1685" s="47"/>
      <c r="H1685" s="24"/>
      <c r="I1685" s="312"/>
      <c r="J1685" s="312"/>
      <c r="L1685" s="47"/>
      <c r="M1685" s="24"/>
      <c r="N1685" s="312"/>
      <c r="O1685" s="312"/>
      <c r="Q1685" s="244">
        <v>70220008</v>
      </c>
      <c r="R1685" s="245"/>
      <c r="S1685" s="246" t="s">
        <v>1081</v>
      </c>
      <c r="T1685" s="239">
        <f>SUM(T1686)-SUM(U1686)</f>
        <v>13743.42</v>
      </c>
      <c r="U1685" s="240">
        <v>0</v>
      </c>
    </row>
    <row r="1686" spans="2:21" x14ac:dyDescent="0.3">
      <c r="B1686" s="47"/>
      <c r="C1686" s="24"/>
      <c r="D1686" s="312"/>
      <c r="E1686" s="312"/>
      <c r="G1686" s="47"/>
      <c r="H1686" s="24"/>
      <c r="I1686" s="312"/>
      <c r="J1686" s="312"/>
      <c r="L1686" s="47"/>
      <c r="M1686" s="24"/>
      <c r="N1686" s="312"/>
      <c r="O1686" s="312"/>
      <c r="Q1686" s="49"/>
      <c r="R1686" s="137" t="s">
        <v>2138</v>
      </c>
      <c r="S1686" s="25" t="s">
        <v>7</v>
      </c>
      <c r="T1686" s="156">
        <v>13743.42</v>
      </c>
      <c r="U1686" s="156">
        <v>0</v>
      </c>
    </row>
    <row r="1687" spans="2:21" x14ac:dyDescent="0.3">
      <c r="B1687" s="47"/>
      <c r="C1687" s="24"/>
      <c r="D1687" s="312"/>
      <c r="E1687" s="312"/>
      <c r="G1687" s="47"/>
      <c r="H1687" s="24"/>
      <c r="I1687" s="312"/>
      <c r="J1687" s="312"/>
      <c r="L1687" s="47"/>
      <c r="M1687" s="24"/>
      <c r="N1687" s="312"/>
      <c r="O1687" s="312"/>
      <c r="Q1687" s="244">
        <v>70220009</v>
      </c>
      <c r="R1687" s="245"/>
      <c r="S1687" s="246" t="s">
        <v>1113</v>
      </c>
      <c r="T1687" s="247">
        <v>0</v>
      </c>
      <c r="U1687" s="247">
        <v>0</v>
      </c>
    </row>
    <row r="1688" spans="2:21" x14ac:dyDescent="0.3">
      <c r="B1688" s="47"/>
      <c r="C1688" s="24"/>
      <c r="D1688" s="312"/>
      <c r="E1688" s="312"/>
      <c r="G1688" s="47"/>
      <c r="H1688" s="24"/>
      <c r="I1688" s="312"/>
      <c r="J1688" s="312"/>
      <c r="L1688" s="47"/>
      <c r="M1688" s="24"/>
      <c r="N1688" s="312"/>
      <c r="O1688" s="312"/>
      <c r="Q1688" s="244">
        <v>70220010</v>
      </c>
      <c r="R1688" s="245"/>
      <c r="S1688" s="246" t="s">
        <v>1114</v>
      </c>
      <c r="T1688" s="247">
        <v>0</v>
      </c>
      <c r="U1688" s="247">
        <v>0</v>
      </c>
    </row>
    <row r="1689" spans="2:21" x14ac:dyDescent="0.3">
      <c r="B1689" s="47"/>
      <c r="C1689" s="24"/>
      <c r="D1689" s="312"/>
      <c r="E1689" s="312"/>
      <c r="G1689" s="47"/>
      <c r="H1689" s="24"/>
      <c r="I1689" s="312"/>
      <c r="J1689" s="312"/>
      <c r="L1689" s="47"/>
      <c r="M1689" s="24"/>
      <c r="N1689" s="312"/>
      <c r="O1689" s="312"/>
      <c r="Q1689" s="244">
        <v>70220011</v>
      </c>
      <c r="R1689" s="245"/>
      <c r="S1689" s="246" t="s">
        <v>1115</v>
      </c>
      <c r="T1689" s="247">
        <v>0</v>
      </c>
      <c r="U1689" s="247">
        <v>0</v>
      </c>
    </row>
    <row r="1690" spans="2:21" x14ac:dyDescent="0.3">
      <c r="B1690" s="47"/>
      <c r="C1690" s="24"/>
      <c r="D1690" s="312"/>
      <c r="E1690" s="312"/>
      <c r="G1690" s="47"/>
      <c r="H1690" s="24"/>
      <c r="I1690" s="312"/>
      <c r="J1690" s="312"/>
      <c r="L1690" s="47"/>
      <c r="M1690" s="24"/>
      <c r="N1690" s="312"/>
      <c r="O1690" s="312"/>
      <c r="Q1690" s="244">
        <v>70220012</v>
      </c>
      <c r="R1690" s="245"/>
      <c r="S1690" s="246" t="s">
        <v>1116</v>
      </c>
      <c r="T1690" s="247">
        <v>0</v>
      </c>
      <c r="U1690" s="247">
        <v>0</v>
      </c>
    </row>
    <row r="1691" spans="2:21" x14ac:dyDescent="0.3">
      <c r="B1691" s="47"/>
      <c r="C1691" s="24"/>
      <c r="D1691" s="312"/>
      <c r="E1691" s="312"/>
      <c r="G1691" s="47"/>
      <c r="H1691" s="24"/>
      <c r="I1691" s="312"/>
      <c r="J1691" s="312"/>
      <c r="L1691" s="47"/>
      <c r="M1691" s="24"/>
      <c r="N1691" s="312"/>
      <c r="O1691" s="312"/>
      <c r="Q1691" s="244">
        <v>70220013</v>
      </c>
      <c r="R1691" s="245"/>
      <c r="S1691" s="246" t="s">
        <v>1139</v>
      </c>
      <c r="T1691" s="247">
        <v>0</v>
      </c>
      <c r="U1691" s="247">
        <v>0</v>
      </c>
    </row>
    <row r="1692" spans="2:21" x14ac:dyDescent="0.3">
      <c r="B1692" s="47"/>
      <c r="C1692" s="24"/>
      <c r="D1692" s="312"/>
      <c r="E1692" s="312"/>
      <c r="G1692" s="47"/>
      <c r="H1692" s="24"/>
      <c r="I1692" s="312"/>
      <c r="J1692" s="312"/>
      <c r="L1692" s="47"/>
      <c r="M1692" s="24"/>
      <c r="N1692" s="312"/>
      <c r="O1692" s="312"/>
      <c r="Q1692" s="244">
        <v>70220014</v>
      </c>
      <c r="R1692" s="245"/>
      <c r="S1692" s="246" t="s">
        <v>1140</v>
      </c>
      <c r="T1692" s="247">
        <v>0</v>
      </c>
      <c r="U1692" s="247">
        <v>0</v>
      </c>
    </row>
    <row r="1693" spans="2:21" x14ac:dyDescent="0.3">
      <c r="B1693" s="47"/>
      <c r="C1693" s="24"/>
      <c r="D1693" s="312"/>
      <c r="E1693" s="312"/>
      <c r="G1693" s="47"/>
      <c r="H1693" s="24"/>
      <c r="I1693" s="312"/>
      <c r="J1693" s="312"/>
      <c r="L1693" s="47"/>
      <c r="M1693" s="24"/>
      <c r="N1693" s="312"/>
      <c r="O1693" s="312"/>
      <c r="Q1693" s="244">
        <v>70220015</v>
      </c>
      <c r="R1693" s="245"/>
      <c r="S1693" s="246" t="s">
        <v>1134</v>
      </c>
      <c r="T1693" s="239">
        <f>SUM(T1694)-SUM(U1694)</f>
        <v>14450</v>
      </c>
      <c r="U1693" s="240">
        <v>0</v>
      </c>
    </row>
    <row r="1694" spans="2:21" x14ac:dyDescent="0.3">
      <c r="B1694" s="47"/>
      <c r="C1694" s="24"/>
      <c r="D1694" s="312"/>
      <c r="E1694" s="312"/>
      <c r="G1694" s="47"/>
      <c r="H1694" s="24"/>
      <c r="I1694" s="312"/>
      <c r="J1694" s="312"/>
      <c r="L1694" s="47"/>
      <c r="M1694" s="24"/>
      <c r="N1694" s="312"/>
      <c r="O1694" s="312"/>
      <c r="Q1694" s="49"/>
      <c r="R1694" s="137" t="s">
        <v>2138</v>
      </c>
      <c r="S1694" s="25" t="s">
        <v>7</v>
      </c>
      <c r="T1694" s="156">
        <v>14450</v>
      </c>
      <c r="U1694" s="156">
        <v>0</v>
      </c>
    </row>
    <row r="1695" spans="2:21" x14ac:dyDescent="0.3">
      <c r="B1695" s="47"/>
      <c r="C1695" s="24"/>
      <c r="D1695" s="312"/>
      <c r="E1695" s="312"/>
      <c r="G1695" s="47"/>
      <c r="H1695" s="24"/>
      <c r="I1695" s="312"/>
      <c r="J1695" s="312"/>
      <c r="L1695" s="47"/>
      <c r="M1695" s="24"/>
      <c r="N1695" s="312"/>
      <c r="O1695" s="312"/>
      <c r="Q1695" s="244">
        <v>70220016</v>
      </c>
      <c r="R1695" s="245"/>
      <c r="S1695" s="246" t="s">
        <v>1135</v>
      </c>
      <c r="T1695" s="247">
        <v>0</v>
      </c>
      <c r="U1695" s="247">
        <v>0</v>
      </c>
    </row>
    <row r="1696" spans="2:21" x14ac:dyDescent="0.3">
      <c r="B1696" s="47"/>
      <c r="C1696" s="24"/>
      <c r="D1696" s="312"/>
      <c r="E1696" s="312"/>
      <c r="G1696" s="47"/>
      <c r="H1696" s="24"/>
      <c r="I1696" s="312"/>
      <c r="J1696" s="312"/>
      <c r="L1696" s="47"/>
      <c r="M1696" s="24"/>
      <c r="N1696" s="312"/>
      <c r="O1696" s="312"/>
      <c r="Q1696" s="244">
        <v>70220017</v>
      </c>
      <c r="R1696" s="245"/>
      <c r="S1696" s="246" t="s">
        <v>917</v>
      </c>
      <c r="T1696" s="239">
        <f>SUM(T1697)-SUM(U1697)</f>
        <v>18906</v>
      </c>
      <c r="U1696" s="240">
        <v>0</v>
      </c>
    </row>
    <row r="1697" spans="2:21" x14ac:dyDescent="0.3">
      <c r="B1697" s="47"/>
      <c r="C1697" s="24"/>
      <c r="D1697" s="312"/>
      <c r="E1697" s="312"/>
      <c r="G1697" s="47"/>
      <c r="H1697" s="24"/>
      <c r="I1697" s="312"/>
      <c r="J1697" s="312"/>
      <c r="L1697" s="47"/>
      <c r="M1697" s="24"/>
      <c r="N1697" s="312"/>
      <c r="O1697" s="312"/>
      <c r="Q1697" s="49"/>
      <c r="R1697" s="137" t="s">
        <v>2138</v>
      </c>
      <c r="S1697" s="25" t="s">
        <v>7</v>
      </c>
      <c r="T1697" s="156">
        <v>18906</v>
      </c>
      <c r="U1697" s="156">
        <v>0</v>
      </c>
    </row>
    <row r="1698" spans="2:21" x14ac:dyDescent="0.3">
      <c r="B1698" s="47"/>
      <c r="C1698" s="24"/>
      <c r="D1698" s="312"/>
      <c r="E1698" s="312"/>
      <c r="G1698" s="47"/>
      <c r="H1698" s="24"/>
      <c r="I1698" s="312"/>
      <c r="J1698" s="312"/>
      <c r="L1698" s="47"/>
      <c r="M1698" s="24"/>
      <c r="N1698" s="312"/>
      <c r="O1698" s="312"/>
      <c r="Q1698" s="244">
        <v>70220018</v>
      </c>
      <c r="R1698" s="245"/>
      <c r="S1698" s="246" t="s">
        <v>2103</v>
      </c>
      <c r="T1698" s="247">
        <v>0</v>
      </c>
      <c r="U1698" s="247">
        <v>0</v>
      </c>
    </row>
    <row r="1699" spans="2:21" x14ac:dyDescent="0.3">
      <c r="B1699" s="47"/>
      <c r="C1699" s="24"/>
      <c r="D1699" s="312"/>
      <c r="E1699" s="312"/>
      <c r="G1699" s="47"/>
      <c r="H1699" s="24"/>
      <c r="I1699" s="312"/>
      <c r="J1699" s="312"/>
      <c r="L1699" s="47"/>
      <c r="M1699" s="24"/>
      <c r="N1699" s="312"/>
      <c r="O1699" s="312"/>
      <c r="Q1699" s="244">
        <v>70220019</v>
      </c>
      <c r="R1699" s="245"/>
      <c r="S1699" s="246" t="s">
        <v>2104</v>
      </c>
      <c r="T1699" s="247">
        <v>0</v>
      </c>
      <c r="U1699" s="247">
        <v>0</v>
      </c>
    </row>
    <row r="1700" spans="2:21" s="338" customFormat="1" x14ac:dyDescent="0.3">
      <c r="B1700" s="335"/>
      <c r="C1700" s="336"/>
      <c r="D1700" s="337"/>
      <c r="E1700" s="337"/>
      <c r="G1700" s="335"/>
      <c r="H1700" s="336"/>
      <c r="I1700" s="337"/>
      <c r="J1700" s="337"/>
      <c r="L1700" s="335"/>
      <c r="M1700" s="336"/>
      <c r="N1700" s="337"/>
      <c r="O1700" s="337"/>
      <c r="Q1700" s="339">
        <v>70220020</v>
      </c>
      <c r="R1700" s="340"/>
      <c r="S1700" s="341" t="s">
        <v>1167</v>
      </c>
      <c r="T1700" s="342">
        <v>0</v>
      </c>
      <c r="U1700" s="342">
        <v>0</v>
      </c>
    </row>
    <row r="1701" spans="2:21" x14ac:dyDescent="0.3">
      <c r="B1701" s="47"/>
      <c r="C1701" s="24"/>
      <c r="D1701" s="312"/>
      <c r="E1701" s="312"/>
      <c r="G1701" s="47"/>
      <c r="H1701" s="24"/>
      <c r="I1701" s="312"/>
      <c r="J1701" s="312"/>
      <c r="L1701" s="47"/>
      <c r="M1701" s="24"/>
      <c r="N1701" s="312"/>
      <c r="O1701" s="312"/>
      <c r="Q1701" s="47"/>
      <c r="R1701" s="136"/>
      <c r="S1701" s="24"/>
      <c r="T1701" s="155"/>
      <c r="U1701" s="155"/>
    </row>
    <row r="1702" spans="2:21" x14ac:dyDescent="0.3">
      <c r="B1702" s="47"/>
      <c r="C1702" s="24"/>
      <c r="D1702" s="312"/>
      <c r="E1702" s="312"/>
      <c r="G1702" s="47"/>
      <c r="H1702" s="24"/>
      <c r="I1702" s="312"/>
      <c r="J1702" s="312"/>
      <c r="K1702">
        <v>7023</v>
      </c>
      <c r="L1702" s="241">
        <v>7023</v>
      </c>
      <c r="M1702" s="243" t="s">
        <v>922</v>
      </c>
      <c r="N1702" s="314">
        <f>T1702</f>
        <v>0</v>
      </c>
      <c r="O1702" s="314">
        <v>0</v>
      </c>
      <c r="Q1702" s="241">
        <v>70230001</v>
      </c>
      <c r="R1702" s="242"/>
      <c r="S1702" s="243" t="s">
        <v>922</v>
      </c>
      <c r="T1702" s="240">
        <v>0</v>
      </c>
      <c r="U1702" s="240">
        <v>0</v>
      </c>
    </row>
    <row r="1703" spans="2:21" x14ac:dyDescent="0.3">
      <c r="B1703" s="47"/>
      <c r="C1703" s="24"/>
      <c r="D1703" s="312"/>
      <c r="E1703" s="312"/>
      <c r="G1703" s="47"/>
      <c r="H1703" s="24"/>
      <c r="I1703" s="312"/>
      <c r="J1703" s="312"/>
      <c r="L1703" s="47"/>
      <c r="M1703" s="24"/>
      <c r="N1703" s="312"/>
      <c r="O1703" s="312"/>
      <c r="Q1703" s="47"/>
      <c r="R1703" s="136"/>
      <c r="S1703" s="24"/>
      <c r="T1703" s="155"/>
      <c r="U1703" s="155"/>
    </row>
    <row r="1704" spans="2:21" s="338" customFormat="1" x14ac:dyDescent="0.3">
      <c r="B1704" s="335"/>
      <c r="C1704" s="336"/>
      <c r="D1704" s="337"/>
      <c r="E1704" s="337"/>
      <c r="G1704" s="335"/>
      <c r="H1704" s="336"/>
      <c r="I1704" s="337"/>
      <c r="J1704" s="337"/>
      <c r="K1704" s="338">
        <v>7024</v>
      </c>
      <c r="L1704" s="339">
        <v>7024</v>
      </c>
      <c r="M1704" s="341" t="s">
        <v>920</v>
      </c>
      <c r="N1704" s="343">
        <f>T1704+T1706+T1707</f>
        <v>148988136</v>
      </c>
      <c r="O1704" s="343">
        <v>0</v>
      </c>
      <c r="Q1704" s="339">
        <v>70240001</v>
      </c>
      <c r="R1704" s="340"/>
      <c r="S1704" s="341" t="s">
        <v>1161</v>
      </c>
      <c r="T1704" s="344">
        <f>SUM(T1705)-SUM(U1705)</f>
        <v>148988136</v>
      </c>
      <c r="U1704" s="342">
        <v>0</v>
      </c>
    </row>
    <row r="1705" spans="2:21" x14ac:dyDescent="0.3">
      <c r="B1705" s="47"/>
      <c r="C1705" s="24"/>
      <c r="D1705" s="312"/>
      <c r="E1705" s="312"/>
      <c r="G1705" s="47"/>
      <c r="H1705" s="24"/>
      <c r="I1705" s="312"/>
      <c r="J1705" s="312"/>
      <c r="L1705" s="47"/>
      <c r="M1705" s="24"/>
      <c r="N1705" s="312"/>
      <c r="O1705" s="312"/>
      <c r="Q1705" s="47"/>
      <c r="R1705" s="136" t="s">
        <v>2138</v>
      </c>
      <c r="S1705" s="24" t="s">
        <v>7</v>
      </c>
      <c r="T1705" s="155">
        <v>148988136</v>
      </c>
      <c r="U1705" s="155">
        <v>0</v>
      </c>
    </row>
    <row r="1706" spans="2:21" x14ac:dyDescent="0.3">
      <c r="B1706" s="47"/>
      <c r="C1706" s="24"/>
      <c r="D1706" s="312"/>
      <c r="E1706" s="312"/>
      <c r="G1706" s="47"/>
      <c r="H1706" s="24"/>
      <c r="I1706" s="312"/>
      <c r="J1706" s="312"/>
      <c r="L1706" s="47"/>
      <c r="M1706" s="24"/>
      <c r="N1706" s="312"/>
      <c r="O1706" s="312"/>
      <c r="Q1706" s="241">
        <v>70240002</v>
      </c>
      <c r="R1706" s="242"/>
      <c r="S1706" s="243" t="s">
        <v>1162</v>
      </c>
      <c r="T1706" s="240">
        <v>0</v>
      </c>
      <c r="U1706" s="240">
        <v>0</v>
      </c>
    </row>
    <row r="1707" spans="2:21" x14ac:dyDescent="0.3">
      <c r="B1707" s="47"/>
      <c r="C1707" s="24"/>
      <c r="D1707" s="312"/>
      <c r="E1707" s="312"/>
      <c r="G1707" s="47"/>
      <c r="H1707" s="24"/>
      <c r="I1707" s="312"/>
      <c r="J1707" s="312"/>
      <c r="L1707" s="47"/>
      <c r="M1707" s="24"/>
      <c r="N1707" s="312"/>
      <c r="O1707" s="312"/>
      <c r="Q1707" s="241">
        <v>70240003</v>
      </c>
      <c r="R1707" s="242"/>
      <c r="S1707" s="243" t="s">
        <v>1163</v>
      </c>
      <c r="T1707" s="240">
        <v>0</v>
      </c>
      <c r="U1707" s="240">
        <v>0</v>
      </c>
    </row>
    <row r="1708" spans="2:21" x14ac:dyDescent="0.3">
      <c r="B1708" s="47"/>
      <c r="C1708" s="24"/>
      <c r="D1708" s="312"/>
      <c r="E1708" s="312"/>
      <c r="G1708" s="47"/>
      <c r="H1708" s="24"/>
      <c r="I1708" s="312"/>
      <c r="J1708" s="312"/>
      <c r="L1708" s="47"/>
      <c r="M1708" s="24"/>
      <c r="N1708" s="312"/>
      <c r="O1708" s="312"/>
      <c r="Q1708" s="47"/>
      <c r="R1708" s="136"/>
      <c r="S1708" s="24"/>
      <c r="T1708" s="155"/>
      <c r="U1708" s="155"/>
    </row>
    <row r="1709" spans="2:21" x14ac:dyDescent="0.3">
      <c r="B1709" s="47"/>
      <c r="C1709" s="24"/>
      <c r="D1709" s="312"/>
      <c r="E1709" s="312"/>
      <c r="G1709" s="47"/>
      <c r="H1709" s="24"/>
      <c r="I1709" s="312"/>
      <c r="J1709" s="312"/>
      <c r="K1709">
        <v>7025</v>
      </c>
      <c r="L1709" s="241">
        <v>7025</v>
      </c>
      <c r="M1709" s="243" t="s">
        <v>923</v>
      </c>
      <c r="N1709" s="314">
        <f>T1709</f>
        <v>0</v>
      </c>
      <c r="O1709" s="314">
        <v>0</v>
      </c>
      <c r="Q1709" s="241">
        <v>70250001</v>
      </c>
      <c r="R1709" s="242"/>
      <c r="S1709" s="243" t="s">
        <v>1168</v>
      </c>
      <c r="T1709" s="240">
        <v>0</v>
      </c>
      <c r="U1709" s="240">
        <v>0</v>
      </c>
    </row>
    <row r="1710" spans="2:21" x14ac:dyDescent="0.3">
      <c r="B1710" s="47"/>
      <c r="C1710" s="24"/>
      <c r="D1710" s="312"/>
      <c r="E1710" s="312"/>
      <c r="G1710" s="47"/>
      <c r="H1710" s="24"/>
      <c r="I1710" s="312"/>
      <c r="J1710" s="312"/>
      <c r="L1710" s="47"/>
      <c r="M1710" s="24"/>
      <c r="N1710" s="312"/>
      <c r="O1710" s="312"/>
      <c r="Q1710" s="47"/>
      <c r="R1710" s="136"/>
      <c r="S1710" s="24"/>
      <c r="T1710" s="155"/>
      <c r="U1710" s="155"/>
    </row>
    <row r="1711" spans="2:21" x14ac:dyDescent="0.3">
      <c r="B1711" s="47"/>
      <c r="C1711" s="24"/>
      <c r="D1711" s="312"/>
      <c r="E1711" s="312"/>
      <c r="G1711" s="47"/>
      <c r="H1711" s="24"/>
      <c r="I1711" s="312"/>
      <c r="J1711" s="312"/>
      <c r="L1711" s="47"/>
      <c r="M1711" s="249"/>
      <c r="N1711" s="312"/>
      <c r="O1711" s="312"/>
      <c r="Q1711" s="47"/>
      <c r="R1711" s="47"/>
      <c r="S1711" s="24"/>
      <c r="T1711" s="157"/>
      <c r="U1711" s="250"/>
    </row>
    <row r="1712" spans="2:21" x14ac:dyDescent="0.3">
      <c r="B1712" s="47"/>
      <c r="C1712" s="24"/>
      <c r="D1712" s="312"/>
      <c r="E1712" s="312"/>
      <c r="F1712">
        <v>80</v>
      </c>
      <c r="G1712" s="241">
        <v>80</v>
      </c>
      <c r="H1712" s="243" t="s">
        <v>2105</v>
      </c>
      <c r="I1712" s="314">
        <f>N1712+N2063+N2115+N2266+N2384+N2477+N2559+N2566+N2634+N2639+N2643+N2822+N2974+N2977+N2979+N3147+N3149+N3157+N3253+N3332+N3338+N3466+N3468+N3472+N3383</f>
        <v>833101031.55000007</v>
      </c>
      <c r="J1712" s="314">
        <v>0</v>
      </c>
      <c r="K1712">
        <v>8001</v>
      </c>
      <c r="L1712" s="241">
        <v>8001</v>
      </c>
      <c r="M1712" s="243" t="s">
        <v>2106</v>
      </c>
      <c r="N1712" s="314">
        <f>T1712+T1755+T1756+T1798+T1824+T1867+T1871+T1876+T1889+T1932+T1973+T2015+T2030+T2031+T2032+T2033</f>
        <v>174088952</v>
      </c>
      <c r="O1712" s="314">
        <v>0</v>
      </c>
      <c r="Q1712" s="241">
        <v>80010001</v>
      </c>
      <c r="R1712" s="242"/>
      <c r="S1712" s="246" t="s">
        <v>1064</v>
      </c>
      <c r="T1712" s="239">
        <f>SUM(T1713:T1754)-SUM(U1713:U1754)</f>
        <v>119243624</v>
      </c>
      <c r="U1712" s="240">
        <v>0</v>
      </c>
    </row>
    <row r="1713" spans="2:21" x14ac:dyDescent="0.3">
      <c r="B1713" s="47"/>
      <c r="C1713" s="24"/>
      <c r="D1713" s="312"/>
      <c r="E1713" s="312"/>
      <c r="G1713" s="47"/>
      <c r="H1713" s="24"/>
      <c r="I1713" s="312"/>
      <c r="J1713" s="312"/>
      <c r="L1713" s="47"/>
      <c r="M1713" s="24"/>
      <c r="N1713" s="312"/>
      <c r="O1713" s="312"/>
      <c r="Q1713" s="47"/>
      <c r="R1713" s="136" t="s">
        <v>1931</v>
      </c>
      <c r="S1713" s="25" t="s">
        <v>1932</v>
      </c>
      <c r="T1713" s="155">
        <v>2268000</v>
      </c>
      <c r="U1713" s="155">
        <v>0</v>
      </c>
    </row>
    <row r="1714" spans="2:21" x14ac:dyDescent="0.3">
      <c r="B1714" s="47"/>
      <c r="C1714" s="24"/>
      <c r="D1714" s="312"/>
      <c r="E1714" s="312"/>
      <c r="G1714" s="47"/>
      <c r="H1714" s="24"/>
      <c r="I1714" s="312"/>
      <c r="J1714" s="312"/>
      <c r="L1714" s="47"/>
      <c r="M1714" s="24"/>
      <c r="N1714" s="312"/>
      <c r="O1714" s="312"/>
      <c r="Q1714" s="47"/>
      <c r="R1714" s="136" t="s">
        <v>1934</v>
      </c>
      <c r="S1714" s="25" t="s">
        <v>2196</v>
      </c>
      <c r="T1714" s="155">
        <v>260000</v>
      </c>
      <c r="U1714" s="155">
        <v>0</v>
      </c>
    </row>
    <row r="1715" spans="2:21" x14ac:dyDescent="0.3">
      <c r="B1715" s="47"/>
      <c r="C1715" s="24"/>
      <c r="D1715" s="312"/>
      <c r="E1715" s="312"/>
      <c r="G1715" s="47"/>
      <c r="H1715" s="24"/>
      <c r="I1715" s="312"/>
      <c r="J1715" s="312"/>
      <c r="L1715" s="47"/>
      <c r="M1715" s="24"/>
      <c r="N1715" s="312"/>
      <c r="O1715" s="312"/>
      <c r="Q1715" s="47"/>
      <c r="R1715" s="136" t="s">
        <v>2154</v>
      </c>
      <c r="S1715" s="25" t="s">
        <v>2155</v>
      </c>
      <c r="T1715" s="155">
        <v>4842000</v>
      </c>
      <c r="U1715" s="155">
        <v>0</v>
      </c>
    </row>
    <row r="1716" spans="2:21" x14ac:dyDescent="0.3">
      <c r="B1716" s="47"/>
      <c r="C1716" s="24"/>
      <c r="D1716" s="312"/>
      <c r="E1716" s="312"/>
      <c r="G1716" s="47"/>
      <c r="H1716" s="24"/>
      <c r="I1716" s="312"/>
      <c r="J1716" s="312"/>
      <c r="L1716" s="47"/>
      <c r="M1716" s="24"/>
      <c r="N1716" s="312"/>
      <c r="O1716" s="312"/>
      <c r="Q1716" s="47"/>
      <c r="R1716" s="136" t="s">
        <v>2156</v>
      </c>
      <c r="S1716" s="25" t="s">
        <v>2157</v>
      </c>
      <c r="T1716" s="155">
        <v>13385388</v>
      </c>
      <c r="U1716" s="155">
        <v>0</v>
      </c>
    </row>
    <row r="1717" spans="2:21" x14ac:dyDescent="0.3">
      <c r="B1717" s="47"/>
      <c r="C1717" s="24"/>
      <c r="D1717" s="312"/>
      <c r="E1717" s="312"/>
      <c r="G1717" s="47"/>
      <c r="H1717" s="24"/>
      <c r="I1717" s="312"/>
      <c r="J1717" s="312"/>
      <c r="L1717" s="47"/>
      <c r="M1717" s="24"/>
      <c r="N1717" s="312"/>
      <c r="O1717" s="312"/>
      <c r="Q1717" s="47"/>
      <c r="R1717" s="136" t="s">
        <v>2199</v>
      </c>
      <c r="S1717" s="25" t="s">
        <v>2200</v>
      </c>
      <c r="T1717" s="155">
        <v>5478200</v>
      </c>
      <c r="U1717" s="155">
        <v>0</v>
      </c>
    </row>
    <row r="1718" spans="2:21" x14ac:dyDescent="0.3">
      <c r="B1718" s="47"/>
      <c r="C1718" s="24"/>
      <c r="D1718" s="312"/>
      <c r="E1718" s="312"/>
      <c r="G1718" s="47"/>
      <c r="H1718" s="24"/>
      <c r="I1718" s="312"/>
      <c r="J1718" s="312"/>
      <c r="L1718" s="47"/>
      <c r="M1718" s="24"/>
      <c r="N1718" s="312"/>
      <c r="O1718" s="312"/>
      <c r="Q1718" s="47"/>
      <c r="R1718" s="136" t="s">
        <v>2201</v>
      </c>
      <c r="S1718" s="25" t="s">
        <v>2202</v>
      </c>
      <c r="T1718" s="155">
        <v>3798000</v>
      </c>
      <c r="U1718" s="155">
        <v>0</v>
      </c>
    </row>
    <row r="1719" spans="2:21" x14ac:dyDescent="0.3">
      <c r="B1719" s="47"/>
      <c r="C1719" s="24"/>
      <c r="D1719" s="312"/>
      <c r="E1719" s="312"/>
      <c r="G1719" s="47"/>
      <c r="H1719" s="24"/>
      <c r="I1719" s="312"/>
      <c r="J1719" s="312"/>
      <c r="L1719" s="47"/>
      <c r="M1719" s="24"/>
      <c r="N1719" s="312"/>
      <c r="O1719" s="312"/>
      <c r="Q1719" s="47"/>
      <c r="R1719" s="136" t="s">
        <v>2203</v>
      </c>
      <c r="S1719" s="25" t="s">
        <v>2204</v>
      </c>
      <c r="T1719" s="155">
        <v>1877000</v>
      </c>
      <c r="U1719" s="155">
        <v>0</v>
      </c>
    </row>
    <row r="1720" spans="2:21" x14ac:dyDescent="0.3">
      <c r="B1720" s="47"/>
      <c r="C1720" s="24"/>
      <c r="D1720" s="312"/>
      <c r="E1720" s="312"/>
      <c r="G1720" s="47"/>
      <c r="H1720" s="24"/>
      <c r="I1720" s="312"/>
      <c r="J1720" s="312"/>
      <c r="L1720" s="47"/>
      <c r="M1720" s="24"/>
      <c r="N1720" s="312"/>
      <c r="O1720" s="312"/>
      <c r="Q1720" s="47"/>
      <c r="R1720" s="136" t="s">
        <v>2205</v>
      </c>
      <c r="S1720" s="25" t="s">
        <v>2206</v>
      </c>
      <c r="T1720" s="155">
        <v>3492000</v>
      </c>
      <c r="U1720" s="155">
        <v>0</v>
      </c>
    </row>
    <row r="1721" spans="2:21" x14ac:dyDescent="0.3">
      <c r="B1721" s="47"/>
      <c r="C1721" s="24"/>
      <c r="D1721" s="312"/>
      <c r="E1721" s="312"/>
      <c r="G1721" s="47"/>
      <c r="H1721" s="24"/>
      <c r="I1721" s="312"/>
      <c r="J1721" s="312"/>
      <c r="L1721" s="47"/>
      <c r="M1721" s="24"/>
      <c r="N1721" s="312"/>
      <c r="O1721" s="312"/>
      <c r="Q1721" s="47"/>
      <c r="R1721" s="136" t="s">
        <v>2207</v>
      </c>
      <c r="S1721" s="25" t="s">
        <v>2208</v>
      </c>
      <c r="T1721" s="155">
        <v>3531000</v>
      </c>
      <c r="U1721" s="155">
        <v>0</v>
      </c>
    </row>
    <row r="1722" spans="2:21" x14ac:dyDescent="0.3">
      <c r="B1722" s="47"/>
      <c r="C1722" s="24"/>
      <c r="D1722" s="312"/>
      <c r="E1722" s="312"/>
      <c r="G1722" s="47"/>
      <c r="H1722" s="24"/>
      <c r="I1722" s="312"/>
      <c r="J1722" s="312"/>
      <c r="L1722" s="47"/>
      <c r="M1722" s="24"/>
      <c r="N1722" s="312"/>
      <c r="O1722" s="312"/>
      <c r="Q1722" s="47"/>
      <c r="R1722" s="136" t="s">
        <v>2209</v>
      </c>
      <c r="S1722" s="25" t="s">
        <v>2210</v>
      </c>
      <c r="T1722" s="155">
        <v>3939000</v>
      </c>
      <c r="U1722" s="155">
        <v>0</v>
      </c>
    </row>
    <row r="1723" spans="2:21" x14ac:dyDescent="0.3">
      <c r="B1723" s="47"/>
      <c r="C1723" s="24"/>
      <c r="D1723" s="312"/>
      <c r="E1723" s="312"/>
      <c r="G1723" s="47"/>
      <c r="H1723" s="24"/>
      <c r="I1723" s="312"/>
      <c r="J1723" s="312"/>
      <c r="L1723" s="47"/>
      <c r="M1723" s="24"/>
      <c r="N1723" s="312"/>
      <c r="O1723" s="312"/>
      <c r="Q1723" s="47"/>
      <c r="R1723" s="136" t="s">
        <v>2340</v>
      </c>
      <c r="S1723" s="25" t="s">
        <v>2159</v>
      </c>
      <c r="T1723" s="155">
        <v>5537000</v>
      </c>
      <c r="U1723" s="155">
        <v>0</v>
      </c>
    </row>
    <row r="1724" spans="2:21" x14ac:dyDescent="0.3">
      <c r="B1724" s="47"/>
      <c r="C1724" s="24"/>
      <c r="D1724" s="312"/>
      <c r="E1724" s="312"/>
      <c r="G1724" s="47"/>
      <c r="H1724" s="24"/>
      <c r="I1724" s="312"/>
      <c r="J1724" s="312"/>
      <c r="L1724" s="47"/>
      <c r="M1724" s="24"/>
      <c r="N1724" s="312"/>
      <c r="O1724" s="312"/>
      <c r="Q1724" s="47"/>
      <c r="R1724" s="136" t="s">
        <v>2160</v>
      </c>
      <c r="S1724" s="25" t="s">
        <v>2161</v>
      </c>
      <c r="T1724" s="155">
        <v>2916000</v>
      </c>
      <c r="U1724" s="155">
        <v>0</v>
      </c>
    </row>
    <row r="1725" spans="2:21" x14ac:dyDescent="0.3">
      <c r="B1725" s="47"/>
      <c r="C1725" s="24"/>
      <c r="D1725" s="312"/>
      <c r="E1725" s="312"/>
      <c r="G1725" s="47"/>
      <c r="H1725" s="24"/>
      <c r="I1725" s="312"/>
      <c r="J1725" s="312"/>
      <c r="L1725" s="47"/>
      <c r="M1725" s="24"/>
      <c r="N1725" s="312"/>
      <c r="O1725" s="312"/>
      <c r="Q1725" s="47"/>
      <c r="R1725" s="136" t="s">
        <v>2162</v>
      </c>
      <c r="S1725" s="25" t="s">
        <v>2163</v>
      </c>
      <c r="T1725" s="155">
        <v>3299000</v>
      </c>
      <c r="U1725" s="155">
        <v>0</v>
      </c>
    </row>
    <row r="1726" spans="2:21" x14ac:dyDescent="0.3">
      <c r="B1726" s="47"/>
      <c r="C1726" s="24"/>
      <c r="D1726" s="312"/>
      <c r="E1726" s="312"/>
      <c r="G1726" s="47"/>
      <c r="H1726" s="24"/>
      <c r="I1726" s="312"/>
      <c r="J1726" s="312"/>
      <c r="L1726" s="47"/>
      <c r="M1726" s="24"/>
      <c r="N1726" s="312"/>
      <c r="O1726" s="312"/>
      <c r="Q1726" s="47"/>
      <c r="R1726" s="136" t="s">
        <v>2165</v>
      </c>
      <c r="S1726" s="25" t="s">
        <v>2166</v>
      </c>
      <c r="T1726" s="155">
        <v>2022000</v>
      </c>
      <c r="U1726" s="155">
        <v>0</v>
      </c>
    </row>
    <row r="1727" spans="2:21" x14ac:dyDescent="0.3">
      <c r="B1727" s="47"/>
      <c r="C1727" s="24"/>
      <c r="D1727" s="312"/>
      <c r="E1727" s="312"/>
      <c r="G1727" s="47"/>
      <c r="H1727" s="24"/>
      <c r="I1727" s="312"/>
      <c r="J1727" s="312"/>
      <c r="L1727" s="47"/>
      <c r="M1727" s="24"/>
      <c r="N1727" s="312"/>
      <c r="O1727" s="312"/>
      <c r="Q1727" s="47"/>
      <c r="R1727" s="136" t="s">
        <v>2168</v>
      </c>
      <c r="S1727" s="25" t="s">
        <v>2169</v>
      </c>
      <c r="T1727" s="155">
        <v>1644000</v>
      </c>
      <c r="U1727" s="155">
        <v>0</v>
      </c>
    </row>
    <row r="1728" spans="2:21" x14ac:dyDescent="0.3">
      <c r="B1728" s="47"/>
      <c r="C1728" s="24"/>
      <c r="D1728" s="312"/>
      <c r="E1728" s="312"/>
      <c r="G1728" s="47"/>
      <c r="H1728" s="24"/>
      <c r="I1728" s="312"/>
      <c r="J1728" s="312"/>
      <c r="L1728" s="47"/>
      <c r="M1728" s="24"/>
      <c r="N1728" s="312"/>
      <c r="O1728" s="312"/>
      <c r="Q1728" s="47"/>
      <c r="R1728" s="136" t="s">
        <v>2168</v>
      </c>
      <c r="S1728" s="25" t="s">
        <v>2169</v>
      </c>
      <c r="T1728" s="155">
        <v>562000</v>
      </c>
      <c r="U1728" s="155">
        <v>0</v>
      </c>
    </row>
    <row r="1729" spans="2:21" x14ac:dyDescent="0.3">
      <c r="B1729" s="47"/>
      <c r="C1729" s="24"/>
      <c r="D1729" s="312"/>
      <c r="E1729" s="312"/>
      <c r="G1729" s="47"/>
      <c r="H1729" s="24"/>
      <c r="I1729" s="312"/>
      <c r="J1729" s="312"/>
      <c r="L1729" s="47"/>
      <c r="M1729" s="24"/>
      <c r="N1729" s="312"/>
      <c r="O1729" s="312"/>
      <c r="Q1729" s="47"/>
      <c r="R1729" s="136" t="s">
        <v>3313</v>
      </c>
      <c r="S1729" s="25" t="s">
        <v>2211</v>
      </c>
      <c r="T1729" s="155">
        <v>3556500</v>
      </c>
      <c r="U1729" s="155">
        <v>0</v>
      </c>
    </row>
    <row r="1730" spans="2:21" x14ac:dyDescent="0.3">
      <c r="B1730" s="47"/>
      <c r="C1730" s="24"/>
      <c r="D1730" s="312"/>
      <c r="E1730" s="312"/>
      <c r="G1730" s="47"/>
      <c r="H1730" s="24"/>
      <c r="I1730" s="312"/>
      <c r="J1730" s="312"/>
      <c r="L1730" s="47"/>
      <c r="M1730" s="24"/>
      <c r="N1730" s="312"/>
      <c r="O1730" s="312"/>
      <c r="Q1730" s="47"/>
      <c r="R1730" s="136" t="s">
        <v>2212</v>
      </c>
      <c r="S1730" s="25" t="s">
        <v>2213</v>
      </c>
      <c r="T1730" s="155">
        <v>1910000</v>
      </c>
      <c r="U1730" s="155">
        <v>0</v>
      </c>
    </row>
    <row r="1731" spans="2:21" x14ac:dyDescent="0.3">
      <c r="B1731" s="47"/>
      <c r="C1731" s="24"/>
      <c r="D1731" s="312"/>
      <c r="E1731" s="312"/>
      <c r="G1731" s="47"/>
      <c r="H1731" s="24"/>
      <c r="I1731" s="312"/>
      <c r="J1731" s="312"/>
      <c r="L1731" s="47"/>
      <c r="M1731" s="24"/>
      <c r="N1731" s="312"/>
      <c r="O1731" s="312"/>
      <c r="Q1731" s="47"/>
      <c r="R1731" s="136" t="s">
        <v>2214</v>
      </c>
      <c r="S1731" s="25" t="s">
        <v>2215</v>
      </c>
      <c r="T1731" s="155">
        <v>2717000</v>
      </c>
      <c r="U1731" s="155">
        <v>0</v>
      </c>
    </row>
    <row r="1732" spans="2:21" x14ac:dyDescent="0.3">
      <c r="B1732" s="47"/>
      <c r="C1732" s="24"/>
      <c r="D1732" s="312"/>
      <c r="E1732" s="312"/>
      <c r="G1732" s="47"/>
      <c r="H1732" s="24"/>
      <c r="I1732" s="312"/>
      <c r="J1732" s="312"/>
      <c r="L1732" s="47"/>
      <c r="M1732" s="24"/>
      <c r="N1732" s="312"/>
      <c r="O1732" s="312"/>
      <c r="Q1732" s="47"/>
      <c r="R1732" s="136" t="s">
        <v>1985</v>
      </c>
      <c r="S1732" s="25" t="s">
        <v>2197</v>
      </c>
      <c r="T1732" s="155">
        <v>352000</v>
      </c>
      <c r="U1732" s="155">
        <v>0</v>
      </c>
    </row>
    <row r="1733" spans="2:21" x14ac:dyDescent="0.3">
      <c r="B1733" s="47"/>
      <c r="C1733" s="24"/>
      <c r="D1733" s="312"/>
      <c r="E1733" s="312"/>
      <c r="G1733" s="47"/>
      <c r="H1733" s="24"/>
      <c r="I1733" s="312"/>
      <c r="J1733" s="312"/>
      <c r="L1733" s="47"/>
      <c r="M1733" s="24"/>
      <c r="N1733" s="312"/>
      <c r="O1733" s="312"/>
      <c r="Q1733" s="47"/>
      <c r="R1733" s="136" t="s">
        <v>1895</v>
      </c>
      <c r="S1733" s="25" t="s">
        <v>2174</v>
      </c>
      <c r="T1733" s="155">
        <v>4793002</v>
      </c>
      <c r="U1733" s="155">
        <v>0</v>
      </c>
    </row>
    <row r="1734" spans="2:21" x14ac:dyDescent="0.3">
      <c r="B1734" s="47"/>
      <c r="C1734" s="24"/>
      <c r="D1734" s="312"/>
      <c r="E1734" s="312"/>
      <c r="G1734" s="47"/>
      <c r="H1734" s="24"/>
      <c r="I1734" s="312"/>
      <c r="J1734" s="312"/>
      <c r="L1734" s="47"/>
      <c r="M1734" s="24"/>
      <c r="N1734" s="312"/>
      <c r="O1734" s="312"/>
      <c r="Q1734" s="47"/>
      <c r="R1734" s="136" t="s">
        <v>2177</v>
      </c>
      <c r="S1734" s="25" t="s">
        <v>2341</v>
      </c>
      <c r="T1734" s="155">
        <v>5835367</v>
      </c>
      <c r="U1734" s="155">
        <v>0</v>
      </c>
    </row>
    <row r="1735" spans="2:21" x14ac:dyDescent="0.3">
      <c r="B1735" s="47"/>
      <c r="C1735" s="24"/>
      <c r="D1735" s="312"/>
      <c r="E1735" s="312"/>
      <c r="G1735" s="47"/>
      <c r="H1735" s="24"/>
      <c r="I1735" s="312"/>
      <c r="J1735" s="312"/>
      <c r="L1735" s="47"/>
      <c r="M1735" s="24"/>
      <c r="N1735" s="312"/>
      <c r="O1735" s="312"/>
      <c r="Q1735" s="47"/>
      <c r="R1735" s="136" t="s">
        <v>2183</v>
      </c>
      <c r="S1735" s="25" t="s">
        <v>2182</v>
      </c>
      <c r="T1735" s="155">
        <v>3744000</v>
      </c>
      <c r="U1735" s="155">
        <v>0</v>
      </c>
    </row>
    <row r="1736" spans="2:21" x14ac:dyDescent="0.3">
      <c r="B1736" s="47"/>
      <c r="C1736" s="24"/>
      <c r="D1736" s="312"/>
      <c r="E1736" s="312"/>
      <c r="G1736" s="47"/>
      <c r="H1736" s="24"/>
      <c r="I1736" s="312"/>
      <c r="J1736" s="312"/>
      <c r="L1736" s="47"/>
      <c r="M1736" s="24"/>
      <c r="N1736" s="312"/>
      <c r="O1736" s="312"/>
      <c r="Q1736" s="47"/>
      <c r="R1736" s="136" t="s">
        <v>2185</v>
      </c>
      <c r="S1736" s="25" t="s">
        <v>2184</v>
      </c>
      <c r="T1736" s="155">
        <v>4997200</v>
      </c>
      <c r="U1736" s="155">
        <v>0</v>
      </c>
    </row>
    <row r="1737" spans="2:21" x14ac:dyDescent="0.3">
      <c r="B1737" s="47"/>
      <c r="C1737" s="24"/>
      <c r="D1737" s="312"/>
      <c r="E1737" s="312"/>
      <c r="G1737" s="47"/>
      <c r="H1737" s="24"/>
      <c r="I1737" s="312"/>
      <c r="J1737" s="312"/>
      <c r="L1737" s="47"/>
      <c r="M1737" s="24"/>
      <c r="N1737" s="312"/>
      <c r="O1737" s="312"/>
      <c r="Q1737" s="47"/>
      <c r="R1737" s="136" t="s">
        <v>2187</v>
      </c>
      <c r="S1737" s="25" t="s">
        <v>2186</v>
      </c>
      <c r="T1737" s="155">
        <v>4700200</v>
      </c>
      <c r="U1737" s="155">
        <v>0</v>
      </c>
    </row>
    <row r="1738" spans="2:21" x14ac:dyDescent="0.3">
      <c r="B1738" s="47"/>
      <c r="C1738" s="24"/>
      <c r="D1738" s="312"/>
      <c r="E1738" s="312"/>
      <c r="G1738" s="47"/>
      <c r="H1738" s="24"/>
      <c r="I1738" s="312"/>
      <c r="J1738" s="312"/>
      <c r="L1738" s="47"/>
      <c r="M1738" s="24"/>
      <c r="N1738" s="312"/>
      <c r="O1738" s="312"/>
      <c r="Q1738" s="47"/>
      <c r="R1738" s="136" t="s">
        <v>2342</v>
      </c>
      <c r="S1738" s="25" t="s">
        <v>2188</v>
      </c>
      <c r="T1738" s="155">
        <v>1231000</v>
      </c>
      <c r="U1738" s="155">
        <v>0</v>
      </c>
    </row>
    <row r="1739" spans="2:21" x14ac:dyDescent="0.3">
      <c r="B1739" s="47"/>
      <c r="C1739" s="24"/>
      <c r="D1739" s="312"/>
      <c r="E1739" s="312"/>
      <c r="G1739" s="47"/>
      <c r="H1739" s="24"/>
      <c r="I1739" s="312"/>
      <c r="J1739" s="312"/>
      <c r="L1739" s="47"/>
      <c r="M1739" s="24"/>
      <c r="N1739" s="312"/>
      <c r="O1739" s="312"/>
      <c r="Q1739" s="47"/>
      <c r="R1739" s="136" t="s">
        <v>2342</v>
      </c>
      <c r="S1739" s="25" t="s">
        <v>2188</v>
      </c>
      <c r="T1739" s="155">
        <v>666000</v>
      </c>
      <c r="U1739" s="155">
        <v>0</v>
      </c>
    </row>
    <row r="1740" spans="2:21" x14ac:dyDescent="0.3">
      <c r="B1740" s="47"/>
      <c r="C1740" s="24"/>
      <c r="D1740" s="312"/>
      <c r="E1740" s="312"/>
      <c r="G1740" s="47"/>
      <c r="H1740" s="24"/>
      <c r="I1740" s="312"/>
      <c r="J1740" s="312"/>
      <c r="L1740" s="47"/>
      <c r="M1740" s="24"/>
      <c r="N1740" s="312"/>
      <c r="O1740" s="312"/>
      <c r="Q1740" s="47"/>
      <c r="R1740" s="136" t="s">
        <v>2190</v>
      </c>
      <c r="S1740" s="25" t="s">
        <v>2189</v>
      </c>
      <c r="T1740" s="155">
        <v>2770000</v>
      </c>
      <c r="U1740" s="155">
        <v>0</v>
      </c>
    </row>
    <row r="1741" spans="2:21" x14ac:dyDescent="0.3">
      <c r="B1741" s="47"/>
      <c r="C1741" s="24"/>
      <c r="D1741" s="312"/>
      <c r="E1741" s="312"/>
      <c r="G1741" s="47"/>
      <c r="H1741" s="24"/>
      <c r="I1741" s="312"/>
      <c r="J1741" s="312"/>
      <c r="L1741" s="47"/>
      <c r="M1741" s="24"/>
      <c r="N1741" s="312"/>
      <c r="O1741" s="312"/>
      <c r="Q1741" s="47"/>
      <c r="R1741" s="136" t="s">
        <v>2192</v>
      </c>
      <c r="S1741" s="25" t="s">
        <v>2191</v>
      </c>
      <c r="T1741" s="155">
        <v>2758100</v>
      </c>
      <c r="U1741" s="155">
        <v>0</v>
      </c>
    </row>
    <row r="1742" spans="2:21" x14ac:dyDescent="0.3">
      <c r="B1742" s="47"/>
      <c r="C1742" s="24"/>
      <c r="D1742" s="312"/>
      <c r="E1742" s="312"/>
      <c r="G1742" s="47"/>
      <c r="H1742" s="24"/>
      <c r="I1742" s="312"/>
      <c r="J1742" s="312"/>
      <c r="L1742" s="47"/>
      <c r="M1742" s="24"/>
      <c r="N1742" s="312"/>
      <c r="O1742" s="312"/>
      <c r="Q1742" s="47"/>
      <c r="R1742" s="136" t="s">
        <v>1896</v>
      </c>
      <c r="S1742" s="25" t="s">
        <v>2193</v>
      </c>
      <c r="T1742" s="155">
        <v>2610000</v>
      </c>
      <c r="U1742" s="155">
        <v>0</v>
      </c>
    </row>
    <row r="1743" spans="2:21" x14ac:dyDescent="0.3">
      <c r="B1743" s="47"/>
      <c r="C1743" s="24"/>
      <c r="D1743" s="312"/>
      <c r="E1743" s="312"/>
      <c r="G1743" s="47"/>
      <c r="H1743" s="24"/>
      <c r="I1743" s="312"/>
      <c r="J1743" s="312"/>
      <c r="L1743" s="47"/>
      <c r="M1743" s="24"/>
      <c r="N1743" s="312"/>
      <c r="O1743" s="312"/>
      <c r="Q1743" s="47"/>
      <c r="R1743" s="136" t="s">
        <v>3291</v>
      </c>
      <c r="S1743" s="25" t="s">
        <v>2171</v>
      </c>
      <c r="T1743" s="155">
        <v>4033000</v>
      </c>
      <c r="U1743" s="155">
        <v>0</v>
      </c>
    </row>
    <row r="1744" spans="2:21" x14ac:dyDescent="0.3">
      <c r="B1744" s="47"/>
      <c r="C1744" s="24"/>
      <c r="D1744" s="312"/>
      <c r="E1744" s="312"/>
      <c r="G1744" s="47"/>
      <c r="H1744" s="24"/>
      <c r="I1744" s="312"/>
      <c r="J1744" s="312"/>
      <c r="L1744" s="47"/>
      <c r="M1744" s="24"/>
      <c r="N1744" s="312"/>
      <c r="O1744" s="312"/>
      <c r="Q1744" s="47"/>
      <c r="R1744" s="136" t="s">
        <v>1898</v>
      </c>
      <c r="S1744" s="25" t="s">
        <v>2218</v>
      </c>
      <c r="T1744" s="155">
        <v>2493000</v>
      </c>
      <c r="U1744" s="155">
        <v>0</v>
      </c>
    </row>
    <row r="1745" spans="2:22" x14ac:dyDescent="0.3">
      <c r="B1745" s="47"/>
      <c r="C1745" s="24"/>
      <c r="D1745" s="312"/>
      <c r="E1745" s="312"/>
      <c r="G1745" s="47"/>
      <c r="H1745" s="24"/>
      <c r="I1745" s="312"/>
      <c r="J1745" s="312"/>
      <c r="L1745" s="47"/>
      <c r="M1745" s="24"/>
      <c r="N1745" s="312"/>
      <c r="O1745" s="312"/>
      <c r="Q1745" s="47"/>
      <c r="R1745" s="136" t="s">
        <v>2219</v>
      </c>
      <c r="S1745" s="25" t="s">
        <v>2220</v>
      </c>
      <c r="T1745" s="155">
        <v>1468400</v>
      </c>
      <c r="U1745" s="155">
        <v>0</v>
      </c>
    </row>
    <row r="1746" spans="2:22" x14ac:dyDescent="0.3">
      <c r="B1746" s="47"/>
      <c r="C1746" s="24"/>
      <c r="D1746" s="312"/>
      <c r="E1746" s="312"/>
      <c r="G1746" s="47"/>
      <c r="H1746" s="24"/>
      <c r="I1746" s="312"/>
      <c r="J1746" s="312"/>
      <c r="L1746" s="47"/>
      <c r="M1746" s="24"/>
      <c r="N1746" s="312"/>
      <c r="O1746" s="312"/>
      <c r="Q1746" s="47"/>
      <c r="R1746" s="136" t="s">
        <v>2221</v>
      </c>
      <c r="S1746" s="25" t="s">
        <v>2222</v>
      </c>
      <c r="T1746" s="155">
        <v>1486000</v>
      </c>
      <c r="U1746" s="155">
        <v>0</v>
      </c>
    </row>
    <row r="1747" spans="2:22" x14ac:dyDescent="0.3">
      <c r="B1747" s="47"/>
      <c r="C1747" s="24"/>
      <c r="D1747" s="312"/>
      <c r="E1747" s="312"/>
      <c r="G1747" s="47"/>
      <c r="H1747" s="24"/>
      <c r="I1747" s="312"/>
      <c r="J1747" s="312"/>
      <c r="L1747" s="47"/>
      <c r="M1747" s="24"/>
      <c r="N1747" s="312"/>
      <c r="O1747" s="312"/>
      <c r="Q1747" s="47"/>
      <c r="R1747" s="136" t="s">
        <v>2223</v>
      </c>
      <c r="S1747" s="25" t="s">
        <v>2224</v>
      </c>
      <c r="T1747" s="155">
        <v>1924500</v>
      </c>
      <c r="U1747" s="155">
        <v>0</v>
      </c>
    </row>
    <row r="1748" spans="2:22" x14ac:dyDescent="0.3">
      <c r="B1748" s="47"/>
      <c r="C1748" s="24"/>
      <c r="D1748" s="312"/>
      <c r="E1748" s="312"/>
      <c r="G1748" s="47"/>
      <c r="H1748" s="24"/>
      <c r="I1748" s="312"/>
      <c r="J1748" s="312"/>
      <c r="L1748" s="47"/>
      <c r="M1748" s="24"/>
      <c r="N1748" s="312"/>
      <c r="O1748" s="312"/>
      <c r="Q1748" s="47"/>
      <c r="R1748" s="136" t="s">
        <v>2226</v>
      </c>
      <c r="S1748" s="25" t="s">
        <v>2227</v>
      </c>
      <c r="T1748" s="155">
        <v>1845000</v>
      </c>
      <c r="U1748" s="155">
        <v>0</v>
      </c>
    </row>
    <row r="1749" spans="2:22" x14ac:dyDescent="0.3">
      <c r="B1749" s="47"/>
      <c r="C1749" s="24"/>
      <c r="D1749" s="312"/>
      <c r="E1749" s="312"/>
      <c r="G1749" s="47"/>
      <c r="H1749" s="24"/>
      <c r="I1749" s="312"/>
      <c r="J1749" s="312"/>
      <c r="L1749" s="47"/>
      <c r="M1749" s="24"/>
      <c r="N1749" s="312"/>
      <c r="O1749" s="312"/>
      <c r="Q1749" s="47"/>
      <c r="R1749" s="136" t="s">
        <v>2228</v>
      </c>
      <c r="S1749" s="25" t="s">
        <v>1990</v>
      </c>
      <c r="T1749" s="155">
        <v>1111500</v>
      </c>
      <c r="U1749" s="155">
        <v>0</v>
      </c>
    </row>
    <row r="1750" spans="2:22" x14ac:dyDescent="0.3">
      <c r="B1750" s="47"/>
      <c r="C1750" s="24"/>
      <c r="D1750" s="312"/>
      <c r="E1750" s="312"/>
      <c r="G1750" s="47"/>
      <c r="H1750" s="24"/>
      <c r="I1750" s="312"/>
      <c r="J1750" s="312"/>
      <c r="L1750" s="47"/>
      <c r="M1750" s="24"/>
      <c r="N1750" s="312"/>
      <c r="O1750" s="312"/>
      <c r="Q1750" s="47"/>
      <c r="R1750" s="136" t="s">
        <v>2229</v>
      </c>
      <c r="S1750" s="25" t="s">
        <v>1987</v>
      </c>
      <c r="T1750" s="155">
        <v>768767</v>
      </c>
      <c r="U1750" s="155">
        <v>0</v>
      </c>
    </row>
    <row r="1751" spans="2:22" x14ac:dyDescent="0.3">
      <c r="B1751" s="47"/>
      <c r="C1751" s="24"/>
      <c r="D1751" s="312"/>
      <c r="E1751" s="312"/>
      <c r="G1751" s="47"/>
      <c r="H1751" s="24"/>
      <c r="I1751" s="312"/>
      <c r="J1751" s="312"/>
      <c r="L1751" s="47"/>
      <c r="M1751" s="24"/>
      <c r="N1751" s="312"/>
      <c r="O1751" s="312"/>
      <c r="Q1751" s="47"/>
      <c r="R1751" s="136" t="s">
        <v>2230</v>
      </c>
      <c r="S1751" s="25" t="s">
        <v>2231</v>
      </c>
      <c r="T1751" s="155">
        <v>688500</v>
      </c>
      <c r="U1751" s="155">
        <v>0</v>
      </c>
    </row>
    <row r="1752" spans="2:22" x14ac:dyDescent="0.3">
      <c r="B1752" s="47"/>
      <c r="C1752" s="24"/>
      <c r="D1752" s="312"/>
      <c r="E1752" s="312"/>
      <c r="G1752" s="47"/>
      <c r="H1752" s="24"/>
      <c r="I1752" s="312"/>
      <c r="J1752" s="312"/>
      <c r="L1752" s="47"/>
      <c r="M1752" s="24"/>
      <c r="N1752" s="312"/>
      <c r="O1752" s="312"/>
      <c r="Q1752" s="47"/>
      <c r="R1752" s="136" t="s">
        <v>2232</v>
      </c>
      <c r="S1752" s="25" t="s">
        <v>1988</v>
      </c>
      <c r="T1752" s="155">
        <v>1091000</v>
      </c>
      <c r="U1752" s="155">
        <v>0</v>
      </c>
    </row>
    <row r="1753" spans="2:22" x14ac:dyDescent="0.3">
      <c r="B1753" s="47"/>
      <c r="C1753" s="24"/>
      <c r="D1753" s="312"/>
      <c r="E1753" s="312"/>
      <c r="G1753" s="47"/>
      <c r="H1753" s="24"/>
      <c r="I1753" s="312"/>
      <c r="J1753" s="312"/>
      <c r="L1753" s="47"/>
      <c r="M1753" s="24"/>
      <c r="N1753" s="312"/>
      <c r="O1753" s="312"/>
      <c r="Q1753" s="47"/>
      <c r="R1753" s="136" t="s">
        <v>2233</v>
      </c>
      <c r="S1753" s="25" t="s">
        <v>1989</v>
      </c>
      <c r="T1753" s="155">
        <v>411000</v>
      </c>
      <c r="U1753" s="155">
        <v>0</v>
      </c>
    </row>
    <row r="1754" spans="2:22" x14ac:dyDescent="0.3">
      <c r="B1754" s="47"/>
      <c r="C1754" s="24"/>
      <c r="D1754" s="312"/>
      <c r="E1754" s="312"/>
      <c r="G1754" s="47"/>
      <c r="H1754" s="24"/>
      <c r="I1754" s="312"/>
      <c r="J1754" s="312"/>
      <c r="L1754" s="47"/>
      <c r="M1754" s="24"/>
      <c r="N1754" s="312"/>
      <c r="O1754" s="312"/>
      <c r="Q1754" s="47"/>
      <c r="R1754" s="136" t="s">
        <v>2234</v>
      </c>
      <c r="S1754" s="25" t="s">
        <v>2235</v>
      </c>
      <c r="T1754" s="155">
        <v>432000</v>
      </c>
      <c r="U1754" s="155">
        <v>0</v>
      </c>
    </row>
    <row r="1755" spans="2:22" x14ac:dyDescent="0.3">
      <c r="B1755" s="47"/>
      <c r="C1755" s="24"/>
      <c r="D1755" s="312"/>
      <c r="E1755" s="312"/>
      <c r="G1755" s="47"/>
      <c r="H1755" s="24"/>
      <c r="I1755" s="312"/>
      <c r="J1755" s="312"/>
      <c r="L1755" s="47"/>
      <c r="M1755" s="24"/>
      <c r="N1755" s="312"/>
      <c r="O1755" s="312"/>
      <c r="Q1755" s="241">
        <v>80010002</v>
      </c>
      <c r="R1755" s="242"/>
      <c r="S1755" s="246" t="s">
        <v>1065</v>
      </c>
      <c r="T1755" s="240">
        <v>0</v>
      </c>
      <c r="U1755" s="240">
        <v>0</v>
      </c>
      <c r="V1755" s="11"/>
    </row>
    <row r="1756" spans="2:22" x14ac:dyDescent="0.3">
      <c r="B1756" s="47"/>
      <c r="C1756" s="24"/>
      <c r="D1756" s="312"/>
      <c r="E1756" s="312"/>
      <c r="G1756" s="47"/>
      <c r="H1756" s="24"/>
      <c r="I1756" s="312"/>
      <c r="J1756" s="312"/>
      <c r="L1756" s="47"/>
      <c r="M1756" s="24"/>
      <c r="N1756" s="312"/>
      <c r="O1756" s="312"/>
      <c r="Q1756" s="241">
        <v>80010003</v>
      </c>
      <c r="R1756" s="242"/>
      <c r="S1756" s="246" t="s">
        <v>1066</v>
      </c>
      <c r="T1756" s="239">
        <f>SUM(T1757:T1797)-SUM(U1757:U1797)</f>
        <v>32335134</v>
      </c>
      <c r="U1756" s="240">
        <v>0</v>
      </c>
      <c r="V1756" s="11"/>
    </row>
    <row r="1757" spans="2:22" x14ac:dyDescent="0.3">
      <c r="B1757" s="47"/>
      <c r="C1757" s="24"/>
      <c r="D1757" s="312"/>
      <c r="E1757" s="312"/>
      <c r="G1757" s="47"/>
      <c r="H1757" s="24"/>
      <c r="I1757" s="312"/>
      <c r="J1757" s="312"/>
      <c r="L1757" s="47"/>
      <c r="M1757" s="24"/>
      <c r="N1757" s="312"/>
      <c r="O1757" s="312"/>
      <c r="Q1757" s="47"/>
      <c r="R1757" s="136" t="s">
        <v>1931</v>
      </c>
      <c r="S1757" s="25" t="s">
        <v>1932</v>
      </c>
      <c r="T1757" s="155">
        <v>360798</v>
      </c>
      <c r="U1757" s="155">
        <v>0</v>
      </c>
      <c r="V1757" s="11"/>
    </row>
    <row r="1758" spans="2:22" x14ac:dyDescent="0.3">
      <c r="B1758" s="47"/>
      <c r="C1758" s="24"/>
      <c r="D1758" s="312"/>
      <c r="E1758" s="312"/>
      <c r="G1758" s="47"/>
      <c r="H1758" s="24"/>
      <c r="I1758" s="312"/>
      <c r="J1758" s="312"/>
      <c r="L1758" s="47"/>
      <c r="M1758" s="24"/>
      <c r="N1758" s="312"/>
      <c r="O1758" s="312"/>
      <c r="Q1758" s="47"/>
      <c r="R1758" s="136" t="s">
        <v>1934</v>
      </c>
      <c r="S1758" s="25" t="s">
        <v>2196</v>
      </c>
      <c r="T1758" s="155">
        <v>33163</v>
      </c>
      <c r="U1758" s="155">
        <v>0</v>
      </c>
      <c r="V1758" s="11"/>
    </row>
    <row r="1759" spans="2:22" x14ac:dyDescent="0.3">
      <c r="B1759" s="47"/>
      <c r="C1759" s="24"/>
      <c r="D1759" s="312"/>
      <c r="E1759" s="312"/>
      <c r="G1759" s="47"/>
      <c r="H1759" s="24"/>
      <c r="I1759" s="312"/>
      <c r="J1759" s="312"/>
      <c r="L1759" s="47"/>
      <c r="M1759" s="24"/>
      <c r="N1759" s="312"/>
      <c r="O1759" s="312"/>
      <c r="Q1759" s="47"/>
      <c r="R1759" s="136" t="s">
        <v>2154</v>
      </c>
      <c r="S1759" s="25" t="s">
        <v>2155</v>
      </c>
      <c r="T1759" s="155">
        <v>622665</v>
      </c>
      <c r="U1759" s="155">
        <v>0</v>
      </c>
      <c r="V1759" s="11"/>
    </row>
    <row r="1760" spans="2:22" x14ac:dyDescent="0.3">
      <c r="B1760" s="47"/>
      <c r="C1760" s="24"/>
      <c r="D1760" s="312"/>
      <c r="E1760" s="312"/>
      <c r="G1760" s="47"/>
      <c r="H1760" s="24"/>
      <c r="I1760" s="312"/>
      <c r="J1760" s="312"/>
      <c r="L1760" s="47"/>
      <c r="M1760" s="24"/>
      <c r="N1760" s="312"/>
      <c r="O1760" s="312"/>
      <c r="Q1760" s="47"/>
      <c r="R1760" s="136" t="s">
        <v>2199</v>
      </c>
      <c r="S1760" s="25" t="s">
        <v>2200</v>
      </c>
      <c r="T1760" s="155">
        <v>1774112</v>
      </c>
      <c r="U1760" s="155">
        <v>0</v>
      </c>
      <c r="V1760" s="11"/>
    </row>
    <row r="1761" spans="2:22" x14ac:dyDescent="0.3">
      <c r="B1761" s="47"/>
      <c r="C1761" s="24"/>
      <c r="D1761" s="312"/>
      <c r="E1761" s="312"/>
      <c r="G1761" s="47"/>
      <c r="H1761" s="24"/>
      <c r="I1761" s="312"/>
      <c r="J1761" s="312"/>
      <c r="L1761" s="47"/>
      <c r="M1761" s="24"/>
      <c r="N1761" s="312"/>
      <c r="O1761" s="312"/>
      <c r="Q1761" s="47"/>
      <c r="R1761" s="136" t="s">
        <v>2201</v>
      </c>
      <c r="S1761" s="25" t="s">
        <v>2202</v>
      </c>
      <c r="T1761" s="155">
        <v>688028</v>
      </c>
      <c r="U1761" s="155">
        <v>0</v>
      </c>
      <c r="V1761" s="11"/>
    </row>
    <row r="1762" spans="2:22" x14ac:dyDescent="0.3">
      <c r="B1762" s="47"/>
      <c r="C1762" s="24"/>
      <c r="D1762" s="312"/>
      <c r="E1762" s="312"/>
      <c r="G1762" s="47"/>
      <c r="H1762" s="24"/>
      <c r="I1762" s="312"/>
      <c r="J1762" s="312"/>
      <c r="L1762" s="47"/>
      <c r="M1762" s="24"/>
      <c r="N1762" s="312"/>
      <c r="O1762" s="312"/>
      <c r="Q1762" s="47"/>
      <c r="R1762" s="136" t="s">
        <v>2203</v>
      </c>
      <c r="S1762" s="25" t="s">
        <v>2204</v>
      </c>
      <c r="T1762" s="155">
        <v>324249</v>
      </c>
      <c r="U1762" s="155">
        <v>0</v>
      </c>
      <c r="V1762" s="11"/>
    </row>
    <row r="1763" spans="2:22" x14ac:dyDescent="0.3">
      <c r="B1763" s="47"/>
      <c r="C1763" s="24"/>
      <c r="D1763" s="312"/>
      <c r="E1763" s="312"/>
      <c r="G1763" s="47"/>
      <c r="H1763" s="24"/>
      <c r="I1763" s="312"/>
      <c r="J1763" s="312"/>
      <c r="L1763" s="47"/>
      <c r="M1763" s="24"/>
      <c r="N1763" s="312"/>
      <c r="O1763" s="312"/>
      <c r="Q1763" s="47"/>
      <c r="R1763" s="136" t="s">
        <v>2205</v>
      </c>
      <c r="S1763" s="25" t="s">
        <v>2206</v>
      </c>
      <c r="T1763" s="155">
        <v>604342</v>
      </c>
      <c r="U1763" s="155">
        <v>0</v>
      </c>
      <c r="V1763" s="11"/>
    </row>
    <row r="1764" spans="2:22" x14ac:dyDescent="0.3">
      <c r="B1764" s="47"/>
      <c r="C1764" s="24"/>
      <c r="D1764" s="312"/>
      <c r="E1764" s="312"/>
      <c r="G1764" s="47"/>
      <c r="H1764" s="24"/>
      <c r="I1764" s="312"/>
      <c r="J1764" s="312"/>
      <c r="L1764" s="47"/>
      <c r="M1764" s="24"/>
      <c r="N1764" s="312"/>
      <c r="O1764" s="312"/>
      <c r="Q1764" s="47"/>
      <c r="R1764" s="136" t="s">
        <v>2207</v>
      </c>
      <c r="S1764" s="25" t="s">
        <v>2208</v>
      </c>
      <c r="T1764" s="155">
        <v>1313119</v>
      </c>
      <c r="U1764" s="155">
        <v>0</v>
      </c>
      <c r="V1764" s="11"/>
    </row>
    <row r="1765" spans="2:22" x14ac:dyDescent="0.3">
      <c r="B1765" s="47"/>
      <c r="C1765" s="24"/>
      <c r="D1765" s="312"/>
      <c r="E1765" s="312"/>
      <c r="G1765" s="47"/>
      <c r="H1765" s="24"/>
      <c r="I1765" s="312"/>
      <c r="J1765" s="312"/>
      <c r="L1765" s="47"/>
      <c r="M1765" s="24"/>
      <c r="N1765" s="312"/>
      <c r="O1765" s="312"/>
      <c r="Q1765" s="47"/>
      <c r="R1765" s="136" t="s">
        <v>2209</v>
      </c>
      <c r="S1765" s="25" t="s">
        <v>2210</v>
      </c>
      <c r="T1765" s="155">
        <v>1693070</v>
      </c>
      <c r="U1765" s="155">
        <v>0</v>
      </c>
      <c r="V1765" s="11"/>
    </row>
    <row r="1766" spans="2:22" x14ac:dyDescent="0.3">
      <c r="B1766" s="47"/>
      <c r="C1766" s="24"/>
      <c r="D1766" s="312"/>
      <c r="E1766" s="312"/>
      <c r="G1766" s="47"/>
      <c r="H1766" s="24"/>
      <c r="I1766" s="312"/>
      <c r="J1766" s="312"/>
      <c r="L1766" s="47"/>
      <c r="M1766" s="24"/>
      <c r="N1766" s="312"/>
      <c r="O1766" s="312"/>
      <c r="Q1766" s="47"/>
      <c r="R1766" s="136" t="s">
        <v>2340</v>
      </c>
      <c r="S1766" s="25" t="s">
        <v>2159</v>
      </c>
      <c r="T1766" s="155">
        <v>2735200</v>
      </c>
      <c r="U1766" s="155">
        <v>0</v>
      </c>
      <c r="V1766" s="11"/>
    </row>
    <row r="1767" spans="2:22" x14ac:dyDescent="0.3">
      <c r="B1767" s="47"/>
      <c r="C1767" s="24"/>
      <c r="D1767" s="312"/>
      <c r="E1767" s="312"/>
      <c r="G1767" s="47"/>
      <c r="H1767" s="24"/>
      <c r="I1767" s="312"/>
      <c r="J1767" s="312"/>
      <c r="L1767" s="47"/>
      <c r="M1767" s="24"/>
      <c r="N1767" s="312"/>
      <c r="O1767" s="312"/>
      <c r="Q1767" s="47"/>
      <c r="R1767" s="136" t="s">
        <v>2160</v>
      </c>
      <c r="S1767" s="25" t="s">
        <v>2161</v>
      </c>
      <c r="T1767" s="155">
        <v>544020</v>
      </c>
      <c r="U1767" s="155">
        <v>0</v>
      </c>
      <c r="V1767" s="11"/>
    </row>
    <row r="1768" spans="2:22" x14ac:dyDescent="0.3">
      <c r="B1768" s="47"/>
      <c r="C1768" s="24"/>
      <c r="D1768" s="312"/>
      <c r="E1768" s="312"/>
      <c r="G1768" s="47"/>
      <c r="H1768" s="24"/>
      <c r="I1768" s="312"/>
      <c r="J1768" s="312"/>
      <c r="L1768" s="47"/>
      <c r="M1768" s="24"/>
      <c r="N1768" s="312"/>
      <c r="O1768" s="312"/>
      <c r="Q1768" s="47"/>
      <c r="R1768" s="136" t="s">
        <v>2162</v>
      </c>
      <c r="S1768" s="25" t="s">
        <v>2163</v>
      </c>
      <c r="T1768" s="155">
        <v>756831</v>
      </c>
      <c r="U1768" s="155">
        <v>0</v>
      </c>
      <c r="V1768" s="11"/>
    </row>
    <row r="1769" spans="2:22" x14ac:dyDescent="0.3">
      <c r="B1769" s="47"/>
      <c r="C1769" s="24"/>
      <c r="D1769" s="312"/>
      <c r="E1769" s="312"/>
      <c r="G1769" s="47"/>
      <c r="H1769" s="24"/>
      <c r="I1769" s="312"/>
      <c r="J1769" s="312"/>
      <c r="L1769" s="47"/>
      <c r="M1769" s="24"/>
      <c r="N1769" s="312"/>
      <c r="O1769" s="312"/>
      <c r="Q1769" s="47"/>
      <c r="R1769" s="136" t="s">
        <v>2165</v>
      </c>
      <c r="S1769" s="25" t="s">
        <v>2166</v>
      </c>
      <c r="T1769" s="155">
        <v>1327375</v>
      </c>
      <c r="U1769" s="155">
        <v>0</v>
      </c>
      <c r="V1769" s="11"/>
    </row>
    <row r="1770" spans="2:22" x14ac:dyDescent="0.3">
      <c r="B1770" s="47"/>
      <c r="C1770" s="24"/>
      <c r="D1770" s="312"/>
      <c r="E1770" s="312"/>
      <c r="G1770" s="47"/>
      <c r="H1770" s="24"/>
      <c r="I1770" s="312"/>
      <c r="J1770" s="312"/>
      <c r="L1770" s="47"/>
      <c r="M1770" s="24"/>
      <c r="N1770" s="312"/>
      <c r="O1770" s="312"/>
      <c r="Q1770" s="47"/>
      <c r="R1770" s="136" t="s">
        <v>2168</v>
      </c>
      <c r="S1770" s="25" t="s">
        <v>2169</v>
      </c>
      <c r="T1770" s="155">
        <v>453234</v>
      </c>
      <c r="U1770" s="155">
        <v>0</v>
      </c>
      <c r="V1770" s="11"/>
    </row>
    <row r="1771" spans="2:22" x14ac:dyDescent="0.3">
      <c r="B1771" s="47"/>
      <c r="C1771" s="24"/>
      <c r="D1771" s="312"/>
      <c r="E1771" s="312"/>
      <c r="G1771" s="47"/>
      <c r="H1771" s="24"/>
      <c r="I1771" s="312"/>
      <c r="J1771" s="312"/>
      <c r="L1771" s="47"/>
      <c r="M1771" s="24"/>
      <c r="N1771" s="312"/>
      <c r="O1771" s="312"/>
      <c r="Q1771" s="47"/>
      <c r="R1771" s="136" t="s">
        <v>2168</v>
      </c>
      <c r="S1771" s="25" t="s">
        <v>2169</v>
      </c>
      <c r="T1771" s="155">
        <v>132127</v>
      </c>
      <c r="U1771" s="155">
        <v>0</v>
      </c>
      <c r="V1771" s="11"/>
    </row>
    <row r="1772" spans="2:22" x14ac:dyDescent="0.3">
      <c r="B1772" s="47"/>
      <c r="C1772" s="24"/>
      <c r="D1772" s="312"/>
      <c r="E1772" s="312"/>
      <c r="G1772" s="47"/>
      <c r="H1772" s="24"/>
      <c r="I1772" s="312"/>
      <c r="J1772" s="312"/>
      <c r="L1772" s="47"/>
      <c r="M1772" s="24"/>
      <c r="N1772" s="312"/>
      <c r="O1772" s="312"/>
      <c r="Q1772" s="47"/>
      <c r="R1772" s="136" t="s">
        <v>3313</v>
      </c>
      <c r="S1772" s="25" t="s">
        <v>2211</v>
      </c>
      <c r="T1772" s="155">
        <v>1226149</v>
      </c>
      <c r="U1772" s="155">
        <v>0</v>
      </c>
      <c r="V1772" s="11"/>
    </row>
    <row r="1773" spans="2:22" x14ac:dyDescent="0.3">
      <c r="B1773" s="47"/>
      <c r="C1773" s="24"/>
      <c r="D1773" s="312"/>
      <c r="E1773" s="312"/>
      <c r="G1773" s="47"/>
      <c r="H1773" s="24"/>
      <c r="I1773" s="312"/>
      <c r="J1773" s="312"/>
      <c r="L1773" s="47"/>
      <c r="M1773" s="24"/>
      <c r="N1773" s="312"/>
      <c r="O1773" s="312"/>
      <c r="Q1773" s="47"/>
      <c r="R1773" s="136" t="s">
        <v>2212</v>
      </c>
      <c r="S1773" s="25" t="s">
        <v>2213</v>
      </c>
      <c r="T1773" s="155">
        <v>467569</v>
      </c>
      <c r="U1773" s="155">
        <v>0</v>
      </c>
      <c r="V1773" s="11"/>
    </row>
    <row r="1774" spans="2:22" x14ac:dyDescent="0.3">
      <c r="B1774" s="47"/>
      <c r="C1774" s="24"/>
      <c r="D1774" s="312"/>
      <c r="E1774" s="312"/>
      <c r="G1774" s="47"/>
      <c r="H1774" s="24"/>
      <c r="I1774" s="312"/>
      <c r="J1774" s="312"/>
      <c r="L1774" s="47"/>
      <c r="M1774" s="24"/>
      <c r="N1774" s="312"/>
      <c r="O1774" s="312"/>
      <c r="Q1774" s="47"/>
      <c r="R1774" s="136" t="s">
        <v>2214</v>
      </c>
      <c r="S1774" s="25" t="s">
        <v>2215</v>
      </c>
      <c r="T1774" s="155">
        <v>936461</v>
      </c>
      <c r="U1774" s="155">
        <v>0</v>
      </c>
      <c r="V1774" s="11"/>
    </row>
    <row r="1775" spans="2:22" x14ac:dyDescent="0.3">
      <c r="B1775" s="47"/>
      <c r="C1775" s="24"/>
      <c r="D1775" s="312"/>
      <c r="E1775" s="312"/>
      <c r="G1775" s="47"/>
      <c r="H1775" s="24"/>
      <c r="I1775" s="312"/>
      <c r="J1775" s="312"/>
      <c r="L1775" s="47"/>
      <c r="M1775" s="24"/>
      <c r="N1775" s="312"/>
      <c r="O1775" s="312"/>
      <c r="Q1775" s="47"/>
      <c r="R1775" s="136" t="s">
        <v>1985</v>
      </c>
      <c r="S1775" s="25" t="s">
        <v>2197</v>
      </c>
      <c r="T1775" s="155">
        <v>119239</v>
      </c>
      <c r="U1775" s="155">
        <v>0</v>
      </c>
      <c r="V1775" s="11"/>
    </row>
    <row r="1776" spans="2:22" x14ac:dyDescent="0.3">
      <c r="B1776" s="47"/>
      <c r="C1776" s="24"/>
      <c r="D1776" s="312"/>
      <c r="E1776" s="312"/>
      <c r="G1776" s="47"/>
      <c r="H1776" s="24"/>
      <c r="I1776" s="312"/>
      <c r="J1776" s="312"/>
      <c r="L1776" s="47"/>
      <c r="M1776" s="24"/>
      <c r="N1776" s="312"/>
      <c r="O1776" s="312"/>
      <c r="Q1776" s="47"/>
      <c r="R1776" s="136" t="s">
        <v>1895</v>
      </c>
      <c r="S1776" s="25" t="s">
        <v>2174</v>
      </c>
      <c r="T1776" s="155">
        <v>1109927</v>
      </c>
      <c r="U1776" s="155">
        <v>0</v>
      </c>
      <c r="V1776" s="11"/>
    </row>
    <row r="1777" spans="2:22" x14ac:dyDescent="0.3">
      <c r="B1777" s="47"/>
      <c r="C1777" s="24"/>
      <c r="D1777" s="312"/>
      <c r="E1777" s="312"/>
      <c r="G1777" s="47"/>
      <c r="H1777" s="24"/>
      <c r="I1777" s="312"/>
      <c r="J1777" s="312"/>
      <c r="L1777" s="47"/>
      <c r="M1777" s="24"/>
      <c r="N1777" s="312"/>
      <c r="O1777" s="312"/>
      <c r="Q1777" s="47"/>
      <c r="R1777" s="136" t="s">
        <v>2177</v>
      </c>
      <c r="S1777" s="25" t="s">
        <v>2341</v>
      </c>
      <c r="T1777" s="155">
        <v>2533357</v>
      </c>
      <c r="U1777" s="155">
        <v>0</v>
      </c>
      <c r="V1777" s="11"/>
    </row>
    <row r="1778" spans="2:22" x14ac:dyDescent="0.3">
      <c r="B1778" s="47"/>
      <c r="C1778" s="24"/>
      <c r="D1778" s="312"/>
      <c r="E1778" s="312"/>
      <c r="G1778" s="47"/>
      <c r="H1778" s="24"/>
      <c r="I1778" s="312"/>
      <c r="J1778" s="312"/>
      <c r="L1778" s="47"/>
      <c r="M1778" s="24"/>
      <c r="N1778" s="312"/>
      <c r="O1778" s="312"/>
      <c r="Q1778" s="47"/>
      <c r="R1778" s="136" t="s">
        <v>2183</v>
      </c>
      <c r="S1778" s="25" t="s">
        <v>2182</v>
      </c>
      <c r="T1778" s="155">
        <v>1403620</v>
      </c>
      <c r="U1778" s="155">
        <v>0</v>
      </c>
      <c r="V1778" s="11"/>
    </row>
    <row r="1779" spans="2:22" x14ac:dyDescent="0.3">
      <c r="B1779" s="47"/>
      <c r="C1779" s="24"/>
      <c r="D1779" s="312"/>
      <c r="E1779" s="312"/>
      <c r="G1779" s="47"/>
      <c r="H1779" s="24"/>
      <c r="I1779" s="312"/>
      <c r="J1779" s="312"/>
      <c r="L1779" s="47"/>
      <c r="M1779" s="24"/>
      <c r="N1779" s="312"/>
      <c r="O1779" s="312"/>
      <c r="Q1779" s="47"/>
      <c r="R1779" s="136" t="s">
        <v>2185</v>
      </c>
      <c r="S1779" s="25" t="s">
        <v>2184</v>
      </c>
      <c r="T1779" s="155">
        <v>1572087</v>
      </c>
      <c r="U1779" s="155">
        <v>0</v>
      </c>
      <c r="V1779" s="11"/>
    </row>
    <row r="1780" spans="2:22" x14ac:dyDescent="0.3">
      <c r="B1780" s="47"/>
      <c r="C1780" s="24"/>
      <c r="D1780" s="312"/>
      <c r="E1780" s="312"/>
      <c r="G1780" s="47"/>
      <c r="H1780" s="24"/>
      <c r="I1780" s="312"/>
      <c r="J1780" s="312"/>
      <c r="L1780" s="47"/>
      <c r="M1780" s="24"/>
      <c r="N1780" s="312"/>
      <c r="O1780" s="312"/>
      <c r="Q1780" s="47"/>
      <c r="R1780" s="136" t="s">
        <v>2187</v>
      </c>
      <c r="S1780" s="25" t="s">
        <v>2186</v>
      </c>
      <c r="T1780" s="155">
        <v>2595554</v>
      </c>
      <c r="U1780" s="155">
        <v>0</v>
      </c>
      <c r="V1780" s="11"/>
    </row>
    <row r="1781" spans="2:22" x14ac:dyDescent="0.3">
      <c r="B1781" s="47"/>
      <c r="C1781" s="24"/>
      <c r="D1781" s="312"/>
      <c r="E1781" s="312"/>
      <c r="G1781" s="47"/>
      <c r="H1781" s="24"/>
      <c r="I1781" s="312"/>
      <c r="J1781" s="312"/>
      <c r="L1781" s="47"/>
      <c r="M1781" s="24"/>
      <c r="N1781" s="312"/>
      <c r="O1781" s="312"/>
      <c r="Q1781" s="47"/>
      <c r="R1781" s="136" t="s">
        <v>2342</v>
      </c>
      <c r="S1781" s="25" t="s">
        <v>2188</v>
      </c>
      <c r="T1781" s="155">
        <v>195265</v>
      </c>
      <c r="U1781" s="155">
        <v>0</v>
      </c>
      <c r="V1781" s="11"/>
    </row>
    <row r="1782" spans="2:22" x14ac:dyDescent="0.3">
      <c r="B1782" s="47"/>
      <c r="C1782" s="24"/>
      <c r="D1782" s="312"/>
      <c r="E1782" s="312"/>
      <c r="G1782" s="47"/>
      <c r="H1782" s="24"/>
      <c r="I1782" s="312"/>
      <c r="J1782" s="312"/>
      <c r="L1782" s="47"/>
      <c r="M1782" s="24"/>
      <c r="N1782" s="312"/>
      <c r="O1782" s="312"/>
      <c r="Q1782" s="47"/>
      <c r="R1782" s="136" t="s">
        <v>2342</v>
      </c>
      <c r="S1782" s="25" t="s">
        <v>2188</v>
      </c>
      <c r="T1782" s="155">
        <v>177305</v>
      </c>
      <c r="U1782" s="155">
        <v>0</v>
      </c>
      <c r="V1782" s="11"/>
    </row>
    <row r="1783" spans="2:22" x14ac:dyDescent="0.3">
      <c r="B1783" s="47"/>
      <c r="C1783" s="24"/>
      <c r="D1783" s="312"/>
      <c r="E1783" s="312"/>
      <c r="G1783" s="47"/>
      <c r="H1783" s="24"/>
      <c r="I1783" s="312"/>
      <c r="J1783" s="312"/>
      <c r="L1783" s="47"/>
      <c r="M1783" s="24"/>
      <c r="N1783" s="312"/>
      <c r="O1783" s="312"/>
      <c r="Q1783" s="47"/>
      <c r="R1783" s="136" t="s">
        <v>2190</v>
      </c>
      <c r="S1783" s="25" t="s">
        <v>2189</v>
      </c>
      <c r="T1783" s="155">
        <v>801872</v>
      </c>
      <c r="U1783" s="155">
        <v>0</v>
      </c>
      <c r="V1783" s="11"/>
    </row>
    <row r="1784" spans="2:22" x14ac:dyDescent="0.3">
      <c r="B1784" s="47"/>
      <c r="C1784" s="24"/>
      <c r="D1784" s="312"/>
      <c r="E1784" s="312"/>
      <c r="G1784" s="47"/>
      <c r="H1784" s="24"/>
      <c r="I1784" s="312"/>
      <c r="J1784" s="312"/>
      <c r="L1784" s="47"/>
      <c r="M1784" s="24"/>
      <c r="N1784" s="312"/>
      <c r="O1784" s="312"/>
      <c r="Q1784" s="47"/>
      <c r="R1784" s="136" t="s">
        <v>2192</v>
      </c>
      <c r="S1784" s="25" t="s">
        <v>2191</v>
      </c>
      <c r="T1784" s="155">
        <v>359079</v>
      </c>
      <c r="U1784" s="155">
        <v>0</v>
      </c>
      <c r="V1784" s="11"/>
    </row>
    <row r="1785" spans="2:22" x14ac:dyDescent="0.3">
      <c r="B1785" s="47"/>
      <c r="C1785" s="24"/>
      <c r="D1785" s="312"/>
      <c r="E1785" s="312"/>
      <c r="G1785" s="47"/>
      <c r="H1785" s="24"/>
      <c r="I1785" s="312"/>
      <c r="J1785" s="312"/>
      <c r="L1785" s="47"/>
      <c r="M1785" s="24"/>
      <c r="N1785" s="312"/>
      <c r="O1785" s="312"/>
      <c r="Q1785" s="47"/>
      <c r="R1785" s="136" t="s">
        <v>1896</v>
      </c>
      <c r="S1785" s="25" t="s">
        <v>2193</v>
      </c>
      <c r="T1785" s="155">
        <v>429564</v>
      </c>
      <c r="U1785" s="155">
        <v>0</v>
      </c>
      <c r="V1785" s="11"/>
    </row>
    <row r="1786" spans="2:22" x14ac:dyDescent="0.3">
      <c r="B1786" s="47"/>
      <c r="C1786" s="24"/>
      <c r="D1786" s="312"/>
      <c r="E1786" s="312"/>
      <c r="G1786" s="47"/>
      <c r="H1786" s="24"/>
      <c r="I1786" s="312"/>
      <c r="J1786" s="312"/>
      <c r="L1786" s="47"/>
      <c r="M1786" s="24"/>
      <c r="N1786" s="312"/>
      <c r="O1786" s="312"/>
      <c r="Q1786" s="47"/>
      <c r="R1786" s="136" t="s">
        <v>3291</v>
      </c>
      <c r="S1786" s="25" t="s">
        <v>2171</v>
      </c>
      <c r="T1786" s="155">
        <v>681036</v>
      </c>
      <c r="U1786" s="155">
        <v>0</v>
      </c>
      <c r="V1786" s="11"/>
    </row>
    <row r="1787" spans="2:22" x14ac:dyDescent="0.3">
      <c r="B1787" s="47"/>
      <c r="C1787" s="24"/>
      <c r="D1787" s="312"/>
      <c r="E1787" s="312"/>
      <c r="G1787" s="47"/>
      <c r="H1787" s="24"/>
      <c r="I1787" s="312"/>
      <c r="J1787" s="312"/>
      <c r="L1787" s="47"/>
      <c r="M1787" s="24"/>
      <c r="N1787" s="312"/>
      <c r="O1787" s="312"/>
      <c r="Q1787" s="47"/>
      <c r="R1787" s="136" t="s">
        <v>1898</v>
      </c>
      <c r="S1787" s="25" t="s">
        <v>2218</v>
      </c>
      <c r="T1787" s="155">
        <v>791663</v>
      </c>
      <c r="U1787" s="155">
        <v>0</v>
      </c>
      <c r="V1787" s="11"/>
    </row>
    <row r="1788" spans="2:22" x14ac:dyDescent="0.3">
      <c r="B1788" s="47"/>
      <c r="C1788" s="24"/>
      <c r="D1788" s="312"/>
      <c r="E1788" s="312"/>
      <c r="G1788" s="47"/>
      <c r="H1788" s="24"/>
      <c r="I1788" s="312"/>
      <c r="J1788" s="312"/>
      <c r="L1788" s="47"/>
      <c r="M1788" s="24"/>
      <c r="N1788" s="312"/>
      <c r="O1788" s="312"/>
      <c r="Q1788" s="47"/>
      <c r="R1788" s="136" t="s">
        <v>2219</v>
      </c>
      <c r="S1788" s="25" t="s">
        <v>2220</v>
      </c>
      <c r="T1788" s="155">
        <v>667433</v>
      </c>
      <c r="U1788" s="155">
        <v>0</v>
      </c>
      <c r="V1788" s="11"/>
    </row>
    <row r="1789" spans="2:22" x14ac:dyDescent="0.3">
      <c r="B1789" s="47"/>
      <c r="C1789" s="24"/>
      <c r="D1789" s="312"/>
      <c r="E1789" s="312"/>
      <c r="G1789" s="47"/>
      <c r="H1789" s="24"/>
      <c r="I1789" s="312"/>
      <c r="J1789" s="312"/>
      <c r="L1789" s="47"/>
      <c r="M1789" s="24"/>
      <c r="N1789" s="312"/>
      <c r="O1789" s="312"/>
      <c r="Q1789" s="47"/>
      <c r="R1789" s="136" t="s">
        <v>2221</v>
      </c>
      <c r="S1789" s="25" t="s">
        <v>2222</v>
      </c>
      <c r="T1789" s="155">
        <v>390176</v>
      </c>
      <c r="U1789" s="155">
        <v>0</v>
      </c>
      <c r="V1789" s="11"/>
    </row>
    <row r="1790" spans="2:22" x14ac:dyDescent="0.3">
      <c r="B1790" s="47"/>
      <c r="C1790" s="24"/>
      <c r="D1790" s="312"/>
      <c r="E1790" s="312"/>
      <c r="G1790" s="47"/>
      <c r="H1790" s="24"/>
      <c r="I1790" s="312"/>
      <c r="J1790" s="312"/>
      <c r="L1790" s="47"/>
      <c r="M1790" s="24"/>
      <c r="N1790" s="312"/>
      <c r="O1790" s="312"/>
      <c r="Q1790" s="47"/>
      <c r="R1790" s="136" t="s">
        <v>2223</v>
      </c>
      <c r="S1790" s="25" t="s">
        <v>2224</v>
      </c>
      <c r="T1790" s="155">
        <v>812815</v>
      </c>
      <c r="U1790" s="155">
        <v>0</v>
      </c>
      <c r="V1790" s="11"/>
    </row>
    <row r="1791" spans="2:22" x14ac:dyDescent="0.3">
      <c r="B1791" s="47"/>
      <c r="C1791" s="24"/>
      <c r="D1791" s="312"/>
      <c r="E1791" s="312"/>
      <c r="G1791" s="47"/>
      <c r="H1791" s="24"/>
      <c r="I1791" s="312"/>
      <c r="J1791" s="312"/>
      <c r="L1791" s="47"/>
      <c r="M1791" s="24"/>
      <c r="N1791" s="312"/>
      <c r="O1791" s="312"/>
      <c r="Q1791" s="47"/>
      <c r="R1791" s="136" t="s">
        <v>2226</v>
      </c>
      <c r="S1791" s="25" t="s">
        <v>2227</v>
      </c>
      <c r="T1791" s="155">
        <v>620923</v>
      </c>
      <c r="U1791" s="155">
        <v>0</v>
      </c>
      <c r="V1791" s="11"/>
    </row>
    <row r="1792" spans="2:22" x14ac:dyDescent="0.3">
      <c r="B1792" s="47"/>
      <c r="C1792" s="24"/>
      <c r="D1792" s="312"/>
      <c r="E1792" s="312"/>
      <c r="G1792" s="47"/>
      <c r="H1792" s="24"/>
      <c r="I1792" s="312"/>
      <c r="J1792" s="312"/>
      <c r="L1792" s="47"/>
      <c r="M1792" s="24"/>
      <c r="N1792" s="312"/>
      <c r="O1792" s="312"/>
      <c r="Q1792" s="47"/>
      <c r="R1792" s="136" t="s">
        <v>2228</v>
      </c>
      <c r="S1792" s="25" t="s">
        <v>1990</v>
      </c>
      <c r="T1792" s="155">
        <v>278447</v>
      </c>
      <c r="U1792" s="155">
        <v>0</v>
      </c>
      <c r="V1792" s="11"/>
    </row>
    <row r="1793" spans="2:22" x14ac:dyDescent="0.3">
      <c r="B1793" s="47"/>
      <c r="C1793" s="24"/>
      <c r="D1793" s="312"/>
      <c r="E1793" s="312"/>
      <c r="G1793" s="47"/>
      <c r="H1793" s="24"/>
      <c r="I1793" s="312"/>
      <c r="J1793" s="312"/>
      <c r="L1793" s="47"/>
      <c r="M1793" s="24"/>
      <c r="N1793" s="312"/>
      <c r="O1793" s="312"/>
      <c r="Q1793" s="47"/>
      <c r="R1793" s="136" t="s">
        <v>2229</v>
      </c>
      <c r="S1793" s="25" t="s">
        <v>1987</v>
      </c>
      <c r="T1793" s="155">
        <v>62409</v>
      </c>
      <c r="U1793" s="155">
        <v>0</v>
      </c>
      <c r="V1793" s="11"/>
    </row>
    <row r="1794" spans="2:22" x14ac:dyDescent="0.3">
      <c r="B1794" s="47"/>
      <c r="C1794" s="24"/>
      <c r="D1794" s="312"/>
      <c r="E1794" s="312"/>
      <c r="G1794" s="47"/>
      <c r="H1794" s="24"/>
      <c r="I1794" s="312"/>
      <c r="J1794" s="312"/>
      <c r="L1794" s="47"/>
      <c r="M1794" s="24"/>
      <c r="N1794" s="312"/>
      <c r="O1794" s="312"/>
      <c r="Q1794" s="47"/>
      <c r="R1794" s="136" t="s">
        <v>2230</v>
      </c>
      <c r="S1794" s="25" t="s">
        <v>2231</v>
      </c>
      <c r="T1794" s="155">
        <v>255164</v>
      </c>
      <c r="U1794" s="155">
        <v>0</v>
      </c>
      <c r="V1794" s="11"/>
    </row>
    <row r="1795" spans="2:22" x14ac:dyDescent="0.3">
      <c r="B1795" s="47"/>
      <c r="C1795" s="24"/>
      <c r="D1795" s="312"/>
      <c r="E1795" s="312"/>
      <c r="G1795" s="47"/>
      <c r="H1795" s="24"/>
      <c r="I1795" s="312"/>
      <c r="J1795" s="312"/>
      <c r="L1795" s="47"/>
      <c r="M1795" s="24"/>
      <c r="N1795" s="312"/>
      <c r="O1795" s="312"/>
      <c r="Q1795" s="47"/>
      <c r="R1795" s="136" t="s">
        <v>2232</v>
      </c>
      <c r="S1795" s="25" t="s">
        <v>1988</v>
      </c>
      <c r="T1795" s="155">
        <v>361009</v>
      </c>
      <c r="U1795" s="155">
        <v>0</v>
      </c>
      <c r="V1795" s="11"/>
    </row>
    <row r="1796" spans="2:22" x14ac:dyDescent="0.3">
      <c r="B1796" s="47"/>
      <c r="C1796" s="24"/>
      <c r="D1796" s="312"/>
      <c r="E1796" s="312"/>
      <c r="G1796" s="47"/>
      <c r="H1796" s="24"/>
      <c r="I1796" s="312"/>
      <c r="J1796" s="312"/>
      <c r="L1796" s="47"/>
      <c r="M1796" s="24"/>
      <c r="N1796" s="312"/>
      <c r="O1796" s="312"/>
      <c r="Q1796" s="47"/>
      <c r="R1796" s="136" t="s">
        <v>2233</v>
      </c>
      <c r="S1796" s="25" t="s">
        <v>1989</v>
      </c>
      <c r="T1796" s="155">
        <v>59213</v>
      </c>
      <c r="U1796" s="155">
        <v>0</v>
      </c>
      <c r="V1796" s="11"/>
    </row>
    <row r="1797" spans="2:22" x14ac:dyDescent="0.3">
      <c r="B1797" s="47"/>
      <c r="C1797" s="24"/>
      <c r="D1797" s="312"/>
      <c r="E1797" s="312"/>
      <c r="G1797" s="47"/>
      <c r="H1797" s="24"/>
      <c r="I1797" s="312"/>
      <c r="J1797" s="312"/>
      <c r="L1797" s="47"/>
      <c r="M1797" s="24"/>
      <c r="N1797" s="312"/>
      <c r="O1797" s="312"/>
      <c r="Q1797" s="47"/>
      <c r="R1797" s="136" t="s">
        <v>2234</v>
      </c>
      <c r="S1797" s="25" t="s">
        <v>2235</v>
      </c>
      <c r="T1797" s="155">
        <v>65465</v>
      </c>
      <c r="U1797" s="155">
        <v>0</v>
      </c>
      <c r="V1797" s="11"/>
    </row>
    <row r="1798" spans="2:22" x14ac:dyDescent="0.3">
      <c r="B1798" s="47"/>
      <c r="C1798" s="24"/>
      <c r="D1798" s="312"/>
      <c r="E1798" s="312"/>
      <c r="G1798" s="47"/>
      <c r="H1798" s="24"/>
      <c r="I1798" s="312"/>
      <c r="J1798" s="312"/>
      <c r="L1798" s="47"/>
      <c r="M1798" s="24"/>
      <c r="N1798" s="312"/>
      <c r="O1798" s="312"/>
      <c r="Q1798" s="241">
        <v>80010004</v>
      </c>
      <c r="R1798" s="242"/>
      <c r="S1798" s="246" t="s">
        <v>1067</v>
      </c>
      <c r="T1798" s="239">
        <f>SUM(T1799:T1823)-SUM(U1799:U1823)</f>
        <v>1680538</v>
      </c>
      <c r="U1798" s="240">
        <v>0</v>
      </c>
      <c r="V1798" s="11"/>
    </row>
    <row r="1799" spans="2:22" x14ac:dyDescent="0.3">
      <c r="B1799" s="47"/>
      <c r="C1799" s="24"/>
      <c r="D1799" s="312"/>
      <c r="E1799" s="312"/>
      <c r="G1799" s="47"/>
      <c r="H1799" s="24"/>
      <c r="I1799" s="312"/>
      <c r="J1799" s="312"/>
      <c r="L1799" s="47"/>
      <c r="M1799" s="24"/>
      <c r="N1799" s="312"/>
      <c r="O1799" s="312"/>
      <c r="Q1799" s="47"/>
      <c r="R1799" s="136" t="s">
        <v>2154</v>
      </c>
      <c r="S1799" s="25" t="s">
        <v>2155</v>
      </c>
      <c r="T1799" s="155">
        <v>92072</v>
      </c>
      <c r="U1799" s="155">
        <v>0</v>
      </c>
      <c r="V1799" s="11"/>
    </row>
    <row r="1800" spans="2:22" x14ac:dyDescent="0.3">
      <c r="B1800" s="47"/>
      <c r="C1800" s="24"/>
      <c r="D1800" s="312"/>
      <c r="E1800" s="312"/>
      <c r="G1800" s="47"/>
      <c r="H1800" s="24"/>
      <c r="I1800" s="312"/>
      <c r="J1800" s="312"/>
      <c r="L1800" s="47"/>
      <c r="M1800" s="24"/>
      <c r="N1800" s="312"/>
      <c r="O1800" s="312"/>
      <c r="Q1800" s="47"/>
      <c r="R1800" s="136" t="s">
        <v>2156</v>
      </c>
      <c r="S1800" s="25" t="s">
        <v>2157</v>
      </c>
      <c r="T1800" s="155">
        <v>309353</v>
      </c>
      <c r="U1800" s="155">
        <v>0</v>
      </c>
      <c r="V1800" s="11"/>
    </row>
    <row r="1801" spans="2:22" x14ac:dyDescent="0.3">
      <c r="B1801" s="47"/>
      <c r="C1801" s="24"/>
      <c r="D1801" s="312"/>
      <c r="E1801" s="312"/>
      <c r="G1801" s="47"/>
      <c r="H1801" s="24"/>
      <c r="I1801" s="312"/>
      <c r="J1801" s="312"/>
      <c r="L1801" s="47"/>
      <c r="M1801" s="24"/>
      <c r="N1801" s="312"/>
      <c r="O1801" s="312"/>
      <c r="Q1801" s="47"/>
      <c r="R1801" s="136" t="s">
        <v>2199</v>
      </c>
      <c r="S1801" s="25" t="s">
        <v>2200</v>
      </c>
      <c r="T1801" s="155">
        <v>87276</v>
      </c>
      <c r="U1801" s="155">
        <v>0</v>
      </c>
      <c r="V1801" s="11"/>
    </row>
    <row r="1802" spans="2:22" x14ac:dyDescent="0.3">
      <c r="B1802" s="47"/>
      <c r="C1802" s="24"/>
      <c r="D1802" s="312"/>
      <c r="E1802" s="312"/>
      <c r="G1802" s="47"/>
      <c r="H1802" s="24"/>
      <c r="I1802" s="312"/>
      <c r="J1802" s="312"/>
      <c r="L1802" s="47"/>
      <c r="M1802" s="24"/>
      <c r="N1802" s="312"/>
      <c r="O1802" s="312"/>
      <c r="Q1802" s="47"/>
      <c r="R1802" s="136" t="s">
        <v>2201</v>
      </c>
      <c r="S1802" s="25" t="s">
        <v>2202</v>
      </c>
      <c r="T1802" s="155">
        <v>132903</v>
      </c>
      <c r="U1802" s="155">
        <v>0</v>
      </c>
      <c r="V1802" s="11"/>
    </row>
    <row r="1803" spans="2:22" x14ac:dyDescent="0.3">
      <c r="B1803" s="47"/>
      <c r="C1803" s="24"/>
      <c r="D1803" s="312"/>
      <c r="E1803" s="312"/>
      <c r="G1803" s="47"/>
      <c r="H1803" s="24"/>
      <c r="I1803" s="312"/>
      <c r="J1803" s="312"/>
      <c r="L1803" s="47"/>
      <c r="M1803" s="24"/>
      <c r="N1803" s="312"/>
      <c r="O1803" s="312"/>
      <c r="Q1803" s="47"/>
      <c r="R1803" s="136" t="s">
        <v>2340</v>
      </c>
      <c r="S1803" s="25" t="s">
        <v>2159</v>
      </c>
      <c r="T1803" s="155">
        <v>191784</v>
      </c>
      <c r="U1803" s="155">
        <v>0</v>
      </c>
      <c r="V1803" s="11"/>
    </row>
    <row r="1804" spans="2:22" x14ac:dyDescent="0.3">
      <c r="B1804" s="47"/>
      <c r="C1804" s="24"/>
      <c r="D1804" s="312"/>
      <c r="E1804" s="312"/>
      <c r="G1804" s="47"/>
      <c r="H1804" s="24"/>
      <c r="I1804" s="312"/>
      <c r="J1804" s="312"/>
      <c r="L1804" s="47"/>
      <c r="M1804" s="24"/>
      <c r="N1804" s="312"/>
      <c r="O1804" s="312"/>
      <c r="Q1804" s="47"/>
      <c r="R1804" s="136" t="s">
        <v>2160</v>
      </c>
      <c r="S1804" s="25" t="s">
        <v>2161</v>
      </c>
      <c r="T1804" s="155">
        <v>47465</v>
      </c>
      <c r="U1804" s="155">
        <v>0</v>
      </c>
      <c r="V1804" s="11"/>
    </row>
    <row r="1805" spans="2:22" x14ac:dyDescent="0.3">
      <c r="B1805" s="47"/>
      <c r="C1805" s="24"/>
      <c r="D1805" s="312"/>
      <c r="E1805" s="312"/>
      <c r="G1805" s="47"/>
      <c r="H1805" s="24"/>
      <c r="I1805" s="312"/>
      <c r="J1805" s="312"/>
      <c r="L1805" s="47"/>
      <c r="M1805" s="24"/>
      <c r="N1805" s="312"/>
      <c r="O1805" s="312"/>
      <c r="Q1805" s="47"/>
      <c r="R1805" s="136" t="s">
        <v>2162</v>
      </c>
      <c r="S1805" s="25" t="s">
        <v>2163</v>
      </c>
      <c r="T1805" s="155">
        <v>28800</v>
      </c>
      <c r="U1805" s="155">
        <v>0</v>
      </c>
      <c r="V1805" s="11"/>
    </row>
    <row r="1806" spans="2:22" x14ac:dyDescent="0.3">
      <c r="B1806" s="47"/>
      <c r="C1806" s="24"/>
      <c r="D1806" s="312"/>
      <c r="E1806" s="312"/>
      <c r="G1806" s="47"/>
      <c r="H1806" s="24"/>
      <c r="I1806" s="312"/>
      <c r="J1806" s="312"/>
      <c r="L1806" s="47"/>
      <c r="M1806" s="24"/>
      <c r="N1806" s="312"/>
      <c r="O1806" s="312"/>
      <c r="Q1806" s="47"/>
      <c r="R1806" s="136" t="s">
        <v>2165</v>
      </c>
      <c r="S1806" s="25" t="s">
        <v>2166</v>
      </c>
      <c r="T1806" s="155">
        <v>33600</v>
      </c>
      <c r="U1806" s="155">
        <v>0</v>
      </c>
      <c r="V1806" s="11"/>
    </row>
    <row r="1807" spans="2:22" x14ac:dyDescent="0.3">
      <c r="B1807" s="47"/>
      <c r="C1807" s="24"/>
      <c r="D1807" s="312"/>
      <c r="E1807" s="312"/>
      <c r="G1807" s="47"/>
      <c r="H1807" s="24"/>
      <c r="I1807" s="312"/>
      <c r="J1807" s="312"/>
      <c r="L1807" s="47"/>
      <c r="M1807" s="24"/>
      <c r="N1807" s="312"/>
      <c r="O1807" s="312"/>
      <c r="Q1807" s="47"/>
      <c r="R1807" s="136" t="s">
        <v>2168</v>
      </c>
      <c r="S1807" s="25" t="s">
        <v>2169</v>
      </c>
      <c r="T1807" s="155">
        <v>24435</v>
      </c>
      <c r="U1807" s="155">
        <v>0</v>
      </c>
      <c r="V1807" s="11"/>
    </row>
    <row r="1808" spans="2:22" x14ac:dyDescent="0.3">
      <c r="B1808" s="47"/>
      <c r="C1808" s="24"/>
      <c r="D1808" s="312"/>
      <c r="E1808" s="312"/>
      <c r="G1808" s="47"/>
      <c r="H1808" s="24"/>
      <c r="I1808" s="312"/>
      <c r="J1808" s="312"/>
      <c r="L1808" s="47"/>
      <c r="M1808" s="24"/>
      <c r="N1808" s="312"/>
      <c r="O1808" s="312"/>
      <c r="Q1808" s="47"/>
      <c r="R1808" s="136" t="s">
        <v>3313</v>
      </c>
      <c r="S1808" s="25" t="s">
        <v>2211</v>
      </c>
      <c r="T1808" s="155">
        <v>79094</v>
      </c>
      <c r="U1808" s="155">
        <v>0</v>
      </c>
      <c r="V1808" s="11"/>
    </row>
    <row r="1809" spans="2:22" x14ac:dyDescent="0.3">
      <c r="B1809" s="47"/>
      <c r="C1809" s="24"/>
      <c r="D1809" s="312"/>
      <c r="E1809" s="312"/>
      <c r="G1809" s="47"/>
      <c r="H1809" s="24"/>
      <c r="I1809" s="312"/>
      <c r="J1809" s="312"/>
      <c r="L1809" s="47"/>
      <c r="M1809" s="24"/>
      <c r="N1809" s="312"/>
      <c r="O1809" s="312"/>
      <c r="Q1809" s="47"/>
      <c r="R1809" s="136" t="s">
        <v>2212</v>
      </c>
      <c r="S1809" s="25" t="s">
        <v>2213</v>
      </c>
      <c r="T1809" s="155">
        <v>12818</v>
      </c>
      <c r="U1809" s="155">
        <v>0</v>
      </c>
      <c r="V1809" s="11"/>
    </row>
    <row r="1810" spans="2:22" x14ac:dyDescent="0.3">
      <c r="B1810" s="47"/>
      <c r="C1810" s="24"/>
      <c r="D1810" s="312"/>
      <c r="E1810" s="312"/>
      <c r="G1810" s="47"/>
      <c r="H1810" s="24"/>
      <c r="I1810" s="312"/>
      <c r="J1810" s="312"/>
      <c r="L1810" s="47"/>
      <c r="M1810" s="24"/>
      <c r="N1810" s="312"/>
      <c r="O1810" s="312"/>
      <c r="Q1810" s="47"/>
      <c r="R1810" s="136" t="s">
        <v>1895</v>
      </c>
      <c r="S1810" s="25" t="s">
        <v>2174</v>
      </c>
      <c r="T1810" s="155">
        <v>61218</v>
      </c>
      <c r="U1810" s="155">
        <v>0</v>
      </c>
      <c r="V1810" s="11"/>
    </row>
    <row r="1811" spans="2:22" x14ac:dyDescent="0.3">
      <c r="B1811" s="47"/>
      <c r="C1811" s="24"/>
      <c r="D1811" s="312"/>
      <c r="E1811" s="312"/>
      <c r="G1811" s="47"/>
      <c r="H1811" s="24"/>
      <c r="I1811" s="312"/>
      <c r="J1811" s="312"/>
      <c r="L1811" s="47"/>
      <c r="M1811" s="24"/>
      <c r="N1811" s="312"/>
      <c r="O1811" s="312"/>
      <c r="Q1811" s="47"/>
      <c r="R1811" s="136" t="s">
        <v>2177</v>
      </c>
      <c r="S1811" s="25" t="s">
        <v>2341</v>
      </c>
      <c r="T1811" s="155">
        <v>125669</v>
      </c>
      <c r="U1811" s="155">
        <v>0</v>
      </c>
      <c r="V1811" s="11"/>
    </row>
    <row r="1812" spans="2:22" x14ac:dyDescent="0.3">
      <c r="B1812" s="47"/>
      <c r="C1812" s="24"/>
      <c r="D1812" s="312"/>
      <c r="E1812" s="312"/>
      <c r="G1812" s="47"/>
      <c r="H1812" s="24"/>
      <c r="I1812" s="312"/>
      <c r="J1812" s="312"/>
      <c r="L1812" s="47"/>
      <c r="M1812" s="24"/>
      <c r="N1812" s="312"/>
      <c r="O1812" s="312"/>
      <c r="Q1812" s="47"/>
      <c r="R1812" s="136" t="s">
        <v>2183</v>
      </c>
      <c r="S1812" s="25" t="s">
        <v>2182</v>
      </c>
      <c r="T1812" s="155">
        <v>8392</v>
      </c>
      <c r="U1812" s="155">
        <v>0</v>
      </c>
      <c r="V1812" s="11"/>
    </row>
    <row r="1813" spans="2:22" x14ac:dyDescent="0.3">
      <c r="B1813" s="47"/>
      <c r="C1813" s="24"/>
      <c r="D1813" s="312"/>
      <c r="E1813" s="312"/>
      <c r="G1813" s="47"/>
      <c r="H1813" s="24"/>
      <c r="I1813" s="312"/>
      <c r="J1813" s="312"/>
      <c r="L1813" s="47"/>
      <c r="M1813" s="24"/>
      <c r="N1813" s="312"/>
      <c r="O1813" s="312"/>
      <c r="Q1813" s="47"/>
      <c r="R1813" s="136" t="s">
        <v>2185</v>
      </c>
      <c r="S1813" s="25" t="s">
        <v>2184</v>
      </c>
      <c r="T1813" s="155">
        <v>53708</v>
      </c>
      <c r="U1813" s="155">
        <v>0</v>
      </c>
      <c r="V1813" s="11"/>
    </row>
    <row r="1814" spans="2:22" x14ac:dyDescent="0.3">
      <c r="B1814" s="47"/>
      <c r="C1814" s="24"/>
      <c r="D1814" s="312"/>
      <c r="E1814" s="312"/>
      <c r="G1814" s="47"/>
      <c r="H1814" s="24"/>
      <c r="I1814" s="312"/>
      <c r="J1814" s="312"/>
      <c r="L1814" s="47"/>
      <c r="M1814" s="24"/>
      <c r="N1814" s="312"/>
      <c r="O1814" s="312"/>
      <c r="Q1814" s="47"/>
      <c r="R1814" s="136" t="s">
        <v>2187</v>
      </c>
      <c r="S1814" s="25" t="s">
        <v>2186</v>
      </c>
      <c r="T1814" s="155">
        <v>37283</v>
      </c>
      <c r="U1814" s="155">
        <v>0</v>
      </c>
      <c r="V1814" s="11"/>
    </row>
    <row r="1815" spans="2:22" x14ac:dyDescent="0.3">
      <c r="B1815" s="47"/>
      <c r="C1815" s="24"/>
      <c r="D1815" s="312"/>
      <c r="E1815" s="312"/>
      <c r="G1815" s="47"/>
      <c r="H1815" s="24"/>
      <c r="I1815" s="312"/>
      <c r="J1815" s="312"/>
      <c r="L1815" s="47"/>
      <c r="M1815" s="24"/>
      <c r="N1815" s="312"/>
      <c r="O1815" s="312"/>
      <c r="Q1815" s="47"/>
      <c r="R1815" s="136" t="s">
        <v>2342</v>
      </c>
      <c r="S1815" s="25" t="s">
        <v>2188</v>
      </c>
      <c r="T1815" s="155">
        <v>33044</v>
      </c>
      <c r="U1815" s="155">
        <v>0</v>
      </c>
      <c r="V1815" s="11"/>
    </row>
    <row r="1816" spans="2:22" x14ac:dyDescent="0.3">
      <c r="B1816" s="47"/>
      <c r="C1816" s="24"/>
      <c r="D1816" s="312"/>
      <c r="E1816" s="312"/>
      <c r="G1816" s="47"/>
      <c r="H1816" s="24"/>
      <c r="I1816" s="312"/>
      <c r="J1816" s="312"/>
      <c r="L1816" s="47"/>
      <c r="M1816" s="24"/>
      <c r="N1816" s="312"/>
      <c r="O1816" s="312"/>
      <c r="Q1816" s="47"/>
      <c r="R1816" s="136" t="s">
        <v>2190</v>
      </c>
      <c r="S1816" s="25" t="s">
        <v>2189</v>
      </c>
      <c r="T1816" s="155">
        <v>35527</v>
      </c>
      <c r="U1816" s="155">
        <v>0</v>
      </c>
      <c r="V1816" s="11"/>
    </row>
    <row r="1817" spans="2:22" x14ac:dyDescent="0.3">
      <c r="B1817" s="47"/>
      <c r="C1817" s="24"/>
      <c r="D1817" s="312"/>
      <c r="E1817" s="312"/>
      <c r="G1817" s="47"/>
      <c r="H1817" s="24"/>
      <c r="I1817" s="312"/>
      <c r="J1817" s="312"/>
      <c r="L1817" s="47"/>
      <c r="M1817" s="24"/>
      <c r="N1817" s="312"/>
      <c r="O1817" s="312"/>
      <c r="Q1817" s="47"/>
      <c r="R1817" s="136" t="s">
        <v>2192</v>
      </c>
      <c r="S1817" s="25" t="s">
        <v>2191</v>
      </c>
      <c r="T1817" s="155">
        <v>17000</v>
      </c>
      <c r="U1817" s="155">
        <v>0</v>
      </c>
      <c r="V1817" s="11"/>
    </row>
    <row r="1818" spans="2:22" x14ac:dyDescent="0.3">
      <c r="B1818" s="47"/>
      <c r="C1818" s="24"/>
      <c r="D1818" s="312"/>
      <c r="E1818" s="312"/>
      <c r="G1818" s="47"/>
      <c r="H1818" s="24"/>
      <c r="I1818" s="312"/>
      <c r="J1818" s="312"/>
      <c r="L1818" s="47"/>
      <c r="M1818" s="24"/>
      <c r="N1818" s="312"/>
      <c r="O1818" s="312"/>
      <c r="Q1818" s="47"/>
      <c r="R1818" s="136" t="s">
        <v>1896</v>
      </c>
      <c r="S1818" s="25" t="s">
        <v>2193</v>
      </c>
      <c r="T1818" s="155">
        <v>12573</v>
      </c>
      <c r="U1818" s="155">
        <v>0</v>
      </c>
      <c r="V1818" s="11"/>
    </row>
    <row r="1819" spans="2:22" x14ac:dyDescent="0.3">
      <c r="B1819" s="47"/>
      <c r="C1819" s="24"/>
      <c r="D1819" s="312"/>
      <c r="E1819" s="312"/>
      <c r="G1819" s="47"/>
      <c r="H1819" s="24"/>
      <c r="I1819" s="312"/>
      <c r="J1819" s="312"/>
      <c r="L1819" s="47"/>
      <c r="M1819" s="24"/>
      <c r="N1819" s="312"/>
      <c r="O1819" s="312"/>
      <c r="Q1819" s="47"/>
      <c r="R1819" s="136" t="s">
        <v>3291</v>
      </c>
      <c r="S1819" s="25" t="s">
        <v>2171</v>
      </c>
      <c r="T1819" s="155">
        <v>92834</v>
      </c>
      <c r="U1819" s="155">
        <v>0</v>
      </c>
      <c r="V1819" s="11"/>
    </row>
    <row r="1820" spans="2:22" x14ac:dyDescent="0.3">
      <c r="B1820" s="47"/>
      <c r="C1820" s="24"/>
      <c r="D1820" s="312"/>
      <c r="E1820" s="312"/>
      <c r="G1820" s="47"/>
      <c r="H1820" s="24"/>
      <c r="I1820" s="312"/>
      <c r="J1820" s="312"/>
      <c r="L1820" s="47"/>
      <c r="M1820" s="24"/>
      <c r="N1820" s="312"/>
      <c r="O1820" s="312"/>
      <c r="Q1820" s="47"/>
      <c r="R1820" s="136" t="s">
        <v>1898</v>
      </c>
      <c r="S1820" s="25" t="s">
        <v>2218</v>
      </c>
      <c r="T1820" s="155">
        <v>52500</v>
      </c>
      <c r="U1820" s="155">
        <v>0</v>
      </c>
      <c r="V1820" s="11"/>
    </row>
    <row r="1821" spans="2:22" x14ac:dyDescent="0.3">
      <c r="B1821" s="47"/>
      <c r="C1821" s="24"/>
      <c r="D1821" s="312"/>
      <c r="E1821" s="312"/>
      <c r="G1821" s="47"/>
      <c r="H1821" s="24"/>
      <c r="I1821" s="312"/>
      <c r="J1821" s="312"/>
      <c r="L1821" s="47"/>
      <c r="M1821" s="24"/>
      <c r="N1821" s="312"/>
      <c r="O1821" s="312"/>
      <c r="Q1821" s="47"/>
      <c r="R1821" s="136" t="s">
        <v>2223</v>
      </c>
      <c r="S1821" s="25" t="s">
        <v>2224</v>
      </c>
      <c r="T1821" s="155">
        <v>50447</v>
      </c>
      <c r="U1821" s="155">
        <v>0</v>
      </c>
      <c r="V1821" s="11"/>
    </row>
    <row r="1822" spans="2:22" x14ac:dyDescent="0.3">
      <c r="B1822" s="47"/>
      <c r="C1822" s="24"/>
      <c r="D1822" s="312"/>
      <c r="E1822" s="312"/>
      <c r="G1822" s="47"/>
      <c r="H1822" s="24"/>
      <c r="I1822" s="312"/>
      <c r="J1822" s="312"/>
      <c r="L1822" s="47"/>
      <c r="M1822" s="24"/>
      <c r="N1822" s="312"/>
      <c r="O1822" s="312"/>
      <c r="Q1822" s="47"/>
      <c r="R1822" s="136" t="s">
        <v>2226</v>
      </c>
      <c r="S1822" s="25" t="s">
        <v>2227</v>
      </c>
      <c r="T1822" s="155">
        <v>47428</v>
      </c>
      <c r="U1822" s="155">
        <v>0</v>
      </c>
      <c r="V1822" s="11"/>
    </row>
    <row r="1823" spans="2:22" x14ac:dyDescent="0.3">
      <c r="B1823" s="47"/>
      <c r="C1823" s="24"/>
      <c r="D1823" s="312"/>
      <c r="E1823" s="312"/>
      <c r="G1823" s="47"/>
      <c r="H1823" s="24"/>
      <c r="I1823" s="312"/>
      <c r="J1823" s="312"/>
      <c r="L1823" s="47"/>
      <c r="M1823" s="24"/>
      <c r="N1823" s="312"/>
      <c r="O1823" s="312"/>
      <c r="Q1823" s="47"/>
      <c r="R1823" s="136" t="s">
        <v>2233</v>
      </c>
      <c r="S1823" s="25" t="s">
        <v>1989</v>
      </c>
      <c r="T1823" s="155">
        <v>13315</v>
      </c>
      <c r="U1823" s="155">
        <v>0</v>
      </c>
      <c r="V1823" s="11"/>
    </row>
    <row r="1824" spans="2:22" x14ac:dyDescent="0.3">
      <c r="B1824" s="47"/>
      <c r="C1824" s="24"/>
      <c r="D1824" s="312"/>
      <c r="E1824" s="312"/>
      <c r="G1824" s="47"/>
      <c r="H1824" s="24"/>
      <c r="I1824" s="312"/>
      <c r="J1824" s="312"/>
      <c r="L1824" s="47"/>
      <c r="M1824" s="24"/>
      <c r="N1824" s="312"/>
      <c r="O1824" s="312"/>
      <c r="Q1824" s="241">
        <v>80010005</v>
      </c>
      <c r="R1824" s="242"/>
      <c r="S1824" s="246" t="s">
        <v>1068</v>
      </c>
      <c r="T1824" s="239">
        <f>SUM(T1825:T1866)-SUM(U1825:U1866)</f>
        <v>4599180</v>
      </c>
      <c r="U1824" s="240">
        <v>0</v>
      </c>
      <c r="V1824" s="11"/>
    </row>
    <row r="1825" spans="2:22" x14ac:dyDescent="0.3">
      <c r="B1825" s="47"/>
      <c r="C1825" s="24"/>
      <c r="D1825" s="312"/>
      <c r="E1825" s="312"/>
      <c r="G1825" s="47"/>
      <c r="H1825" s="24"/>
      <c r="I1825" s="312"/>
      <c r="J1825" s="312"/>
      <c r="L1825" s="47"/>
      <c r="M1825" s="24"/>
      <c r="N1825" s="312"/>
      <c r="O1825" s="312"/>
      <c r="Q1825" s="47"/>
      <c r="R1825" s="136" t="s">
        <v>1931</v>
      </c>
      <c r="S1825" s="25" t="s">
        <v>1932</v>
      </c>
      <c r="T1825" s="155">
        <v>83520</v>
      </c>
      <c r="U1825" s="155">
        <v>0</v>
      </c>
      <c r="V1825" s="11"/>
    </row>
    <row r="1826" spans="2:22" x14ac:dyDescent="0.3">
      <c r="B1826" s="47"/>
      <c r="C1826" s="24"/>
      <c r="D1826" s="312"/>
      <c r="E1826" s="312"/>
      <c r="G1826" s="47"/>
      <c r="H1826" s="24"/>
      <c r="I1826" s="312"/>
      <c r="J1826" s="312"/>
      <c r="L1826" s="47"/>
      <c r="M1826" s="24"/>
      <c r="N1826" s="312"/>
      <c r="O1826" s="312"/>
      <c r="Q1826" s="47"/>
      <c r="R1826" s="136" t="s">
        <v>1934</v>
      </c>
      <c r="S1826" s="25" t="s">
        <v>2196</v>
      </c>
      <c r="T1826" s="155">
        <v>8880</v>
      </c>
      <c r="U1826" s="155">
        <v>0</v>
      </c>
      <c r="V1826" s="11"/>
    </row>
    <row r="1827" spans="2:22" x14ac:dyDescent="0.3">
      <c r="B1827" s="47"/>
      <c r="C1827" s="24"/>
      <c r="D1827" s="312"/>
      <c r="E1827" s="312"/>
      <c r="G1827" s="47"/>
      <c r="H1827" s="24"/>
      <c r="I1827" s="312"/>
      <c r="J1827" s="312"/>
      <c r="L1827" s="47"/>
      <c r="M1827" s="24"/>
      <c r="N1827" s="312"/>
      <c r="O1827" s="312"/>
      <c r="Q1827" s="47"/>
      <c r="R1827" s="136" t="s">
        <v>2154</v>
      </c>
      <c r="S1827" s="25" t="s">
        <v>2155</v>
      </c>
      <c r="T1827" s="155">
        <v>83520</v>
      </c>
      <c r="U1827" s="155">
        <v>0</v>
      </c>
      <c r="V1827" s="11"/>
    </row>
    <row r="1828" spans="2:22" x14ac:dyDescent="0.3">
      <c r="B1828" s="47"/>
      <c r="C1828" s="24"/>
      <c r="D1828" s="312"/>
      <c r="E1828" s="312"/>
      <c r="G1828" s="47"/>
      <c r="H1828" s="24"/>
      <c r="I1828" s="312"/>
      <c r="J1828" s="312"/>
      <c r="L1828" s="47"/>
      <c r="M1828" s="24"/>
      <c r="N1828" s="312"/>
      <c r="O1828" s="312"/>
      <c r="Q1828" s="47"/>
      <c r="R1828" s="136" t="s">
        <v>2156</v>
      </c>
      <c r="S1828" s="25" t="s">
        <v>2157</v>
      </c>
      <c r="T1828" s="155">
        <v>517200</v>
      </c>
      <c r="U1828" s="155">
        <v>0</v>
      </c>
      <c r="V1828" s="11"/>
    </row>
    <row r="1829" spans="2:22" x14ac:dyDescent="0.3">
      <c r="B1829" s="47"/>
      <c r="C1829" s="24"/>
      <c r="D1829" s="312"/>
      <c r="E1829" s="312"/>
      <c r="G1829" s="47"/>
      <c r="H1829" s="24"/>
      <c r="I1829" s="312"/>
      <c r="J1829" s="312"/>
      <c r="L1829" s="47"/>
      <c r="M1829" s="24"/>
      <c r="N1829" s="312"/>
      <c r="O1829" s="312"/>
      <c r="Q1829" s="47"/>
      <c r="R1829" s="136" t="s">
        <v>2199</v>
      </c>
      <c r="S1829" s="25" t="s">
        <v>2200</v>
      </c>
      <c r="T1829" s="155">
        <v>197700</v>
      </c>
      <c r="U1829" s="155">
        <v>0</v>
      </c>
      <c r="V1829" s="11"/>
    </row>
    <row r="1830" spans="2:22" x14ac:dyDescent="0.3">
      <c r="B1830" s="47"/>
      <c r="C1830" s="24"/>
      <c r="D1830" s="312"/>
      <c r="E1830" s="312"/>
      <c r="G1830" s="47"/>
      <c r="H1830" s="24"/>
      <c r="I1830" s="312"/>
      <c r="J1830" s="312"/>
      <c r="L1830" s="47"/>
      <c r="M1830" s="24"/>
      <c r="N1830" s="312"/>
      <c r="O1830" s="312"/>
      <c r="Q1830" s="47"/>
      <c r="R1830" s="136" t="s">
        <v>2201</v>
      </c>
      <c r="S1830" s="25" t="s">
        <v>2202</v>
      </c>
      <c r="T1830" s="155">
        <v>129900</v>
      </c>
      <c r="U1830" s="155">
        <v>0</v>
      </c>
      <c r="V1830" s="11"/>
    </row>
    <row r="1831" spans="2:22" x14ac:dyDescent="0.3">
      <c r="B1831" s="47"/>
      <c r="C1831" s="24"/>
      <c r="D1831" s="312"/>
      <c r="E1831" s="312"/>
      <c r="G1831" s="47"/>
      <c r="H1831" s="24"/>
      <c r="I1831" s="312"/>
      <c r="J1831" s="312"/>
      <c r="L1831" s="47"/>
      <c r="M1831" s="24"/>
      <c r="N1831" s="312"/>
      <c r="O1831" s="312"/>
      <c r="Q1831" s="47"/>
      <c r="R1831" s="136" t="s">
        <v>2203</v>
      </c>
      <c r="S1831" s="25" t="s">
        <v>2204</v>
      </c>
      <c r="T1831" s="155">
        <v>79680</v>
      </c>
      <c r="U1831" s="155">
        <v>0</v>
      </c>
      <c r="V1831" s="11"/>
    </row>
    <row r="1832" spans="2:22" x14ac:dyDescent="0.3">
      <c r="B1832" s="47"/>
      <c r="C1832" s="24"/>
      <c r="D1832" s="312"/>
      <c r="E1832" s="312"/>
      <c r="G1832" s="47"/>
      <c r="H1832" s="24"/>
      <c r="I1832" s="312"/>
      <c r="J1832" s="312"/>
      <c r="L1832" s="47"/>
      <c r="M1832" s="24"/>
      <c r="N1832" s="312"/>
      <c r="O1832" s="312"/>
      <c r="Q1832" s="47"/>
      <c r="R1832" s="136" t="s">
        <v>2205</v>
      </c>
      <c r="S1832" s="25" t="s">
        <v>2206</v>
      </c>
      <c r="T1832" s="155">
        <v>137100</v>
      </c>
      <c r="U1832" s="155">
        <v>0</v>
      </c>
      <c r="V1832" s="11"/>
    </row>
    <row r="1833" spans="2:22" x14ac:dyDescent="0.3">
      <c r="B1833" s="47"/>
      <c r="C1833" s="24"/>
      <c r="D1833" s="312"/>
      <c r="E1833" s="312"/>
      <c r="G1833" s="47"/>
      <c r="H1833" s="24"/>
      <c r="I1833" s="312"/>
      <c r="J1833" s="312"/>
      <c r="L1833" s="47"/>
      <c r="M1833" s="24"/>
      <c r="N1833" s="312"/>
      <c r="O1833" s="312"/>
      <c r="Q1833" s="47"/>
      <c r="R1833" s="136" t="s">
        <v>2207</v>
      </c>
      <c r="S1833" s="25" t="s">
        <v>2208</v>
      </c>
      <c r="T1833" s="155">
        <v>162420</v>
      </c>
      <c r="U1833" s="155">
        <v>0</v>
      </c>
      <c r="V1833" s="11"/>
    </row>
    <row r="1834" spans="2:22" x14ac:dyDescent="0.3">
      <c r="B1834" s="47"/>
      <c r="C1834" s="24"/>
      <c r="D1834" s="312"/>
      <c r="E1834" s="312"/>
      <c r="G1834" s="47"/>
      <c r="H1834" s="24"/>
      <c r="I1834" s="312"/>
      <c r="J1834" s="312"/>
      <c r="L1834" s="47"/>
      <c r="M1834" s="24"/>
      <c r="N1834" s="312"/>
      <c r="O1834" s="312"/>
      <c r="Q1834" s="47"/>
      <c r="R1834" s="136" t="s">
        <v>2209</v>
      </c>
      <c r="S1834" s="25" t="s">
        <v>2210</v>
      </c>
      <c r="T1834" s="155">
        <v>150960</v>
      </c>
      <c r="U1834" s="155">
        <v>0</v>
      </c>
      <c r="V1834" s="11"/>
    </row>
    <row r="1835" spans="2:22" x14ac:dyDescent="0.3">
      <c r="B1835" s="47"/>
      <c r="C1835" s="24"/>
      <c r="D1835" s="312"/>
      <c r="E1835" s="312"/>
      <c r="G1835" s="47"/>
      <c r="H1835" s="24"/>
      <c r="I1835" s="312"/>
      <c r="J1835" s="312"/>
      <c r="L1835" s="47"/>
      <c r="M1835" s="24"/>
      <c r="N1835" s="312"/>
      <c r="O1835" s="312"/>
      <c r="Q1835" s="47"/>
      <c r="R1835" s="136" t="s">
        <v>2340</v>
      </c>
      <c r="S1835" s="25" t="s">
        <v>2159</v>
      </c>
      <c r="T1835" s="155">
        <v>194400</v>
      </c>
      <c r="U1835" s="155">
        <v>0</v>
      </c>
      <c r="V1835" s="11"/>
    </row>
    <row r="1836" spans="2:22" x14ac:dyDescent="0.3">
      <c r="B1836" s="47"/>
      <c r="C1836" s="24"/>
      <c r="D1836" s="312"/>
      <c r="E1836" s="312"/>
      <c r="G1836" s="47"/>
      <c r="H1836" s="24"/>
      <c r="I1836" s="312"/>
      <c r="J1836" s="312"/>
      <c r="L1836" s="47"/>
      <c r="M1836" s="24"/>
      <c r="N1836" s="312"/>
      <c r="O1836" s="312"/>
      <c r="Q1836" s="47"/>
      <c r="R1836" s="136" t="s">
        <v>2160</v>
      </c>
      <c r="S1836" s="25" t="s">
        <v>2161</v>
      </c>
      <c r="T1836" s="155">
        <v>125280</v>
      </c>
      <c r="U1836" s="155">
        <v>0</v>
      </c>
      <c r="V1836" s="11"/>
    </row>
    <row r="1837" spans="2:22" x14ac:dyDescent="0.3">
      <c r="B1837" s="47"/>
      <c r="C1837" s="24"/>
      <c r="D1837" s="312"/>
      <c r="E1837" s="312"/>
      <c r="G1837" s="47"/>
      <c r="H1837" s="24"/>
      <c r="I1837" s="312"/>
      <c r="J1837" s="312"/>
      <c r="L1837" s="47"/>
      <c r="M1837" s="24"/>
      <c r="N1837" s="312"/>
      <c r="O1837" s="312"/>
      <c r="Q1837" s="47"/>
      <c r="R1837" s="136" t="s">
        <v>2162</v>
      </c>
      <c r="S1837" s="25" t="s">
        <v>2163</v>
      </c>
      <c r="T1837" s="155">
        <v>148740</v>
      </c>
      <c r="U1837" s="155">
        <v>0</v>
      </c>
      <c r="V1837" s="11"/>
    </row>
    <row r="1838" spans="2:22" x14ac:dyDescent="0.3">
      <c r="B1838" s="47"/>
      <c r="C1838" s="24"/>
      <c r="D1838" s="312"/>
      <c r="E1838" s="312"/>
      <c r="G1838" s="47"/>
      <c r="H1838" s="24"/>
      <c r="I1838" s="312"/>
      <c r="J1838" s="312"/>
      <c r="L1838" s="47"/>
      <c r="M1838" s="24"/>
      <c r="N1838" s="312"/>
      <c r="O1838" s="312"/>
      <c r="Q1838" s="47"/>
      <c r="R1838" s="136" t="s">
        <v>2165</v>
      </c>
      <c r="S1838" s="25" t="s">
        <v>2166</v>
      </c>
      <c r="T1838" s="155">
        <v>79920</v>
      </c>
      <c r="U1838" s="155">
        <v>0</v>
      </c>
      <c r="V1838" s="11"/>
    </row>
    <row r="1839" spans="2:22" x14ac:dyDescent="0.3">
      <c r="B1839" s="47"/>
      <c r="C1839" s="24"/>
      <c r="D1839" s="312"/>
      <c r="E1839" s="312"/>
      <c r="G1839" s="47"/>
      <c r="H1839" s="24"/>
      <c r="I1839" s="312"/>
      <c r="J1839" s="312"/>
      <c r="L1839" s="47"/>
      <c r="M1839" s="24"/>
      <c r="N1839" s="312"/>
      <c r="O1839" s="312"/>
      <c r="Q1839" s="47"/>
      <c r="R1839" s="136" t="s">
        <v>2168</v>
      </c>
      <c r="S1839" s="25" t="s">
        <v>2169</v>
      </c>
      <c r="T1839" s="155">
        <v>64380</v>
      </c>
      <c r="U1839" s="155">
        <v>0</v>
      </c>
      <c r="V1839" s="11"/>
    </row>
    <row r="1840" spans="2:22" x14ac:dyDescent="0.3">
      <c r="B1840" s="47"/>
      <c r="C1840" s="24"/>
      <c r="D1840" s="312"/>
      <c r="E1840" s="312"/>
      <c r="G1840" s="47"/>
      <c r="H1840" s="24"/>
      <c r="I1840" s="312"/>
      <c r="J1840" s="312"/>
      <c r="L1840" s="47"/>
      <c r="M1840" s="24"/>
      <c r="N1840" s="312"/>
      <c r="O1840" s="312"/>
      <c r="Q1840" s="47"/>
      <c r="R1840" s="136" t="s">
        <v>2168</v>
      </c>
      <c r="S1840" s="25" t="s">
        <v>2169</v>
      </c>
      <c r="T1840" s="155">
        <v>24420</v>
      </c>
      <c r="U1840" s="155">
        <v>0</v>
      </c>
      <c r="V1840" s="11"/>
    </row>
    <row r="1841" spans="2:22" x14ac:dyDescent="0.3">
      <c r="B1841" s="47"/>
      <c r="C1841" s="24"/>
      <c r="D1841" s="312"/>
      <c r="E1841" s="312"/>
      <c r="G1841" s="47"/>
      <c r="H1841" s="24"/>
      <c r="I1841" s="312"/>
      <c r="J1841" s="312"/>
      <c r="L1841" s="47"/>
      <c r="M1841" s="24"/>
      <c r="N1841" s="312"/>
      <c r="O1841" s="312"/>
      <c r="Q1841" s="47"/>
      <c r="R1841" s="136" t="s">
        <v>3313</v>
      </c>
      <c r="S1841" s="25" t="s">
        <v>2211</v>
      </c>
      <c r="T1841" s="155">
        <v>134700</v>
      </c>
      <c r="U1841" s="155">
        <v>0</v>
      </c>
      <c r="V1841" s="11"/>
    </row>
    <row r="1842" spans="2:22" x14ac:dyDescent="0.3">
      <c r="B1842" s="47"/>
      <c r="C1842" s="24"/>
      <c r="D1842" s="312"/>
      <c r="E1842" s="312"/>
      <c r="G1842" s="47"/>
      <c r="H1842" s="24"/>
      <c r="I1842" s="312"/>
      <c r="J1842" s="312"/>
      <c r="L1842" s="47"/>
      <c r="M1842" s="24"/>
      <c r="N1842" s="312"/>
      <c r="O1842" s="312"/>
      <c r="Q1842" s="47"/>
      <c r="R1842" s="136" t="s">
        <v>2212</v>
      </c>
      <c r="S1842" s="25" t="s">
        <v>2213</v>
      </c>
      <c r="T1842" s="155">
        <v>95160</v>
      </c>
      <c r="U1842" s="155">
        <v>0</v>
      </c>
      <c r="V1842" s="11"/>
    </row>
    <row r="1843" spans="2:22" x14ac:dyDescent="0.3">
      <c r="B1843" s="47"/>
      <c r="C1843" s="24"/>
      <c r="D1843" s="312"/>
      <c r="E1843" s="312"/>
      <c r="G1843" s="47"/>
      <c r="H1843" s="24"/>
      <c r="I1843" s="312"/>
      <c r="J1843" s="312"/>
      <c r="L1843" s="47"/>
      <c r="M1843" s="24"/>
      <c r="N1843" s="312"/>
      <c r="O1843" s="312"/>
      <c r="Q1843" s="47"/>
      <c r="R1843" s="136" t="s">
        <v>2214</v>
      </c>
      <c r="S1843" s="25" t="s">
        <v>2215</v>
      </c>
      <c r="T1843" s="155">
        <v>118080</v>
      </c>
      <c r="U1843" s="155">
        <v>0</v>
      </c>
      <c r="V1843" s="11"/>
    </row>
    <row r="1844" spans="2:22" x14ac:dyDescent="0.3">
      <c r="B1844" s="47"/>
      <c r="C1844" s="24"/>
      <c r="D1844" s="312"/>
      <c r="E1844" s="312"/>
      <c r="G1844" s="47"/>
      <c r="H1844" s="24"/>
      <c r="I1844" s="312"/>
      <c r="J1844" s="312"/>
      <c r="L1844" s="47"/>
      <c r="M1844" s="24"/>
      <c r="N1844" s="312"/>
      <c r="O1844" s="312"/>
      <c r="Q1844" s="47"/>
      <c r="R1844" s="136" t="s">
        <v>1985</v>
      </c>
      <c r="S1844" s="25" t="s">
        <v>2197</v>
      </c>
      <c r="T1844" s="155">
        <v>14400</v>
      </c>
      <c r="U1844" s="155">
        <v>0</v>
      </c>
      <c r="V1844" s="11"/>
    </row>
    <row r="1845" spans="2:22" x14ac:dyDescent="0.3">
      <c r="B1845" s="47"/>
      <c r="C1845" s="24"/>
      <c r="D1845" s="312"/>
      <c r="E1845" s="312"/>
      <c r="G1845" s="47"/>
      <c r="H1845" s="24"/>
      <c r="I1845" s="312"/>
      <c r="J1845" s="312"/>
      <c r="L1845" s="47"/>
      <c r="M1845" s="24"/>
      <c r="N1845" s="312"/>
      <c r="O1845" s="312"/>
      <c r="Q1845" s="47"/>
      <c r="R1845" s="136" t="s">
        <v>1895</v>
      </c>
      <c r="S1845" s="25" t="s">
        <v>2174</v>
      </c>
      <c r="T1845" s="155">
        <v>190320</v>
      </c>
      <c r="U1845" s="155">
        <v>0</v>
      </c>
      <c r="V1845" s="11"/>
    </row>
    <row r="1846" spans="2:22" x14ac:dyDescent="0.3">
      <c r="B1846" s="47"/>
      <c r="C1846" s="24"/>
      <c r="D1846" s="312"/>
      <c r="E1846" s="312"/>
      <c r="G1846" s="47"/>
      <c r="H1846" s="24"/>
      <c r="I1846" s="312"/>
      <c r="J1846" s="312"/>
      <c r="L1846" s="47"/>
      <c r="M1846" s="24"/>
      <c r="N1846" s="312"/>
      <c r="O1846" s="312"/>
      <c r="Q1846" s="47"/>
      <c r="R1846" s="136" t="s">
        <v>2177</v>
      </c>
      <c r="S1846" s="25" t="s">
        <v>2341</v>
      </c>
      <c r="T1846" s="155">
        <v>219900</v>
      </c>
      <c r="U1846" s="155">
        <v>0</v>
      </c>
      <c r="V1846" s="11"/>
    </row>
    <row r="1847" spans="2:22" x14ac:dyDescent="0.3">
      <c r="B1847" s="47"/>
      <c r="C1847" s="24"/>
      <c r="D1847" s="312"/>
      <c r="E1847" s="312"/>
      <c r="G1847" s="47"/>
      <c r="H1847" s="24"/>
      <c r="I1847" s="312"/>
      <c r="J1847" s="312"/>
      <c r="L1847" s="47"/>
      <c r="M1847" s="24"/>
      <c r="N1847" s="312"/>
      <c r="O1847" s="312"/>
      <c r="Q1847" s="47"/>
      <c r="R1847" s="136" t="s">
        <v>2183</v>
      </c>
      <c r="S1847" s="25" t="s">
        <v>2182</v>
      </c>
      <c r="T1847" s="155">
        <v>163320</v>
      </c>
      <c r="U1847" s="155">
        <v>0</v>
      </c>
      <c r="V1847" s="11"/>
    </row>
    <row r="1848" spans="2:22" x14ac:dyDescent="0.3">
      <c r="B1848" s="47"/>
      <c r="C1848" s="24"/>
      <c r="D1848" s="312"/>
      <c r="E1848" s="312"/>
      <c r="G1848" s="47"/>
      <c r="H1848" s="24"/>
      <c r="I1848" s="312"/>
      <c r="J1848" s="312"/>
      <c r="L1848" s="47"/>
      <c r="M1848" s="24"/>
      <c r="N1848" s="312"/>
      <c r="O1848" s="312"/>
      <c r="Q1848" s="47"/>
      <c r="R1848" s="136" t="s">
        <v>2185</v>
      </c>
      <c r="S1848" s="25" t="s">
        <v>2184</v>
      </c>
      <c r="T1848" s="155">
        <v>222480</v>
      </c>
      <c r="U1848" s="155">
        <v>0</v>
      </c>
      <c r="V1848" s="11"/>
    </row>
    <row r="1849" spans="2:22" x14ac:dyDescent="0.3">
      <c r="B1849" s="47"/>
      <c r="C1849" s="24"/>
      <c r="D1849" s="312"/>
      <c r="E1849" s="312"/>
      <c r="G1849" s="47"/>
      <c r="H1849" s="24"/>
      <c r="I1849" s="312"/>
      <c r="J1849" s="312"/>
      <c r="L1849" s="47"/>
      <c r="M1849" s="24"/>
      <c r="N1849" s="312"/>
      <c r="O1849" s="312"/>
      <c r="Q1849" s="47"/>
      <c r="R1849" s="136" t="s">
        <v>2187</v>
      </c>
      <c r="S1849" s="25" t="s">
        <v>2186</v>
      </c>
      <c r="T1849" s="155">
        <v>208620</v>
      </c>
      <c r="U1849" s="155">
        <v>0</v>
      </c>
      <c r="V1849" s="11"/>
    </row>
    <row r="1850" spans="2:22" x14ac:dyDescent="0.3">
      <c r="B1850" s="47"/>
      <c r="C1850" s="24"/>
      <c r="D1850" s="312"/>
      <c r="E1850" s="312"/>
      <c r="G1850" s="47"/>
      <c r="H1850" s="24"/>
      <c r="I1850" s="312"/>
      <c r="J1850" s="312"/>
      <c r="L1850" s="47"/>
      <c r="M1850" s="24"/>
      <c r="N1850" s="312"/>
      <c r="O1850" s="312"/>
      <c r="Q1850" s="47"/>
      <c r="R1850" s="136" t="s">
        <v>2342</v>
      </c>
      <c r="S1850" s="25" t="s">
        <v>2188</v>
      </c>
      <c r="T1850" s="155">
        <v>53280</v>
      </c>
      <c r="U1850" s="155">
        <v>0</v>
      </c>
      <c r="V1850" s="11"/>
    </row>
    <row r="1851" spans="2:22" x14ac:dyDescent="0.3">
      <c r="B1851" s="47"/>
      <c r="C1851" s="24"/>
      <c r="D1851" s="312"/>
      <c r="E1851" s="312"/>
      <c r="G1851" s="47"/>
      <c r="H1851" s="24"/>
      <c r="I1851" s="312"/>
      <c r="J1851" s="312"/>
      <c r="L1851" s="47"/>
      <c r="M1851" s="24"/>
      <c r="N1851" s="312"/>
      <c r="O1851" s="312"/>
      <c r="Q1851" s="47"/>
      <c r="R1851" s="136" t="s">
        <v>2342</v>
      </c>
      <c r="S1851" s="25" t="s">
        <v>2188</v>
      </c>
      <c r="T1851" s="155">
        <v>26640</v>
      </c>
      <c r="U1851" s="155">
        <v>0</v>
      </c>
      <c r="V1851" s="11"/>
    </row>
    <row r="1852" spans="2:22" x14ac:dyDescent="0.3">
      <c r="B1852" s="47"/>
      <c r="C1852" s="24"/>
      <c r="D1852" s="312"/>
      <c r="E1852" s="312"/>
      <c r="G1852" s="47"/>
      <c r="H1852" s="24"/>
      <c r="I1852" s="312"/>
      <c r="J1852" s="312"/>
      <c r="L1852" s="47"/>
      <c r="M1852" s="24"/>
      <c r="N1852" s="312"/>
      <c r="O1852" s="312"/>
      <c r="Q1852" s="47"/>
      <c r="R1852" s="136" t="s">
        <v>2190</v>
      </c>
      <c r="S1852" s="25" t="s">
        <v>2189</v>
      </c>
      <c r="T1852" s="155">
        <v>116160</v>
      </c>
      <c r="U1852" s="155">
        <v>0</v>
      </c>
      <c r="V1852" s="11"/>
    </row>
    <row r="1853" spans="2:22" x14ac:dyDescent="0.3">
      <c r="B1853" s="47"/>
      <c r="C1853" s="24"/>
      <c r="D1853" s="312"/>
      <c r="E1853" s="312"/>
      <c r="G1853" s="47"/>
      <c r="H1853" s="24"/>
      <c r="I1853" s="312"/>
      <c r="J1853" s="312"/>
      <c r="L1853" s="47"/>
      <c r="M1853" s="24"/>
      <c r="N1853" s="312"/>
      <c r="O1853" s="312"/>
      <c r="Q1853" s="47"/>
      <c r="R1853" s="136" t="s">
        <v>2192</v>
      </c>
      <c r="S1853" s="25" t="s">
        <v>2191</v>
      </c>
      <c r="T1853" s="155">
        <v>113820</v>
      </c>
      <c r="U1853" s="155">
        <v>0</v>
      </c>
      <c r="V1853" s="11"/>
    </row>
    <row r="1854" spans="2:22" x14ac:dyDescent="0.3">
      <c r="B1854" s="47"/>
      <c r="C1854" s="24"/>
      <c r="D1854" s="312"/>
      <c r="E1854" s="312"/>
      <c r="G1854" s="47"/>
      <c r="H1854" s="24"/>
      <c r="I1854" s="312"/>
      <c r="J1854" s="312"/>
      <c r="L1854" s="47"/>
      <c r="M1854" s="24"/>
      <c r="N1854" s="312"/>
      <c r="O1854" s="312"/>
      <c r="Q1854" s="47"/>
      <c r="R1854" s="136" t="s">
        <v>1896</v>
      </c>
      <c r="S1854" s="25" t="s">
        <v>2193</v>
      </c>
      <c r="T1854" s="155">
        <v>125280</v>
      </c>
      <c r="U1854" s="155">
        <v>0</v>
      </c>
      <c r="V1854" s="11"/>
    </row>
    <row r="1855" spans="2:22" x14ac:dyDescent="0.3">
      <c r="B1855" s="47"/>
      <c r="C1855" s="24"/>
      <c r="D1855" s="312"/>
      <c r="E1855" s="312"/>
      <c r="G1855" s="47"/>
      <c r="H1855" s="24"/>
      <c r="I1855" s="312"/>
      <c r="J1855" s="312"/>
      <c r="L1855" s="47"/>
      <c r="M1855" s="24"/>
      <c r="N1855" s="312"/>
      <c r="O1855" s="312"/>
      <c r="Q1855" s="47"/>
      <c r="R1855" s="136" t="s">
        <v>3291</v>
      </c>
      <c r="S1855" s="25" t="s">
        <v>2171</v>
      </c>
      <c r="T1855" s="155">
        <v>143760</v>
      </c>
      <c r="U1855" s="155">
        <v>0</v>
      </c>
      <c r="V1855" s="11"/>
    </row>
    <row r="1856" spans="2:22" x14ac:dyDescent="0.3">
      <c r="B1856" s="47"/>
      <c r="C1856" s="24"/>
      <c r="D1856" s="312"/>
      <c r="E1856" s="312"/>
      <c r="G1856" s="47"/>
      <c r="H1856" s="24"/>
      <c r="I1856" s="312"/>
      <c r="J1856" s="312"/>
      <c r="L1856" s="47"/>
      <c r="M1856" s="24"/>
      <c r="N1856" s="312"/>
      <c r="O1856" s="312"/>
      <c r="Q1856" s="47"/>
      <c r="R1856" s="136" t="s">
        <v>1898</v>
      </c>
      <c r="S1856" s="25" t="s">
        <v>2218</v>
      </c>
      <c r="T1856" s="155">
        <v>62640</v>
      </c>
      <c r="U1856" s="155">
        <v>0</v>
      </c>
      <c r="V1856" s="11"/>
    </row>
    <row r="1857" spans="2:22" x14ac:dyDescent="0.3">
      <c r="B1857" s="47"/>
      <c r="C1857" s="24"/>
      <c r="D1857" s="312"/>
      <c r="E1857" s="312"/>
      <c r="G1857" s="47"/>
      <c r="H1857" s="24"/>
      <c r="I1857" s="312"/>
      <c r="J1857" s="312"/>
      <c r="L1857" s="47"/>
      <c r="M1857" s="24"/>
      <c r="N1857" s="312"/>
      <c r="O1857" s="312"/>
      <c r="Q1857" s="47"/>
      <c r="R1857" s="136" t="s">
        <v>2219</v>
      </c>
      <c r="S1857" s="25" t="s">
        <v>2220</v>
      </c>
      <c r="T1857" s="155">
        <v>51540</v>
      </c>
      <c r="U1857" s="155">
        <v>0</v>
      </c>
      <c r="V1857" s="11"/>
    </row>
    <row r="1858" spans="2:22" x14ac:dyDescent="0.3">
      <c r="B1858" s="47"/>
      <c r="C1858" s="24"/>
      <c r="D1858" s="312"/>
      <c r="E1858" s="312"/>
      <c r="G1858" s="47"/>
      <c r="H1858" s="24"/>
      <c r="I1858" s="312"/>
      <c r="J1858" s="312"/>
      <c r="L1858" s="47"/>
      <c r="M1858" s="24"/>
      <c r="N1858" s="312"/>
      <c r="O1858" s="312"/>
      <c r="Q1858" s="47"/>
      <c r="R1858" s="136" t="s">
        <v>2221</v>
      </c>
      <c r="S1858" s="25" t="s">
        <v>2222</v>
      </c>
      <c r="T1858" s="155">
        <v>48600</v>
      </c>
      <c r="U1858" s="155">
        <v>0</v>
      </c>
      <c r="V1858" s="11"/>
    </row>
    <row r="1859" spans="2:22" x14ac:dyDescent="0.3">
      <c r="B1859" s="47"/>
      <c r="C1859" s="24"/>
      <c r="D1859" s="312"/>
      <c r="E1859" s="312"/>
      <c r="G1859" s="47"/>
      <c r="H1859" s="24"/>
      <c r="I1859" s="312"/>
      <c r="J1859" s="312"/>
      <c r="L1859" s="47"/>
      <c r="M1859" s="24"/>
      <c r="N1859" s="312"/>
      <c r="O1859" s="312"/>
      <c r="Q1859" s="47"/>
      <c r="R1859" s="136" t="s">
        <v>2223</v>
      </c>
      <c r="S1859" s="25" t="s">
        <v>2224</v>
      </c>
      <c r="T1859" s="155">
        <v>59940</v>
      </c>
      <c r="U1859" s="155">
        <v>0</v>
      </c>
      <c r="V1859" s="11"/>
    </row>
    <row r="1860" spans="2:22" x14ac:dyDescent="0.3">
      <c r="B1860" s="47"/>
      <c r="C1860" s="24"/>
      <c r="D1860" s="312"/>
      <c r="E1860" s="312"/>
      <c r="G1860" s="47"/>
      <c r="H1860" s="24"/>
      <c r="I1860" s="312"/>
      <c r="J1860" s="312"/>
      <c r="L1860" s="47"/>
      <c r="M1860" s="24"/>
      <c r="N1860" s="312"/>
      <c r="O1860" s="312"/>
      <c r="Q1860" s="47"/>
      <c r="R1860" s="136" t="s">
        <v>2226</v>
      </c>
      <c r="S1860" s="25" t="s">
        <v>2227</v>
      </c>
      <c r="T1860" s="155">
        <v>59940</v>
      </c>
      <c r="U1860" s="155">
        <v>0</v>
      </c>
      <c r="V1860" s="11"/>
    </row>
    <row r="1861" spans="2:22" x14ac:dyDescent="0.3">
      <c r="B1861" s="47"/>
      <c r="C1861" s="24"/>
      <c r="D1861" s="312"/>
      <c r="E1861" s="312"/>
      <c r="G1861" s="47"/>
      <c r="H1861" s="24"/>
      <c r="I1861" s="312"/>
      <c r="J1861" s="312"/>
      <c r="L1861" s="47"/>
      <c r="M1861" s="24"/>
      <c r="N1861" s="312"/>
      <c r="O1861" s="312"/>
      <c r="Q1861" s="47"/>
      <c r="R1861" s="136" t="s">
        <v>2228</v>
      </c>
      <c r="S1861" s="25" t="s">
        <v>1990</v>
      </c>
      <c r="T1861" s="155">
        <v>41760</v>
      </c>
      <c r="U1861" s="155">
        <v>0</v>
      </c>
      <c r="V1861" s="11"/>
    </row>
    <row r="1862" spans="2:22" x14ac:dyDescent="0.3">
      <c r="B1862" s="47"/>
      <c r="C1862" s="24"/>
      <c r="D1862" s="312"/>
      <c r="E1862" s="312"/>
      <c r="G1862" s="47"/>
      <c r="H1862" s="24"/>
      <c r="I1862" s="312"/>
      <c r="J1862" s="312"/>
      <c r="L1862" s="47"/>
      <c r="M1862" s="24"/>
      <c r="N1862" s="312"/>
      <c r="O1862" s="312"/>
      <c r="Q1862" s="47"/>
      <c r="R1862" s="136" t="s">
        <v>2229</v>
      </c>
      <c r="S1862" s="25" t="s">
        <v>1987</v>
      </c>
      <c r="T1862" s="155">
        <v>37320</v>
      </c>
      <c r="U1862" s="155">
        <v>0</v>
      </c>
      <c r="V1862" s="11"/>
    </row>
    <row r="1863" spans="2:22" x14ac:dyDescent="0.3">
      <c r="B1863" s="47"/>
      <c r="C1863" s="24"/>
      <c r="D1863" s="312"/>
      <c r="E1863" s="312"/>
      <c r="G1863" s="47"/>
      <c r="H1863" s="24"/>
      <c r="I1863" s="312"/>
      <c r="J1863" s="312"/>
      <c r="L1863" s="47"/>
      <c r="M1863" s="24"/>
      <c r="N1863" s="312"/>
      <c r="O1863" s="312"/>
      <c r="Q1863" s="47"/>
      <c r="R1863" s="136" t="s">
        <v>2230</v>
      </c>
      <c r="S1863" s="25" t="s">
        <v>2231</v>
      </c>
      <c r="T1863" s="155">
        <v>20880</v>
      </c>
      <c r="U1863" s="155">
        <v>0</v>
      </c>
      <c r="V1863" s="11"/>
    </row>
    <row r="1864" spans="2:22" x14ac:dyDescent="0.3">
      <c r="B1864" s="47"/>
      <c r="C1864" s="24"/>
      <c r="D1864" s="312"/>
      <c r="E1864" s="312"/>
      <c r="G1864" s="47"/>
      <c r="H1864" s="24"/>
      <c r="I1864" s="312"/>
      <c r="J1864" s="312"/>
      <c r="L1864" s="47"/>
      <c r="M1864" s="24"/>
      <c r="N1864" s="312"/>
      <c r="O1864" s="312"/>
      <c r="Q1864" s="47"/>
      <c r="R1864" s="136" t="s">
        <v>2232</v>
      </c>
      <c r="S1864" s="25" t="s">
        <v>1988</v>
      </c>
      <c r="T1864" s="155">
        <v>41760</v>
      </c>
      <c r="U1864" s="155">
        <v>0</v>
      </c>
      <c r="V1864" s="11"/>
    </row>
    <row r="1865" spans="2:22" x14ac:dyDescent="0.3">
      <c r="B1865" s="47"/>
      <c r="C1865" s="24"/>
      <c r="D1865" s="312"/>
      <c r="E1865" s="312"/>
      <c r="G1865" s="47"/>
      <c r="H1865" s="24"/>
      <c r="I1865" s="312"/>
      <c r="J1865" s="312"/>
      <c r="L1865" s="47"/>
      <c r="M1865" s="24"/>
      <c r="N1865" s="312"/>
      <c r="O1865" s="312"/>
      <c r="Q1865" s="47"/>
      <c r="R1865" s="136" t="s">
        <v>2233</v>
      </c>
      <c r="S1865" s="25" t="s">
        <v>1989</v>
      </c>
      <c r="T1865" s="155">
        <v>19980</v>
      </c>
      <c r="U1865" s="155">
        <v>0</v>
      </c>
      <c r="V1865" s="11"/>
    </row>
    <row r="1866" spans="2:22" x14ac:dyDescent="0.3">
      <c r="B1866" s="47"/>
      <c r="C1866" s="24"/>
      <c r="D1866" s="312"/>
      <c r="E1866" s="312"/>
      <c r="G1866" s="47"/>
      <c r="H1866" s="24"/>
      <c r="I1866" s="312"/>
      <c r="J1866" s="312"/>
      <c r="L1866" s="47"/>
      <c r="M1866" s="24"/>
      <c r="N1866" s="312"/>
      <c r="O1866" s="312"/>
      <c r="Q1866" s="47"/>
      <c r="R1866" s="136" t="s">
        <v>2234</v>
      </c>
      <c r="S1866" s="25" t="s">
        <v>2235</v>
      </c>
      <c r="T1866" s="155">
        <v>20880</v>
      </c>
      <c r="U1866" s="155">
        <v>0</v>
      </c>
      <c r="V1866" s="11"/>
    </row>
    <row r="1867" spans="2:22" x14ac:dyDescent="0.3">
      <c r="B1867" s="47"/>
      <c r="C1867" s="24"/>
      <c r="D1867" s="312"/>
      <c r="E1867" s="312"/>
      <c r="G1867" s="47"/>
      <c r="H1867" s="24"/>
      <c r="I1867" s="312"/>
      <c r="J1867" s="312"/>
      <c r="L1867" s="47"/>
      <c r="M1867" s="24"/>
      <c r="N1867" s="312"/>
      <c r="O1867" s="312"/>
      <c r="Q1867" s="241">
        <v>80010006</v>
      </c>
      <c r="R1867" s="242"/>
      <c r="S1867" s="246" t="s">
        <v>1069</v>
      </c>
      <c r="T1867" s="239">
        <f>SUM(T1868:T1870)-SUM(U1868:U1870)</f>
        <v>254400</v>
      </c>
      <c r="U1867" s="240">
        <v>0</v>
      </c>
    </row>
    <row r="1868" spans="2:22" x14ac:dyDescent="0.3">
      <c r="B1868" s="47"/>
      <c r="C1868" s="24"/>
      <c r="D1868" s="312"/>
      <c r="E1868" s="312"/>
      <c r="G1868" s="47"/>
      <c r="H1868" s="24"/>
      <c r="I1868" s="312"/>
      <c r="J1868" s="312"/>
      <c r="L1868" s="47"/>
      <c r="M1868" s="24"/>
      <c r="N1868" s="312"/>
      <c r="O1868" s="312"/>
      <c r="Q1868" s="47"/>
      <c r="R1868" s="136" t="s">
        <v>2156</v>
      </c>
      <c r="S1868" s="25" t="s">
        <v>2157</v>
      </c>
      <c r="T1868" s="155">
        <v>172800</v>
      </c>
      <c r="U1868" s="155">
        <v>0</v>
      </c>
    </row>
    <row r="1869" spans="2:22" x14ac:dyDescent="0.3">
      <c r="B1869" s="47"/>
      <c r="C1869" s="24"/>
      <c r="D1869" s="312"/>
      <c r="E1869" s="312"/>
      <c r="G1869" s="47"/>
      <c r="H1869" s="24"/>
      <c r="I1869" s="312"/>
      <c r="J1869" s="312"/>
      <c r="L1869" s="47"/>
      <c r="M1869" s="24"/>
      <c r="N1869" s="312"/>
      <c r="O1869" s="312"/>
      <c r="Q1869" s="47"/>
      <c r="R1869" s="136" t="s">
        <v>2201</v>
      </c>
      <c r="S1869" s="25" t="s">
        <v>2202</v>
      </c>
      <c r="T1869" s="155">
        <v>43200</v>
      </c>
      <c r="U1869" s="155">
        <v>0</v>
      </c>
    </row>
    <row r="1870" spans="2:22" x14ac:dyDescent="0.3">
      <c r="B1870" s="47"/>
      <c r="C1870" s="24"/>
      <c r="D1870" s="312"/>
      <c r="E1870" s="312"/>
      <c r="G1870" s="47"/>
      <c r="H1870" s="24"/>
      <c r="I1870" s="312"/>
      <c r="J1870" s="312"/>
      <c r="L1870" s="47"/>
      <c r="M1870" s="24"/>
      <c r="N1870" s="312"/>
      <c r="O1870" s="312"/>
      <c r="Q1870" s="47"/>
      <c r="R1870" s="136" t="s">
        <v>1895</v>
      </c>
      <c r="S1870" s="25" t="s">
        <v>2174</v>
      </c>
      <c r="T1870" s="155">
        <v>38400</v>
      </c>
      <c r="U1870" s="155">
        <v>0</v>
      </c>
    </row>
    <row r="1871" spans="2:22" x14ac:dyDescent="0.3">
      <c r="B1871" s="47"/>
      <c r="C1871" s="24"/>
      <c r="D1871" s="312"/>
      <c r="E1871" s="312"/>
      <c r="G1871" s="47"/>
      <c r="H1871" s="24"/>
      <c r="I1871" s="312"/>
      <c r="J1871" s="312"/>
      <c r="L1871" s="47"/>
      <c r="M1871" s="24"/>
      <c r="N1871" s="312"/>
      <c r="O1871" s="312"/>
      <c r="Q1871" s="241">
        <v>80010007</v>
      </c>
      <c r="R1871" s="242"/>
      <c r="S1871" s="246" t="s">
        <v>1077</v>
      </c>
      <c r="T1871" s="239">
        <f>SUM(T1872:T1875)-SUM(U1872:U1875)</f>
        <v>88800</v>
      </c>
      <c r="U1871" s="240">
        <v>0</v>
      </c>
    </row>
    <row r="1872" spans="2:22" x14ac:dyDescent="0.3">
      <c r="B1872" s="47"/>
      <c r="C1872" s="24"/>
      <c r="D1872" s="312"/>
      <c r="E1872" s="312"/>
      <c r="G1872" s="47"/>
      <c r="H1872" s="24"/>
      <c r="I1872" s="312"/>
      <c r="J1872" s="312"/>
      <c r="L1872" s="47"/>
      <c r="M1872" s="24"/>
      <c r="N1872" s="312"/>
      <c r="O1872" s="312"/>
      <c r="Q1872" s="241"/>
      <c r="R1872" s="136" t="s">
        <v>2209</v>
      </c>
      <c r="S1872" s="25" t="s">
        <v>2210</v>
      </c>
      <c r="T1872" s="248">
        <v>31080</v>
      </c>
      <c r="U1872" s="248">
        <v>0</v>
      </c>
    </row>
    <row r="1873" spans="2:21" x14ac:dyDescent="0.3">
      <c r="B1873" s="47"/>
      <c r="C1873" s="24"/>
      <c r="D1873" s="312"/>
      <c r="E1873" s="312"/>
      <c r="G1873" s="47"/>
      <c r="H1873" s="24"/>
      <c r="I1873" s="312"/>
      <c r="J1873" s="312"/>
      <c r="L1873" s="47"/>
      <c r="M1873" s="24"/>
      <c r="N1873" s="312"/>
      <c r="O1873" s="312"/>
      <c r="Q1873" s="241"/>
      <c r="R1873" s="136" t="s">
        <v>2165</v>
      </c>
      <c r="S1873" s="25" t="s">
        <v>2166</v>
      </c>
      <c r="T1873" s="248">
        <v>8880</v>
      </c>
      <c r="U1873" s="248">
        <v>0</v>
      </c>
    </row>
    <row r="1874" spans="2:21" x14ac:dyDescent="0.3">
      <c r="B1874" s="47"/>
      <c r="C1874" s="24"/>
      <c r="D1874" s="312"/>
      <c r="E1874" s="312"/>
      <c r="G1874" s="47"/>
      <c r="H1874" s="24"/>
      <c r="I1874" s="312"/>
      <c r="J1874" s="312"/>
      <c r="L1874" s="47"/>
      <c r="M1874" s="24"/>
      <c r="N1874" s="312"/>
      <c r="O1874" s="312"/>
      <c r="Q1874" s="241"/>
      <c r="R1874" s="136" t="s">
        <v>2168</v>
      </c>
      <c r="S1874" s="25" t="s">
        <v>2169</v>
      </c>
      <c r="T1874" s="248">
        <v>17760</v>
      </c>
      <c r="U1874" s="248">
        <v>0</v>
      </c>
    </row>
    <row r="1875" spans="2:21" x14ac:dyDescent="0.3">
      <c r="B1875" s="47"/>
      <c r="C1875" s="24"/>
      <c r="D1875" s="312"/>
      <c r="E1875" s="312"/>
      <c r="G1875" s="47"/>
      <c r="H1875" s="24"/>
      <c r="I1875" s="312"/>
      <c r="J1875" s="312"/>
      <c r="L1875" s="47"/>
      <c r="M1875" s="24"/>
      <c r="N1875" s="312"/>
      <c r="O1875" s="312"/>
      <c r="Q1875" s="241"/>
      <c r="R1875" s="136" t="s">
        <v>2190</v>
      </c>
      <c r="S1875" s="25" t="s">
        <v>2189</v>
      </c>
      <c r="T1875" s="248">
        <v>31080</v>
      </c>
      <c r="U1875" s="248">
        <v>0</v>
      </c>
    </row>
    <row r="1876" spans="2:21" x14ac:dyDescent="0.3">
      <c r="B1876" s="47"/>
      <c r="C1876" s="24"/>
      <c r="D1876" s="312"/>
      <c r="E1876" s="312"/>
      <c r="G1876" s="47"/>
      <c r="H1876" s="24"/>
      <c r="I1876" s="312"/>
      <c r="J1876" s="312"/>
      <c r="L1876" s="47"/>
      <c r="M1876" s="24"/>
      <c r="N1876" s="312"/>
      <c r="O1876" s="312"/>
      <c r="Q1876" s="241">
        <v>80010008</v>
      </c>
      <c r="R1876" s="242"/>
      <c r="S1876" s="246" t="s">
        <v>1078</v>
      </c>
      <c r="T1876" s="239">
        <f>SUM(T1877:T1888)-SUM(U1877:U1888)</f>
        <v>545820</v>
      </c>
      <c r="U1876" s="240">
        <v>0</v>
      </c>
    </row>
    <row r="1877" spans="2:21" x14ac:dyDescent="0.3">
      <c r="B1877" s="47"/>
      <c r="C1877" s="24"/>
      <c r="D1877" s="312"/>
      <c r="E1877" s="312"/>
      <c r="G1877" s="47"/>
      <c r="H1877" s="24"/>
      <c r="I1877" s="312"/>
      <c r="J1877" s="312"/>
      <c r="L1877" s="47"/>
      <c r="M1877" s="24"/>
      <c r="N1877" s="312"/>
      <c r="O1877" s="312"/>
      <c r="Q1877" s="241"/>
      <c r="R1877" s="136" t="s">
        <v>2138</v>
      </c>
      <c r="S1877" s="25" t="s">
        <v>7</v>
      </c>
      <c r="T1877" s="248">
        <v>7200</v>
      </c>
      <c r="U1877" s="248">
        <v>0</v>
      </c>
    </row>
    <row r="1878" spans="2:21" x14ac:dyDescent="0.3">
      <c r="B1878" s="47"/>
      <c r="C1878" s="24"/>
      <c r="D1878" s="312"/>
      <c r="E1878" s="312"/>
      <c r="G1878" s="47"/>
      <c r="H1878" s="24"/>
      <c r="I1878" s="312"/>
      <c r="J1878" s="312"/>
      <c r="L1878" s="47"/>
      <c r="M1878" s="24"/>
      <c r="N1878" s="312"/>
      <c r="O1878" s="312"/>
      <c r="Q1878" s="241"/>
      <c r="R1878" s="136" t="s">
        <v>2203</v>
      </c>
      <c r="S1878" s="25" t="s">
        <v>2204</v>
      </c>
      <c r="T1878" s="248">
        <v>35460</v>
      </c>
      <c r="U1878" s="248">
        <v>0</v>
      </c>
    </row>
    <row r="1879" spans="2:21" x14ac:dyDescent="0.3">
      <c r="B1879" s="47"/>
      <c r="C1879" s="24"/>
      <c r="D1879" s="312"/>
      <c r="E1879" s="312"/>
      <c r="G1879" s="47"/>
      <c r="H1879" s="24"/>
      <c r="I1879" s="312"/>
      <c r="J1879" s="312"/>
      <c r="L1879" s="47"/>
      <c r="M1879" s="24"/>
      <c r="N1879" s="312"/>
      <c r="O1879" s="312"/>
      <c r="Q1879" s="241"/>
      <c r="R1879" s="136" t="s">
        <v>2205</v>
      </c>
      <c r="S1879" s="25" t="s">
        <v>2206</v>
      </c>
      <c r="T1879" s="248">
        <v>38040</v>
      </c>
      <c r="U1879" s="248">
        <v>0</v>
      </c>
    </row>
    <row r="1880" spans="2:21" x14ac:dyDescent="0.3">
      <c r="B1880" s="47"/>
      <c r="C1880" s="24"/>
      <c r="D1880" s="312"/>
      <c r="E1880" s="312"/>
      <c r="G1880" s="47"/>
      <c r="H1880" s="24"/>
      <c r="I1880" s="312"/>
      <c r="J1880" s="312"/>
      <c r="L1880" s="47"/>
      <c r="M1880" s="24"/>
      <c r="N1880" s="312"/>
      <c r="O1880" s="312"/>
      <c r="Q1880" s="241"/>
      <c r="R1880" s="136" t="s">
        <v>2207</v>
      </c>
      <c r="S1880" s="25" t="s">
        <v>2208</v>
      </c>
      <c r="T1880" s="248">
        <v>57600</v>
      </c>
      <c r="U1880" s="248">
        <v>0</v>
      </c>
    </row>
    <row r="1881" spans="2:21" x14ac:dyDescent="0.3">
      <c r="B1881" s="47"/>
      <c r="C1881" s="24"/>
      <c r="D1881" s="312"/>
      <c r="E1881" s="312"/>
      <c r="G1881" s="47"/>
      <c r="H1881" s="24"/>
      <c r="I1881" s="312"/>
      <c r="J1881" s="312"/>
      <c r="L1881" s="47"/>
      <c r="M1881" s="24"/>
      <c r="N1881" s="312"/>
      <c r="O1881" s="312"/>
      <c r="Q1881" s="241"/>
      <c r="R1881" s="136" t="s">
        <v>2160</v>
      </c>
      <c r="S1881" s="25" t="s">
        <v>2161</v>
      </c>
      <c r="T1881" s="248">
        <v>57600</v>
      </c>
      <c r="U1881" s="248">
        <v>0</v>
      </c>
    </row>
    <row r="1882" spans="2:21" x14ac:dyDescent="0.3">
      <c r="B1882" s="47"/>
      <c r="C1882" s="24"/>
      <c r="D1882" s="312"/>
      <c r="E1882" s="312"/>
      <c r="G1882" s="47"/>
      <c r="H1882" s="24"/>
      <c r="I1882" s="312"/>
      <c r="J1882" s="312"/>
      <c r="L1882" s="47"/>
      <c r="M1882" s="24"/>
      <c r="N1882" s="312"/>
      <c r="O1882" s="312"/>
      <c r="Q1882" s="241"/>
      <c r="R1882" s="136" t="s">
        <v>2162</v>
      </c>
      <c r="S1882" s="25" t="s">
        <v>2163</v>
      </c>
      <c r="T1882" s="248">
        <v>63900</v>
      </c>
      <c r="U1882" s="248">
        <v>0</v>
      </c>
    </row>
    <row r="1883" spans="2:21" x14ac:dyDescent="0.3">
      <c r="B1883" s="47"/>
      <c r="C1883" s="24"/>
      <c r="D1883" s="312"/>
      <c r="E1883" s="312"/>
      <c r="G1883" s="47"/>
      <c r="H1883" s="24"/>
      <c r="I1883" s="312"/>
      <c r="J1883" s="312"/>
      <c r="L1883" s="47"/>
      <c r="M1883" s="24"/>
      <c r="N1883" s="312"/>
      <c r="O1883" s="312"/>
      <c r="Q1883" s="241"/>
      <c r="R1883" s="136" t="s">
        <v>2212</v>
      </c>
      <c r="S1883" s="25" t="s">
        <v>2213</v>
      </c>
      <c r="T1883" s="248">
        <v>38220</v>
      </c>
      <c r="U1883" s="248">
        <v>0</v>
      </c>
    </row>
    <row r="1884" spans="2:21" x14ac:dyDescent="0.3">
      <c r="B1884" s="47"/>
      <c r="C1884" s="24"/>
      <c r="D1884" s="312"/>
      <c r="E1884" s="312"/>
      <c r="G1884" s="47"/>
      <c r="H1884" s="24"/>
      <c r="I1884" s="312"/>
      <c r="J1884" s="312"/>
      <c r="L1884" s="47"/>
      <c r="M1884" s="24"/>
      <c r="N1884" s="312"/>
      <c r="O1884" s="312"/>
      <c r="Q1884" s="241"/>
      <c r="R1884" s="136" t="s">
        <v>2214</v>
      </c>
      <c r="S1884" s="25" t="s">
        <v>2215</v>
      </c>
      <c r="T1884" s="248">
        <v>38400</v>
      </c>
      <c r="U1884" s="248">
        <v>0</v>
      </c>
    </row>
    <row r="1885" spans="2:21" x14ac:dyDescent="0.3">
      <c r="B1885" s="47"/>
      <c r="C1885" s="24"/>
      <c r="D1885" s="312"/>
      <c r="E1885" s="312"/>
      <c r="G1885" s="47"/>
      <c r="H1885" s="24"/>
      <c r="I1885" s="312"/>
      <c r="J1885" s="312"/>
      <c r="L1885" s="47"/>
      <c r="M1885" s="24"/>
      <c r="N1885" s="312"/>
      <c r="O1885" s="312"/>
      <c r="Q1885" s="241"/>
      <c r="R1885" s="136" t="s">
        <v>2183</v>
      </c>
      <c r="S1885" s="25" t="s">
        <v>2182</v>
      </c>
      <c r="T1885" s="248">
        <v>68880</v>
      </c>
      <c r="U1885" s="248">
        <v>0</v>
      </c>
    </row>
    <row r="1886" spans="2:21" x14ac:dyDescent="0.3">
      <c r="B1886" s="47"/>
      <c r="C1886" s="24"/>
      <c r="D1886" s="312"/>
      <c r="E1886" s="312"/>
      <c r="G1886" s="47"/>
      <c r="H1886" s="24"/>
      <c r="I1886" s="312"/>
      <c r="J1886" s="312"/>
      <c r="L1886" s="47"/>
      <c r="M1886" s="24"/>
      <c r="N1886" s="312"/>
      <c r="O1886" s="312"/>
      <c r="Q1886" s="241"/>
      <c r="R1886" s="136" t="s">
        <v>2185</v>
      </c>
      <c r="S1886" s="25" t="s">
        <v>2184</v>
      </c>
      <c r="T1886" s="248">
        <v>64260</v>
      </c>
      <c r="U1886" s="248">
        <v>0</v>
      </c>
    </row>
    <row r="1887" spans="2:21" x14ac:dyDescent="0.3">
      <c r="B1887" s="47"/>
      <c r="C1887" s="24"/>
      <c r="D1887" s="312"/>
      <c r="E1887" s="312"/>
      <c r="G1887" s="47"/>
      <c r="H1887" s="24"/>
      <c r="I1887" s="312"/>
      <c r="J1887" s="312"/>
      <c r="L1887" s="47"/>
      <c r="M1887" s="24"/>
      <c r="N1887" s="312"/>
      <c r="O1887" s="312"/>
      <c r="Q1887" s="241"/>
      <c r="R1887" s="136" t="s">
        <v>2187</v>
      </c>
      <c r="S1887" s="25" t="s">
        <v>2186</v>
      </c>
      <c r="T1887" s="248">
        <v>57600</v>
      </c>
      <c r="U1887" s="248">
        <v>0</v>
      </c>
    </row>
    <row r="1888" spans="2:21" x14ac:dyDescent="0.3">
      <c r="B1888" s="47"/>
      <c r="C1888" s="24"/>
      <c r="D1888" s="312"/>
      <c r="E1888" s="312"/>
      <c r="G1888" s="47"/>
      <c r="H1888" s="24"/>
      <c r="I1888" s="312"/>
      <c r="J1888" s="312"/>
      <c r="L1888" s="47"/>
      <c r="M1888" s="24"/>
      <c r="N1888" s="312"/>
      <c r="O1888" s="312"/>
      <c r="Q1888" s="241"/>
      <c r="R1888" s="136" t="s">
        <v>2221</v>
      </c>
      <c r="S1888" s="25" t="s">
        <v>2222</v>
      </c>
      <c r="T1888" s="248">
        <v>18660</v>
      </c>
      <c r="U1888" s="248">
        <v>0</v>
      </c>
    </row>
    <row r="1889" spans="2:21" x14ac:dyDescent="0.3">
      <c r="B1889" s="47"/>
      <c r="C1889" s="24"/>
      <c r="D1889" s="312"/>
      <c r="E1889" s="312"/>
      <c r="G1889" s="47"/>
      <c r="H1889" s="24"/>
      <c r="I1889" s="312"/>
      <c r="J1889" s="312"/>
      <c r="L1889" s="47"/>
      <c r="M1889" s="24"/>
      <c r="N1889" s="312"/>
      <c r="O1889" s="312"/>
      <c r="Q1889" s="241">
        <v>80010009</v>
      </c>
      <c r="R1889" s="242"/>
      <c r="S1889" s="246" t="s">
        <v>1070</v>
      </c>
      <c r="T1889" s="239">
        <f>SUM(T1890:T1931)-SUM(U1890:U1931)</f>
        <v>5653195</v>
      </c>
      <c r="U1889" s="240">
        <v>0</v>
      </c>
    </row>
    <row r="1890" spans="2:21" x14ac:dyDescent="0.3">
      <c r="B1890" s="47"/>
      <c r="C1890" s="24"/>
      <c r="D1890" s="312"/>
      <c r="E1890" s="312"/>
      <c r="G1890" s="47"/>
      <c r="H1890" s="24"/>
      <c r="I1890" s="312"/>
      <c r="J1890" s="312"/>
      <c r="L1890" s="47"/>
      <c r="M1890" s="24"/>
      <c r="N1890" s="312"/>
      <c r="O1890" s="312"/>
      <c r="Q1890" s="47"/>
      <c r="R1890" s="136" t="s">
        <v>1931</v>
      </c>
      <c r="S1890" s="25" t="s">
        <v>1932</v>
      </c>
      <c r="T1890" s="155">
        <v>108480</v>
      </c>
      <c r="U1890" s="155">
        <v>0</v>
      </c>
    </row>
    <row r="1891" spans="2:21" x14ac:dyDescent="0.3">
      <c r="B1891" s="47"/>
      <c r="C1891" s="24"/>
      <c r="D1891" s="312"/>
      <c r="E1891" s="312"/>
      <c r="G1891" s="47"/>
      <c r="H1891" s="24"/>
      <c r="I1891" s="312"/>
      <c r="J1891" s="312"/>
      <c r="L1891" s="47"/>
      <c r="M1891" s="24"/>
      <c r="N1891" s="312"/>
      <c r="O1891" s="312"/>
      <c r="Q1891" s="47"/>
      <c r="R1891" s="136" t="s">
        <v>1934</v>
      </c>
      <c r="S1891" s="25" t="s">
        <v>2196</v>
      </c>
      <c r="T1891" s="155">
        <v>12996</v>
      </c>
      <c r="U1891" s="155">
        <v>0</v>
      </c>
    </row>
    <row r="1892" spans="2:21" x14ac:dyDescent="0.3">
      <c r="B1892" s="47"/>
      <c r="C1892" s="24"/>
      <c r="D1892" s="312"/>
      <c r="E1892" s="312"/>
      <c r="G1892" s="47"/>
      <c r="H1892" s="24"/>
      <c r="I1892" s="312"/>
      <c r="J1892" s="312"/>
      <c r="L1892" s="47"/>
      <c r="M1892" s="24"/>
      <c r="N1892" s="312"/>
      <c r="O1892" s="312"/>
      <c r="Q1892" s="47"/>
      <c r="R1892" s="136" t="s">
        <v>2154</v>
      </c>
      <c r="S1892" s="25" t="s">
        <v>2155</v>
      </c>
      <c r="T1892" s="155">
        <v>215465</v>
      </c>
      <c r="U1892" s="155">
        <v>0</v>
      </c>
    </row>
    <row r="1893" spans="2:21" x14ac:dyDescent="0.3">
      <c r="B1893" s="47"/>
      <c r="C1893" s="24"/>
      <c r="D1893" s="312"/>
      <c r="E1893" s="312"/>
      <c r="G1893" s="47"/>
      <c r="H1893" s="24"/>
      <c r="I1893" s="312"/>
      <c r="J1893" s="312"/>
      <c r="L1893" s="47"/>
      <c r="M1893" s="24"/>
      <c r="N1893" s="312"/>
      <c r="O1893" s="312"/>
      <c r="Q1893" s="47"/>
      <c r="R1893" s="136" t="s">
        <v>2156</v>
      </c>
      <c r="S1893" s="25" t="s">
        <v>2157</v>
      </c>
      <c r="T1893" s="155">
        <v>637908</v>
      </c>
      <c r="U1893" s="155">
        <v>0</v>
      </c>
    </row>
    <row r="1894" spans="2:21" x14ac:dyDescent="0.3">
      <c r="B1894" s="47"/>
      <c r="C1894" s="24"/>
      <c r="D1894" s="312"/>
      <c r="E1894" s="312"/>
      <c r="G1894" s="47"/>
      <c r="H1894" s="24"/>
      <c r="I1894" s="312"/>
      <c r="J1894" s="312"/>
      <c r="L1894" s="47"/>
      <c r="M1894" s="24"/>
      <c r="N1894" s="312"/>
      <c r="O1894" s="312"/>
      <c r="Q1894" s="47"/>
      <c r="R1894" s="136" t="s">
        <v>2199</v>
      </c>
      <c r="S1894" s="25" t="s">
        <v>2200</v>
      </c>
      <c r="T1894" s="155">
        <v>262452</v>
      </c>
      <c r="U1894" s="155">
        <v>0</v>
      </c>
    </row>
    <row r="1895" spans="2:21" x14ac:dyDescent="0.3">
      <c r="B1895" s="47"/>
      <c r="C1895" s="24"/>
      <c r="D1895" s="312"/>
      <c r="E1895" s="312"/>
      <c r="G1895" s="47"/>
      <c r="H1895" s="24"/>
      <c r="I1895" s="312"/>
      <c r="J1895" s="312"/>
      <c r="L1895" s="47"/>
      <c r="M1895" s="24"/>
      <c r="N1895" s="312"/>
      <c r="O1895" s="312"/>
      <c r="Q1895" s="47"/>
      <c r="R1895" s="136" t="s">
        <v>2201</v>
      </c>
      <c r="S1895" s="25" t="s">
        <v>2202</v>
      </c>
      <c r="T1895" s="155">
        <v>183829</v>
      </c>
      <c r="U1895" s="155">
        <v>0</v>
      </c>
    </row>
    <row r="1896" spans="2:21" x14ac:dyDescent="0.3">
      <c r="B1896" s="47"/>
      <c r="C1896" s="24"/>
      <c r="D1896" s="312"/>
      <c r="E1896" s="312"/>
      <c r="G1896" s="47"/>
      <c r="H1896" s="24"/>
      <c r="I1896" s="312"/>
      <c r="J1896" s="312"/>
      <c r="L1896" s="47"/>
      <c r="M1896" s="24"/>
      <c r="N1896" s="312"/>
      <c r="O1896" s="312"/>
      <c r="Q1896" s="47"/>
      <c r="R1896" s="136" t="s">
        <v>2203</v>
      </c>
      <c r="S1896" s="25" t="s">
        <v>2204</v>
      </c>
      <c r="T1896" s="155">
        <v>87359</v>
      </c>
      <c r="U1896" s="155">
        <v>0</v>
      </c>
    </row>
    <row r="1897" spans="2:21" x14ac:dyDescent="0.3">
      <c r="B1897" s="47"/>
      <c r="C1897" s="24"/>
      <c r="D1897" s="312"/>
      <c r="E1897" s="312"/>
      <c r="G1897" s="47"/>
      <c r="H1897" s="24"/>
      <c r="I1897" s="312"/>
      <c r="J1897" s="312"/>
      <c r="L1897" s="47"/>
      <c r="M1897" s="24"/>
      <c r="N1897" s="312"/>
      <c r="O1897" s="312"/>
      <c r="Q1897" s="47"/>
      <c r="R1897" s="136" t="s">
        <v>2205</v>
      </c>
      <c r="S1897" s="25" t="s">
        <v>2206</v>
      </c>
      <c r="T1897" s="155">
        <v>166882</v>
      </c>
      <c r="U1897" s="155">
        <v>0</v>
      </c>
    </row>
    <row r="1898" spans="2:21" x14ac:dyDescent="0.3">
      <c r="B1898" s="47"/>
      <c r="C1898" s="24"/>
      <c r="D1898" s="312"/>
      <c r="E1898" s="312"/>
      <c r="G1898" s="47"/>
      <c r="H1898" s="24"/>
      <c r="I1898" s="312"/>
      <c r="J1898" s="312"/>
      <c r="L1898" s="47"/>
      <c r="M1898" s="24"/>
      <c r="N1898" s="312"/>
      <c r="O1898" s="312"/>
      <c r="Q1898" s="47"/>
      <c r="R1898" s="136" t="s">
        <v>2207</v>
      </c>
      <c r="S1898" s="25" t="s">
        <v>2208</v>
      </c>
      <c r="T1898" s="155">
        <v>167174</v>
      </c>
      <c r="U1898" s="155">
        <v>0</v>
      </c>
    </row>
    <row r="1899" spans="2:21" x14ac:dyDescent="0.3">
      <c r="B1899" s="47"/>
      <c r="C1899" s="24"/>
      <c r="D1899" s="312"/>
      <c r="E1899" s="312"/>
      <c r="G1899" s="47"/>
      <c r="H1899" s="24"/>
      <c r="I1899" s="312"/>
      <c r="J1899" s="312"/>
      <c r="L1899" s="47"/>
      <c r="M1899" s="24"/>
      <c r="N1899" s="312"/>
      <c r="O1899" s="312"/>
      <c r="Q1899" s="47"/>
      <c r="R1899" s="136" t="s">
        <v>2209</v>
      </c>
      <c r="S1899" s="25" t="s">
        <v>2210</v>
      </c>
      <c r="T1899" s="155">
        <v>182167</v>
      </c>
      <c r="U1899" s="155">
        <v>0</v>
      </c>
    </row>
    <row r="1900" spans="2:21" x14ac:dyDescent="0.3">
      <c r="B1900" s="47"/>
      <c r="C1900" s="24"/>
      <c r="D1900" s="312"/>
      <c r="E1900" s="312"/>
      <c r="G1900" s="47"/>
      <c r="H1900" s="24"/>
      <c r="I1900" s="312"/>
      <c r="J1900" s="312"/>
      <c r="L1900" s="47"/>
      <c r="M1900" s="24"/>
      <c r="N1900" s="312"/>
      <c r="O1900" s="312"/>
      <c r="Q1900" s="47"/>
      <c r="R1900" s="136" t="s">
        <v>2340</v>
      </c>
      <c r="S1900" s="25" t="s">
        <v>2159</v>
      </c>
      <c r="T1900" s="155">
        <v>260994</v>
      </c>
      <c r="U1900" s="155">
        <v>0</v>
      </c>
    </row>
    <row r="1901" spans="2:21" x14ac:dyDescent="0.3">
      <c r="B1901" s="47"/>
      <c r="C1901" s="24"/>
      <c r="D1901" s="312"/>
      <c r="E1901" s="312"/>
      <c r="G1901" s="47"/>
      <c r="H1901" s="24"/>
      <c r="I1901" s="312"/>
      <c r="J1901" s="312"/>
      <c r="L1901" s="47"/>
      <c r="M1901" s="24"/>
      <c r="N1901" s="312"/>
      <c r="O1901" s="312"/>
      <c r="Q1901" s="47"/>
      <c r="R1901" s="136" t="s">
        <v>2160</v>
      </c>
      <c r="S1901" s="25" t="s">
        <v>2161</v>
      </c>
      <c r="T1901" s="155">
        <v>138990</v>
      </c>
      <c r="U1901" s="155">
        <v>0</v>
      </c>
    </row>
    <row r="1902" spans="2:21" x14ac:dyDescent="0.3">
      <c r="B1902" s="47"/>
      <c r="C1902" s="24"/>
      <c r="D1902" s="312"/>
      <c r="E1902" s="312"/>
      <c r="G1902" s="47"/>
      <c r="H1902" s="24"/>
      <c r="I1902" s="312"/>
      <c r="J1902" s="312"/>
      <c r="L1902" s="47"/>
      <c r="M1902" s="24"/>
      <c r="N1902" s="312"/>
      <c r="O1902" s="312"/>
      <c r="Q1902" s="47"/>
      <c r="R1902" s="136" t="s">
        <v>2162</v>
      </c>
      <c r="S1902" s="25" t="s">
        <v>2163</v>
      </c>
      <c r="T1902" s="155">
        <v>157030</v>
      </c>
      <c r="U1902" s="155">
        <v>0</v>
      </c>
    </row>
    <row r="1903" spans="2:21" x14ac:dyDescent="0.3">
      <c r="B1903" s="47"/>
      <c r="C1903" s="24"/>
      <c r="D1903" s="312"/>
      <c r="E1903" s="312"/>
      <c r="G1903" s="47"/>
      <c r="H1903" s="24"/>
      <c r="I1903" s="312"/>
      <c r="J1903" s="312"/>
      <c r="L1903" s="47"/>
      <c r="M1903" s="24"/>
      <c r="N1903" s="312"/>
      <c r="O1903" s="312"/>
      <c r="Q1903" s="47"/>
      <c r="R1903" s="136" t="s">
        <v>2165</v>
      </c>
      <c r="S1903" s="25" t="s">
        <v>2166</v>
      </c>
      <c r="T1903" s="155">
        <v>95658</v>
      </c>
      <c r="U1903" s="155">
        <v>0</v>
      </c>
    </row>
    <row r="1904" spans="2:21" x14ac:dyDescent="0.3">
      <c r="B1904" s="47"/>
      <c r="C1904" s="24"/>
      <c r="D1904" s="312"/>
      <c r="E1904" s="312"/>
      <c r="G1904" s="47"/>
      <c r="H1904" s="24"/>
      <c r="I1904" s="312"/>
      <c r="J1904" s="312"/>
      <c r="L1904" s="47"/>
      <c r="M1904" s="24"/>
      <c r="N1904" s="312"/>
      <c r="O1904" s="312"/>
      <c r="Q1904" s="47"/>
      <c r="R1904" s="136" t="s">
        <v>2168</v>
      </c>
      <c r="S1904" s="25" t="s">
        <v>2169</v>
      </c>
      <c r="T1904" s="155">
        <v>28089</v>
      </c>
      <c r="U1904" s="155">
        <v>0</v>
      </c>
    </row>
    <row r="1905" spans="2:21" x14ac:dyDescent="0.3">
      <c r="B1905" s="47"/>
      <c r="C1905" s="24"/>
      <c r="D1905" s="312"/>
      <c r="E1905" s="312"/>
      <c r="G1905" s="47"/>
      <c r="H1905" s="24"/>
      <c r="I1905" s="312"/>
      <c r="J1905" s="312"/>
      <c r="L1905" s="47"/>
      <c r="M1905" s="24"/>
      <c r="N1905" s="312"/>
      <c r="O1905" s="312"/>
      <c r="Q1905" s="47"/>
      <c r="R1905" s="136" t="s">
        <v>2168</v>
      </c>
      <c r="S1905" s="25" t="s">
        <v>2169</v>
      </c>
      <c r="T1905" s="155">
        <v>75869</v>
      </c>
      <c r="U1905" s="155">
        <v>0</v>
      </c>
    </row>
    <row r="1906" spans="2:21" x14ac:dyDescent="0.3">
      <c r="B1906" s="47"/>
      <c r="C1906" s="24"/>
      <c r="D1906" s="312"/>
      <c r="E1906" s="312"/>
      <c r="G1906" s="47"/>
      <c r="H1906" s="24"/>
      <c r="I1906" s="312"/>
      <c r="J1906" s="312"/>
      <c r="L1906" s="47"/>
      <c r="M1906" s="24"/>
      <c r="N1906" s="312"/>
      <c r="O1906" s="312"/>
      <c r="Q1906" s="47"/>
      <c r="R1906" s="136" t="s">
        <v>3313</v>
      </c>
      <c r="S1906" s="25" t="s">
        <v>2211</v>
      </c>
      <c r="T1906" s="155">
        <v>168155</v>
      </c>
      <c r="U1906" s="155">
        <v>0</v>
      </c>
    </row>
    <row r="1907" spans="2:21" x14ac:dyDescent="0.3">
      <c r="B1907" s="47"/>
      <c r="C1907" s="24"/>
      <c r="D1907" s="312"/>
      <c r="E1907" s="312"/>
      <c r="G1907" s="47"/>
      <c r="H1907" s="24"/>
      <c r="I1907" s="312"/>
      <c r="J1907" s="312"/>
      <c r="L1907" s="47"/>
      <c r="M1907" s="24"/>
      <c r="N1907" s="312"/>
      <c r="O1907" s="312"/>
      <c r="Q1907" s="47"/>
      <c r="R1907" s="136" t="s">
        <v>2212</v>
      </c>
      <c r="S1907" s="25" t="s">
        <v>2213</v>
      </c>
      <c r="T1907" s="155">
        <v>91759</v>
      </c>
      <c r="U1907" s="155">
        <v>0</v>
      </c>
    </row>
    <row r="1908" spans="2:21" x14ac:dyDescent="0.3">
      <c r="B1908" s="47"/>
      <c r="C1908" s="24"/>
      <c r="D1908" s="312"/>
      <c r="E1908" s="312"/>
      <c r="G1908" s="47"/>
      <c r="H1908" s="24"/>
      <c r="I1908" s="312"/>
      <c r="J1908" s="312"/>
      <c r="L1908" s="47"/>
      <c r="M1908" s="24"/>
      <c r="N1908" s="312"/>
      <c r="O1908" s="312"/>
      <c r="Q1908" s="47"/>
      <c r="R1908" s="136" t="s">
        <v>2214</v>
      </c>
      <c r="S1908" s="25" t="s">
        <v>2215</v>
      </c>
      <c r="T1908" s="155">
        <v>128443</v>
      </c>
      <c r="U1908" s="155">
        <v>0</v>
      </c>
    </row>
    <row r="1909" spans="2:21" x14ac:dyDescent="0.3">
      <c r="B1909" s="47"/>
      <c r="C1909" s="24"/>
      <c r="D1909" s="312"/>
      <c r="E1909" s="312"/>
      <c r="G1909" s="47"/>
      <c r="H1909" s="24"/>
      <c r="I1909" s="312"/>
      <c r="J1909" s="312"/>
      <c r="L1909" s="47"/>
      <c r="M1909" s="24"/>
      <c r="N1909" s="312"/>
      <c r="O1909" s="312"/>
      <c r="Q1909" s="47"/>
      <c r="R1909" s="136" t="s">
        <v>1985</v>
      </c>
      <c r="S1909" s="25" t="s">
        <v>2197</v>
      </c>
      <c r="T1909" s="155">
        <v>17592</v>
      </c>
      <c r="U1909" s="155">
        <v>0</v>
      </c>
    </row>
    <row r="1910" spans="2:21" x14ac:dyDescent="0.3">
      <c r="B1910" s="47"/>
      <c r="C1910" s="24"/>
      <c r="D1910" s="312"/>
      <c r="E1910" s="312"/>
      <c r="G1910" s="47"/>
      <c r="H1910" s="24"/>
      <c r="I1910" s="312"/>
      <c r="J1910" s="312"/>
      <c r="L1910" s="47"/>
      <c r="M1910" s="24"/>
      <c r="N1910" s="312"/>
      <c r="O1910" s="312"/>
      <c r="Q1910" s="47"/>
      <c r="R1910" s="136" t="s">
        <v>1895</v>
      </c>
      <c r="S1910" s="25" t="s">
        <v>2174</v>
      </c>
      <c r="T1910" s="155">
        <v>228292</v>
      </c>
      <c r="U1910" s="155">
        <v>0</v>
      </c>
    </row>
    <row r="1911" spans="2:21" x14ac:dyDescent="0.3">
      <c r="B1911" s="47"/>
      <c r="C1911" s="24"/>
      <c r="D1911" s="312"/>
      <c r="E1911" s="312"/>
      <c r="G1911" s="47"/>
      <c r="H1911" s="24"/>
      <c r="I1911" s="312"/>
      <c r="J1911" s="312"/>
      <c r="L1911" s="47"/>
      <c r="M1911" s="24"/>
      <c r="N1911" s="312"/>
      <c r="O1911" s="312"/>
      <c r="Q1911" s="47"/>
      <c r="R1911" s="136" t="s">
        <v>2177</v>
      </c>
      <c r="S1911" s="25" t="s">
        <v>2341</v>
      </c>
      <c r="T1911" s="155">
        <v>275615</v>
      </c>
      <c r="U1911" s="155">
        <v>0</v>
      </c>
    </row>
    <row r="1912" spans="2:21" x14ac:dyDescent="0.3">
      <c r="B1912" s="47"/>
      <c r="C1912" s="24"/>
      <c r="D1912" s="312"/>
      <c r="E1912" s="312"/>
      <c r="G1912" s="47"/>
      <c r="H1912" s="24"/>
      <c r="I1912" s="312"/>
      <c r="J1912" s="312"/>
      <c r="L1912" s="47"/>
      <c r="M1912" s="24"/>
      <c r="N1912" s="312"/>
      <c r="O1912" s="312"/>
      <c r="Q1912" s="47"/>
      <c r="R1912" s="136" t="s">
        <v>2183</v>
      </c>
      <c r="S1912" s="25" t="s">
        <v>2182</v>
      </c>
      <c r="T1912" s="155">
        <v>179370</v>
      </c>
      <c r="U1912" s="155">
        <v>0</v>
      </c>
    </row>
    <row r="1913" spans="2:21" x14ac:dyDescent="0.3">
      <c r="B1913" s="47"/>
      <c r="C1913" s="24"/>
      <c r="D1913" s="312"/>
      <c r="E1913" s="312"/>
      <c r="G1913" s="47"/>
      <c r="H1913" s="24"/>
      <c r="I1913" s="312"/>
      <c r="J1913" s="312"/>
      <c r="L1913" s="47"/>
      <c r="M1913" s="24"/>
      <c r="N1913" s="312"/>
      <c r="O1913" s="312"/>
      <c r="Q1913" s="47"/>
      <c r="R1913" s="136" t="s">
        <v>2185</v>
      </c>
      <c r="S1913" s="25" t="s">
        <v>2184</v>
      </c>
      <c r="T1913" s="155">
        <v>238649</v>
      </c>
      <c r="U1913" s="155">
        <v>0</v>
      </c>
    </row>
    <row r="1914" spans="2:21" x14ac:dyDescent="0.3">
      <c r="B1914" s="47"/>
      <c r="C1914" s="24"/>
      <c r="D1914" s="312"/>
      <c r="E1914" s="312"/>
      <c r="G1914" s="47"/>
      <c r="H1914" s="24"/>
      <c r="I1914" s="312"/>
      <c r="J1914" s="312"/>
      <c r="L1914" s="47"/>
      <c r="M1914" s="24"/>
      <c r="N1914" s="312"/>
      <c r="O1914" s="312"/>
      <c r="Q1914" s="47"/>
      <c r="R1914" s="136" t="s">
        <v>2187</v>
      </c>
      <c r="S1914" s="25" t="s">
        <v>2186</v>
      </c>
      <c r="T1914" s="155">
        <v>220414</v>
      </c>
      <c r="U1914" s="155">
        <v>0</v>
      </c>
    </row>
    <row r="1915" spans="2:21" x14ac:dyDescent="0.3">
      <c r="B1915" s="47"/>
      <c r="C1915" s="24"/>
      <c r="D1915" s="312"/>
      <c r="E1915" s="312"/>
      <c r="G1915" s="47"/>
      <c r="H1915" s="24"/>
      <c r="I1915" s="312"/>
      <c r="J1915" s="312"/>
      <c r="L1915" s="47"/>
      <c r="M1915" s="24"/>
      <c r="N1915" s="312"/>
      <c r="O1915" s="312"/>
      <c r="Q1915" s="47"/>
      <c r="R1915" s="136" t="s">
        <v>2342</v>
      </c>
      <c r="S1915" s="25" t="s">
        <v>2188</v>
      </c>
      <c r="T1915" s="155">
        <v>33285</v>
      </c>
      <c r="U1915" s="155">
        <v>0</v>
      </c>
    </row>
    <row r="1916" spans="2:21" x14ac:dyDescent="0.3">
      <c r="B1916" s="47"/>
      <c r="C1916" s="24"/>
      <c r="D1916" s="312"/>
      <c r="E1916" s="312"/>
      <c r="G1916" s="47"/>
      <c r="H1916" s="24"/>
      <c r="I1916" s="312"/>
      <c r="J1916" s="312"/>
      <c r="L1916" s="47"/>
      <c r="M1916" s="24"/>
      <c r="N1916" s="312"/>
      <c r="O1916" s="312"/>
      <c r="Q1916" s="47"/>
      <c r="R1916" s="136" t="s">
        <v>2342</v>
      </c>
      <c r="S1916" s="25" t="s">
        <v>2188</v>
      </c>
      <c r="T1916" s="155">
        <v>56725</v>
      </c>
      <c r="U1916" s="155">
        <v>0</v>
      </c>
    </row>
    <row r="1917" spans="2:21" x14ac:dyDescent="0.3">
      <c r="B1917" s="47"/>
      <c r="C1917" s="24"/>
      <c r="D1917" s="312"/>
      <c r="E1917" s="312"/>
      <c r="G1917" s="47"/>
      <c r="H1917" s="24"/>
      <c r="I1917" s="312"/>
      <c r="J1917" s="312"/>
      <c r="L1917" s="47"/>
      <c r="M1917" s="24"/>
      <c r="N1917" s="312"/>
      <c r="O1917" s="312"/>
      <c r="Q1917" s="47"/>
      <c r="R1917" s="136" t="s">
        <v>2190</v>
      </c>
      <c r="S1917" s="25" t="s">
        <v>2189</v>
      </c>
      <c r="T1917" s="155">
        <v>130348</v>
      </c>
      <c r="U1917" s="155">
        <v>0</v>
      </c>
    </row>
    <row r="1918" spans="2:21" x14ac:dyDescent="0.3">
      <c r="B1918" s="47"/>
      <c r="C1918" s="24"/>
      <c r="D1918" s="312"/>
      <c r="E1918" s="312"/>
      <c r="G1918" s="47"/>
      <c r="H1918" s="24"/>
      <c r="I1918" s="312"/>
      <c r="J1918" s="312"/>
      <c r="L1918" s="47"/>
      <c r="M1918" s="24"/>
      <c r="N1918" s="312"/>
      <c r="O1918" s="312"/>
      <c r="Q1918" s="47"/>
      <c r="R1918" s="136" t="s">
        <v>2192</v>
      </c>
      <c r="S1918" s="25" t="s">
        <v>2191</v>
      </c>
      <c r="T1918" s="155">
        <v>131847</v>
      </c>
      <c r="U1918" s="155">
        <v>0</v>
      </c>
    </row>
    <row r="1919" spans="2:21" x14ac:dyDescent="0.3">
      <c r="B1919" s="47"/>
      <c r="C1919" s="24"/>
      <c r="D1919" s="312"/>
      <c r="E1919" s="312"/>
      <c r="G1919" s="47"/>
      <c r="H1919" s="24"/>
      <c r="I1919" s="312"/>
      <c r="J1919" s="312"/>
      <c r="L1919" s="47"/>
      <c r="M1919" s="24"/>
      <c r="N1919" s="312"/>
      <c r="O1919" s="312"/>
      <c r="Q1919" s="47"/>
      <c r="R1919" s="136" t="s">
        <v>1896</v>
      </c>
      <c r="S1919" s="25" t="s">
        <v>2193</v>
      </c>
      <c r="T1919" s="155">
        <v>123996</v>
      </c>
      <c r="U1919" s="155">
        <v>0</v>
      </c>
    </row>
    <row r="1920" spans="2:21" x14ac:dyDescent="0.3">
      <c r="B1920" s="47"/>
      <c r="C1920" s="24"/>
      <c r="D1920" s="312"/>
      <c r="E1920" s="312"/>
      <c r="G1920" s="47"/>
      <c r="H1920" s="24"/>
      <c r="I1920" s="312"/>
      <c r="J1920" s="312"/>
      <c r="L1920" s="47"/>
      <c r="M1920" s="24"/>
      <c r="N1920" s="312"/>
      <c r="O1920" s="312"/>
      <c r="Q1920" s="47"/>
      <c r="R1920" s="136" t="s">
        <v>3291</v>
      </c>
      <c r="S1920" s="25" t="s">
        <v>2171</v>
      </c>
      <c r="T1920" s="155">
        <v>193618</v>
      </c>
      <c r="U1920" s="155">
        <v>0</v>
      </c>
    </row>
    <row r="1921" spans="2:21" x14ac:dyDescent="0.3">
      <c r="B1921" s="47"/>
      <c r="C1921" s="24"/>
      <c r="D1921" s="312"/>
      <c r="E1921" s="312"/>
      <c r="G1921" s="47"/>
      <c r="H1921" s="24"/>
      <c r="I1921" s="312"/>
      <c r="J1921" s="312"/>
      <c r="L1921" s="47"/>
      <c r="M1921" s="24"/>
      <c r="N1921" s="312"/>
      <c r="O1921" s="312"/>
      <c r="Q1921" s="47"/>
      <c r="R1921" s="136" t="s">
        <v>1898</v>
      </c>
      <c r="S1921" s="25" t="s">
        <v>2218</v>
      </c>
      <c r="T1921" s="155">
        <v>120249</v>
      </c>
      <c r="U1921" s="155">
        <v>0</v>
      </c>
    </row>
    <row r="1922" spans="2:21" x14ac:dyDescent="0.3">
      <c r="B1922" s="47"/>
      <c r="C1922" s="24"/>
      <c r="D1922" s="312"/>
      <c r="E1922" s="312"/>
      <c r="G1922" s="47"/>
      <c r="H1922" s="24"/>
      <c r="I1922" s="312"/>
      <c r="J1922" s="312"/>
      <c r="L1922" s="47"/>
      <c r="M1922" s="24"/>
      <c r="N1922" s="312"/>
      <c r="O1922" s="312"/>
      <c r="Q1922" s="47"/>
      <c r="R1922" s="136" t="s">
        <v>2219</v>
      </c>
      <c r="S1922" s="25" t="s">
        <v>2220</v>
      </c>
      <c r="T1922" s="155">
        <v>69919</v>
      </c>
      <c r="U1922" s="155">
        <v>0</v>
      </c>
    </row>
    <row r="1923" spans="2:21" x14ac:dyDescent="0.3">
      <c r="B1923" s="47"/>
      <c r="C1923" s="24"/>
      <c r="D1923" s="312"/>
      <c r="E1923" s="312"/>
      <c r="G1923" s="47"/>
      <c r="H1923" s="24"/>
      <c r="I1923" s="312"/>
      <c r="J1923" s="312"/>
      <c r="L1923" s="47"/>
      <c r="M1923" s="24"/>
      <c r="N1923" s="312"/>
      <c r="O1923" s="312"/>
      <c r="Q1923" s="47"/>
      <c r="R1923" s="136" t="s">
        <v>2221</v>
      </c>
      <c r="S1923" s="25" t="s">
        <v>2222</v>
      </c>
      <c r="T1923" s="155">
        <v>71420</v>
      </c>
      <c r="U1923" s="155">
        <v>0</v>
      </c>
    </row>
    <row r="1924" spans="2:21" x14ac:dyDescent="0.3">
      <c r="B1924" s="47"/>
      <c r="C1924" s="24"/>
      <c r="D1924" s="312"/>
      <c r="E1924" s="312"/>
      <c r="G1924" s="47"/>
      <c r="H1924" s="24"/>
      <c r="I1924" s="312"/>
      <c r="J1924" s="312"/>
      <c r="L1924" s="47"/>
      <c r="M1924" s="24"/>
      <c r="N1924" s="312"/>
      <c r="O1924" s="312"/>
      <c r="Q1924" s="47"/>
      <c r="R1924" s="136" t="s">
        <v>2223</v>
      </c>
      <c r="S1924" s="25" t="s">
        <v>2224</v>
      </c>
      <c r="T1924" s="155">
        <v>89889</v>
      </c>
      <c r="U1924" s="155">
        <v>0</v>
      </c>
    </row>
    <row r="1925" spans="2:21" x14ac:dyDescent="0.3">
      <c r="B1925" s="47"/>
      <c r="C1925" s="24"/>
      <c r="D1925" s="312"/>
      <c r="E1925" s="312"/>
      <c r="G1925" s="47"/>
      <c r="H1925" s="24"/>
      <c r="I1925" s="312"/>
      <c r="J1925" s="312"/>
      <c r="L1925" s="47"/>
      <c r="M1925" s="24"/>
      <c r="N1925" s="312"/>
      <c r="O1925" s="312"/>
      <c r="Q1925" s="47"/>
      <c r="R1925" s="136" t="s">
        <v>2226</v>
      </c>
      <c r="S1925" s="25" t="s">
        <v>2227</v>
      </c>
      <c r="T1925" s="155">
        <v>85914</v>
      </c>
      <c r="U1925" s="155">
        <v>0</v>
      </c>
    </row>
    <row r="1926" spans="2:21" x14ac:dyDescent="0.3">
      <c r="B1926" s="47"/>
      <c r="C1926" s="24"/>
      <c r="D1926" s="312"/>
      <c r="E1926" s="312"/>
      <c r="G1926" s="47"/>
      <c r="H1926" s="24"/>
      <c r="I1926" s="312"/>
      <c r="J1926" s="312"/>
      <c r="L1926" s="47"/>
      <c r="M1926" s="24"/>
      <c r="N1926" s="312"/>
      <c r="O1926" s="312"/>
      <c r="Q1926" s="47"/>
      <c r="R1926" s="136" t="s">
        <v>2228</v>
      </c>
      <c r="S1926" s="25" t="s">
        <v>1990</v>
      </c>
      <c r="T1926" s="155">
        <v>53157</v>
      </c>
      <c r="U1926" s="155">
        <v>0</v>
      </c>
    </row>
    <row r="1927" spans="2:21" x14ac:dyDescent="0.3">
      <c r="B1927" s="47"/>
      <c r="C1927" s="24"/>
      <c r="D1927" s="312"/>
      <c r="E1927" s="312"/>
      <c r="G1927" s="47"/>
      <c r="H1927" s="24"/>
      <c r="I1927" s="312"/>
      <c r="J1927" s="312"/>
      <c r="L1927" s="47"/>
      <c r="M1927" s="24"/>
      <c r="N1927" s="312"/>
      <c r="O1927" s="312"/>
      <c r="Q1927" s="47"/>
      <c r="R1927" s="136" t="s">
        <v>2229</v>
      </c>
      <c r="S1927" s="25" t="s">
        <v>1987</v>
      </c>
      <c r="T1927" s="155">
        <v>38423</v>
      </c>
      <c r="U1927" s="155">
        <v>0</v>
      </c>
    </row>
    <row r="1928" spans="2:21" x14ac:dyDescent="0.3">
      <c r="B1928" s="47"/>
      <c r="C1928" s="24"/>
      <c r="D1928" s="312"/>
      <c r="E1928" s="312"/>
      <c r="G1928" s="47"/>
      <c r="H1928" s="24"/>
      <c r="I1928" s="312"/>
      <c r="J1928" s="312"/>
      <c r="L1928" s="47"/>
      <c r="M1928" s="24"/>
      <c r="N1928" s="312"/>
      <c r="O1928" s="312"/>
      <c r="Q1928" s="47"/>
      <c r="R1928" s="136" t="s">
        <v>2230</v>
      </c>
      <c r="S1928" s="25" t="s">
        <v>2231</v>
      </c>
      <c r="T1928" s="155">
        <v>33060</v>
      </c>
      <c r="U1928" s="155">
        <v>0</v>
      </c>
    </row>
    <row r="1929" spans="2:21" x14ac:dyDescent="0.3">
      <c r="B1929" s="47"/>
      <c r="C1929" s="24"/>
      <c r="D1929" s="312"/>
      <c r="E1929" s="312"/>
      <c r="G1929" s="47"/>
      <c r="H1929" s="24"/>
      <c r="I1929" s="312"/>
      <c r="J1929" s="312"/>
      <c r="L1929" s="47"/>
      <c r="M1929" s="24"/>
      <c r="N1929" s="312"/>
      <c r="O1929" s="312"/>
      <c r="Q1929" s="47"/>
      <c r="R1929" s="136" t="s">
        <v>2232</v>
      </c>
      <c r="S1929" s="25" t="s">
        <v>1988</v>
      </c>
      <c r="T1929" s="155">
        <v>51982</v>
      </c>
      <c r="U1929" s="155">
        <v>0</v>
      </c>
    </row>
    <row r="1930" spans="2:21" x14ac:dyDescent="0.3">
      <c r="B1930" s="47"/>
      <c r="C1930" s="24"/>
      <c r="D1930" s="312"/>
      <c r="E1930" s="312"/>
      <c r="G1930" s="47"/>
      <c r="H1930" s="24"/>
      <c r="I1930" s="312"/>
      <c r="J1930" s="312"/>
      <c r="L1930" s="47"/>
      <c r="M1930" s="24"/>
      <c r="N1930" s="312"/>
      <c r="O1930" s="312"/>
      <c r="Q1930" s="47"/>
      <c r="R1930" s="136" t="s">
        <v>2233</v>
      </c>
      <c r="S1930" s="25" t="s">
        <v>1989</v>
      </c>
      <c r="T1930" s="155">
        <v>19341</v>
      </c>
      <c r="U1930" s="155">
        <v>0</v>
      </c>
    </row>
    <row r="1931" spans="2:21" x14ac:dyDescent="0.3">
      <c r="B1931" s="47"/>
      <c r="C1931" s="24"/>
      <c r="D1931" s="312"/>
      <c r="E1931" s="312"/>
      <c r="G1931" s="47"/>
      <c r="H1931" s="24"/>
      <c r="I1931" s="312"/>
      <c r="J1931" s="312"/>
      <c r="L1931" s="47"/>
      <c r="M1931" s="24"/>
      <c r="N1931" s="312"/>
      <c r="O1931" s="312"/>
      <c r="Q1931" s="47"/>
      <c r="R1931" s="136" t="s">
        <v>2234</v>
      </c>
      <c r="S1931" s="25" t="s">
        <v>2235</v>
      </c>
      <c r="T1931" s="155">
        <v>20391</v>
      </c>
      <c r="U1931" s="155">
        <v>0</v>
      </c>
    </row>
    <row r="1932" spans="2:21" x14ac:dyDescent="0.3">
      <c r="B1932" s="47"/>
      <c r="C1932" s="24"/>
      <c r="D1932" s="312"/>
      <c r="E1932" s="312"/>
      <c r="G1932" s="47"/>
      <c r="H1932" s="24"/>
      <c r="I1932" s="312"/>
      <c r="J1932" s="312"/>
      <c r="L1932" s="47"/>
      <c r="M1932" s="24"/>
      <c r="N1932" s="312"/>
      <c r="O1932" s="312"/>
      <c r="Q1932" s="241">
        <v>80010010</v>
      </c>
      <c r="R1932" s="242"/>
      <c r="S1932" s="246" t="s">
        <v>1072</v>
      </c>
      <c r="T1932" s="239">
        <f>SUM(T1933:T1972)-SUM(U1933:U1972)</f>
        <v>254889</v>
      </c>
      <c r="U1932" s="240">
        <v>0</v>
      </c>
    </row>
    <row r="1933" spans="2:21" x14ac:dyDescent="0.3">
      <c r="B1933" s="47"/>
      <c r="C1933" s="24"/>
      <c r="D1933" s="312"/>
      <c r="E1933" s="312"/>
      <c r="G1933" s="47"/>
      <c r="H1933" s="24"/>
      <c r="I1933" s="312"/>
      <c r="J1933" s="312"/>
      <c r="L1933" s="47"/>
      <c r="M1933" s="24"/>
      <c r="N1933" s="312"/>
      <c r="O1933" s="312"/>
      <c r="Q1933" s="47"/>
      <c r="R1933" s="136" t="s">
        <v>1931</v>
      </c>
      <c r="S1933" s="25" t="s">
        <v>1932</v>
      </c>
      <c r="T1933" s="155">
        <v>4671</v>
      </c>
      <c r="U1933" s="155">
        <v>0</v>
      </c>
    </row>
    <row r="1934" spans="2:21" x14ac:dyDescent="0.3">
      <c r="B1934" s="47"/>
      <c r="C1934" s="24"/>
      <c r="D1934" s="312"/>
      <c r="E1934" s="312"/>
      <c r="G1934" s="47"/>
      <c r="H1934" s="24"/>
      <c r="I1934" s="312"/>
      <c r="J1934" s="312"/>
      <c r="L1934" s="47"/>
      <c r="M1934" s="24"/>
      <c r="N1934" s="312"/>
      <c r="O1934" s="312"/>
      <c r="Q1934" s="47"/>
      <c r="R1934" s="136" t="s">
        <v>2154</v>
      </c>
      <c r="S1934" s="25" t="s">
        <v>2155</v>
      </c>
      <c r="T1934" s="155">
        <v>7317</v>
      </c>
      <c r="U1934" s="155">
        <v>0</v>
      </c>
    </row>
    <row r="1935" spans="2:21" x14ac:dyDescent="0.3">
      <c r="B1935" s="47"/>
      <c r="C1935" s="24"/>
      <c r="D1935" s="312"/>
      <c r="E1935" s="312"/>
      <c r="G1935" s="47"/>
      <c r="H1935" s="24"/>
      <c r="I1935" s="312"/>
      <c r="J1935" s="312"/>
      <c r="L1935" s="47"/>
      <c r="M1935" s="24"/>
      <c r="N1935" s="312"/>
      <c r="O1935" s="312"/>
      <c r="Q1935" s="47"/>
      <c r="R1935" s="136" t="s">
        <v>2156</v>
      </c>
      <c r="S1935" s="25" t="s">
        <v>2157</v>
      </c>
      <c r="T1935" s="155">
        <v>31095</v>
      </c>
      <c r="U1935" s="155">
        <v>0</v>
      </c>
    </row>
    <row r="1936" spans="2:21" x14ac:dyDescent="0.3">
      <c r="B1936" s="47"/>
      <c r="C1936" s="24"/>
      <c r="D1936" s="312"/>
      <c r="E1936" s="312"/>
      <c r="G1936" s="47"/>
      <c r="H1936" s="24"/>
      <c r="I1936" s="312"/>
      <c r="J1936" s="312"/>
      <c r="L1936" s="47"/>
      <c r="M1936" s="24"/>
      <c r="N1936" s="312"/>
      <c r="O1936" s="312"/>
      <c r="Q1936" s="47"/>
      <c r="R1936" s="136" t="s">
        <v>2199</v>
      </c>
      <c r="S1936" s="25" t="s">
        <v>2200</v>
      </c>
      <c r="T1936" s="155">
        <v>9351</v>
      </c>
      <c r="U1936" s="155">
        <v>0</v>
      </c>
    </row>
    <row r="1937" spans="2:21" x14ac:dyDescent="0.3">
      <c r="B1937" s="47"/>
      <c r="C1937" s="24"/>
      <c r="D1937" s="312"/>
      <c r="E1937" s="312"/>
      <c r="G1937" s="47"/>
      <c r="H1937" s="24"/>
      <c r="I1937" s="312"/>
      <c r="J1937" s="312"/>
      <c r="L1937" s="47"/>
      <c r="M1937" s="24"/>
      <c r="N1937" s="312"/>
      <c r="O1937" s="312"/>
      <c r="Q1937" s="47"/>
      <c r="R1937" s="136" t="s">
        <v>2201</v>
      </c>
      <c r="S1937" s="25" t="s">
        <v>2202</v>
      </c>
      <c r="T1937" s="155">
        <v>8334</v>
      </c>
      <c r="U1937" s="155">
        <v>0</v>
      </c>
    </row>
    <row r="1938" spans="2:21" x14ac:dyDescent="0.3">
      <c r="B1938" s="47"/>
      <c r="C1938" s="24"/>
      <c r="D1938" s="312"/>
      <c r="E1938" s="312"/>
      <c r="G1938" s="47"/>
      <c r="H1938" s="24"/>
      <c r="I1938" s="312"/>
      <c r="J1938" s="312"/>
      <c r="L1938" s="47"/>
      <c r="M1938" s="24"/>
      <c r="N1938" s="312"/>
      <c r="O1938" s="312"/>
      <c r="Q1938" s="47"/>
      <c r="R1938" s="136" t="s">
        <v>2203</v>
      </c>
      <c r="S1938" s="25" t="s">
        <v>2204</v>
      </c>
      <c r="T1938" s="155">
        <v>4671</v>
      </c>
      <c r="U1938" s="155">
        <v>0</v>
      </c>
    </row>
    <row r="1939" spans="2:21" x14ac:dyDescent="0.3">
      <c r="B1939" s="47"/>
      <c r="C1939" s="24"/>
      <c r="D1939" s="312"/>
      <c r="E1939" s="312"/>
      <c r="G1939" s="47"/>
      <c r="H1939" s="24"/>
      <c r="I1939" s="312"/>
      <c r="J1939" s="312"/>
      <c r="L1939" s="47"/>
      <c r="M1939" s="24"/>
      <c r="N1939" s="312"/>
      <c r="O1939" s="312"/>
      <c r="Q1939" s="47"/>
      <c r="R1939" s="136" t="s">
        <v>2205</v>
      </c>
      <c r="S1939" s="25" t="s">
        <v>2206</v>
      </c>
      <c r="T1939" s="155">
        <v>7317</v>
      </c>
      <c r="U1939" s="155">
        <v>0</v>
      </c>
    </row>
    <row r="1940" spans="2:21" x14ac:dyDescent="0.3">
      <c r="B1940" s="47"/>
      <c r="C1940" s="24"/>
      <c r="D1940" s="312"/>
      <c r="E1940" s="312"/>
      <c r="G1940" s="47"/>
      <c r="H1940" s="24"/>
      <c r="I1940" s="312"/>
      <c r="J1940" s="312"/>
      <c r="L1940" s="47"/>
      <c r="M1940" s="24"/>
      <c r="N1940" s="312"/>
      <c r="O1940" s="312"/>
      <c r="Q1940" s="47"/>
      <c r="R1940" s="136" t="s">
        <v>2207</v>
      </c>
      <c r="S1940" s="25" t="s">
        <v>2208</v>
      </c>
      <c r="T1940" s="155">
        <v>7722</v>
      </c>
      <c r="U1940" s="155">
        <v>0</v>
      </c>
    </row>
    <row r="1941" spans="2:21" x14ac:dyDescent="0.3">
      <c r="B1941" s="47"/>
      <c r="C1941" s="24"/>
      <c r="D1941" s="312"/>
      <c r="E1941" s="312"/>
      <c r="G1941" s="47"/>
      <c r="H1941" s="24"/>
      <c r="I1941" s="312"/>
      <c r="J1941" s="312"/>
      <c r="L1941" s="47"/>
      <c r="M1941" s="24"/>
      <c r="N1941" s="312"/>
      <c r="O1941" s="312"/>
      <c r="Q1941" s="47"/>
      <c r="R1941" s="136" t="s">
        <v>2209</v>
      </c>
      <c r="S1941" s="25" t="s">
        <v>2210</v>
      </c>
      <c r="T1941" s="155">
        <v>11385</v>
      </c>
      <c r="U1941" s="155">
        <v>0</v>
      </c>
    </row>
    <row r="1942" spans="2:21" x14ac:dyDescent="0.3">
      <c r="B1942" s="47"/>
      <c r="C1942" s="24"/>
      <c r="D1942" s="312"/>
      <c r="E1942" s="312"/>
      <c r="G1942" s="47"/>
      <c r="H1942" s="24"/>
      <c r="I1942" s="312"/>
      <c r="J1942" s="312"/>
      <c r="L1942" s="47"/>
      <c r="M1942" s="24"/>
      <c r="N1942" s="312"/>
      <c r="O1942" s="312"/>
      <c r="Q1942" s="47"/>
      <c r="R1942" s="136" t="s">
        <v>2340</v>
      </c>
      <c r="S1942" s="25" t="s">
        <v>2159</v>
      </c>
      <c r="T1942" s="155">
        <v>11385</v>
      </c>
      <c r="U1942" s="155">
        <v>0</v>
      </c>
    </row>
    <row r="1943" spans="2:21" x14ac:dyDescent="0.3">
      <c r="B1943" s="47"/>
      <c r="C1943" s="24"/>
      <c r="D1943" s="312"/>
      <c r="E1943" s="312"/>
      <c r="G1943" s="47"/>
      <c r="H1943" s="24"/>
      <c r="I1943" s="312"/>
      <c r="J1943" s="312"/>
      <c r="L1943" s="47"/>
      <c r="M1943" s="24"/>
      <c r="N1943" s="312"/>
      <c r="O1943" s="312"/>
      <c r="Q1943" s="47"/>
      <c r="R1943" s="136" t="s">
        <v>2160</v>
      </c>
      <c r="S1943" s="25" t="s">
        <v>2161</v>
      </c>
      <c r="T1943" s="155">
        <v>6705</v>
      </c>
      <c r="U1943" s="155">
        <v>0</v>
      </c>
    </row>
    <row r="1944" spans="2:21" x14ac:dyDescent="0.3">
      <c r="B1944" s="47"/>
      <c r="C1944" s="24"/>
      <c r="D1944" s="312"/>
      <c r="E1944" s="312"/>
      <c r="G1944" s="47"/>
      <c r="H1944" s="24"/>
      <c r="I1944" s="312"/>
      <c r="J1944" s="312"/>
      <c r="L1944" s="47"/>
      <c r="M1944" s="24"/>
      <c r="N1944" s="312"/>
      <c r="O1944" s="312"/>
      <c r="Q1944" s="47"/>
      <c r="R1944" s="136" t="s">
        <v>2162</v>
      </c>
      <c r="S1944" s="25" t="s">
        <v>2163</v>
      </c>
      <c r="T1944" s="155">
        <v>6705</v>
      </c>
      <c r="U1944" s="155">
        <v>0</v>
      </c>
    </row>
    <row r="1945" spans="2:21" x14ac:dyDescent="0.3">
      <c r="B1945" s="47"/>
      <c r="C1945" s="24"/>
      <c r="D1945" s="312"/>
      <c r="E1945" s="312"/>
      <c r="G1945" s="47"/>
      <c r="H1945" s="24"/>
      <c r="I1945" s="312"/>
      <c r="J1945" s="312"/>
      <c r="L1945" s="47"/>
      <c r="M1945" s="24"/>
      <c r="N1945" s="312"/>
      <c r="O1945" s="312"/>
      <c r="Q1945" s="47"/>
      <c r="R1945" s="136" t="s">
        <v>2165</v>
      </c>
      <c r="S1945" s="25" t="s">
        <v>2166</v>
      </c>
      <c r="T1945" s="155">
        <v>2646</v>
      </c>
      <c r="U1945" s="155">
        <v>0</v>
      </c>
    </row>
    <row r="1946" spans="2:21" x14ac:dyDescent="0.3">
      <c r="B1946" s="47"/>
      <c r="C1946" s="24"/>
      <c r="D1946" s="312"/>
      <c r="E1946" s="312"/>
      <c r="G1946" s="47"/>
      <c r="H1946" s="24"/>
      <c r="I1946" s="312"/>
      <c r="J1946" s="312"/>
      <c r="L1946" s="47"/>
      <c r="M1946" s="24"/>
      <c r="N1946" s="312"/>
      <c r="O1946" s="312"/>
      <c r="Q1946" s="47"/>
      <c r="R1946" s="136" t="s">
        <v>2168</v>
      </c>
      <c r="S1946" s="25" t="s">
        <v>2169</v>
      </c>
      <c r="T1946" s="155">
        <v>4878</v>
      </c>
      <c r="U1946" s="155">
        <v>0</v>
      </c>
    </row>
    <row r="1947" spans="2:21" x14ac:dyDescent="0.3">
      <c r="B1947" s="47"/>
      <c r="C1947" s="24"/>
      <c r="D1947" s="312"/>
      <c r="E1947" s="312"/>
      <c r="G1947" s="47"/>
      <c r="H1947" s="24"/>
      <c r="I1947" s="312"/>
      <c r="J1947" s="312"/>
      <c r="L1947" s="47"/>
      <c r="M1947" s="24"/>
      <c r="N1947" s="312"/>
      <c r="O1947" s="312"/>
      <c r="Q1947" s="47"/>
      <c r="R1947" s="136" t="s">
        <v>2168</v>
      </c>
      <c r="S1947" s="25" t="s">
        <v>2169</v>
      </c>
      <c r="T1947" s="155">
        <v>1557</v>
      </c>
      <c r="U1947" s="155">
        <v>0</v>
      </c>
    </row>
    <row r="1948" spans="2:21" x14ac:dyDescent="0.3">
      <c r="B1948" s="47"/>
      <c r="C1948" s="24"/>
      <c r="D1948" s="312"/>
      <c r="E1948" s="312"/>
      <c r="G1948" s="47"/>
      <c r="H1948" s="24"/>
      <c r="I1948" s="312"/>
      <c r="J1948" s="312"/>
      <c r="L1948" s="47"/>
      <c r="M1948" s="24"/>
      <c r="N1948" s="312"/>
      <c r="O1948" s="312"/>
      <c r="Q1948" s="47"/>
      <c r="R1948" s="136" t="s">
        <v>3313</v>
      </c>
      <c r="S1948" s="25" t="s">
        <v>2211</v>
      </c>
      <c r="T1948" s="155">
        <v>7317</v>
      </c>
      <c r="U1948" s="155">
        <v>0</v>
      </c>
    </row>
    <row r="1949" spans="2:21" x14ac:dyDescent="0.3">
      <c r="B1949" s="47"/>
      <c r="C1949" s="24"/>
      <c r="D1949" s="312"/>
      <c r="E1949" s="312"/>
      <c r="G1949" s="47"/>
      <c r="H1949" s="24"/>
      <c r="I1949" s="312"/>
      <c r="J1949" s="312"/>
      <c r="L1949" s="47"/>
      <c r="M1949" s="24"/>
      <c r="N1949" s="312"/>
      <c r="O1949" s="312"/>
      <c r="Q1949" s="47"/>
      <c r="R1949" s="136" t="s">
        <v>2212</v>
      </c>
      <c r="S1949" s="25" t="s">
        <v>2213</v>
      </c>
      <c r="T1949" s="155">
        <v>4671</v>
      </c>
      <c r="U1949" s="155">
        <v>0</v>
      </c>
    </row>
    <row r="1950" spans="2:21" x14ac:dyDescent="0.3">
      <c r="B1950" s="47"/>
      <c r="C1950" s="24"/>
      <c r="D1950" s="312"/>
      <c r="E1950" s="312"/>
      <c r="G1950" s="47"/>
      <c r="H1950" s="24"/>
      <c r="I1950" s="312"/>
      <c r="J1950" s="312"/>
      <c r="L1950" s="47"/>
      <c r="M1950" s="24"/>
      <c r="N1950" s="312"/>
      <c r="O1950" s="312"/>
      <c r="Q1950" s="47"/>
      <c r="R1950" s="136" t="s">
        <v>2214</v>
      </c>
      <c r="S1950" s="25" t="s">
        <v>2215</v>
      </c>
      <c r="T1950" s="155">
        <v>6705</v>
      </c>
      <c r="U1950" s="155">
        <v>0</v>
      </c>
    </row>
    <row r="1951" spans="2:21" x14ac:dyDescent="0.3">
      <c r="B1951" s="47"/>
      <c r="C1951" s="24"/>
      <c r="D1951" s="312"/>
      <c r="E1951" s="312"/>
      <c r="G1951" s="47"/>
      <c r="H1951" s="24"/>
      <c r="I1951" s="312"/>
      <c r="J1951" s="312"/>
      <c r="L1951" s="47"/>
      <c r="M1951" s="24"/>
      <c r="N1951" s="312"/>
      <c r="O1951" s="312"/>
      <c r="Q1951" s="47"/>
      <c r="R1951" s="136" t="s">
        <v>1895</v>
      </c>
      <c r="S1951" s="25" t="s">
        <v>2174</v>
      </c>
      <c r="T1951" s="155">
        <v>9756</v>
      </c>
      <c r="U1951" s="155">
        <v>0</v>
      </c>
    </row>
    <row r="1952" spans="2:21" x14ac:dyDescent="0.3">
      <c r="B1952" s="47"/>
      <c r="C1952" s="24"/>
      <c r="D1952" s="312"/>
      <c r="E1952" s="312"/>
      <c r="G1952" s="47"/>
      <c r="H1952" s="24"/>
      <c r="I1952" s="312"/>
      <c r="J1952" s="312"/>
      <c r="L1952" s="47"/>
      <c r="M1952" s="24"/>
      <c r="N1952" s="312"/>
      <c r="O1952" s="312"/>
      <c r="Q1952" s="47"/>
      <c r="R1952" s="136" t="s">
        <v>2177</v>
      </c>
      <c r="S1952" s="25" t="s">
        <v>2341</v>
      </c>
      <c r="T1952" s="155">
        <v>13419</v>
      </c>
      <c r="U1952" s="155">
        <v>0</v>
      </c>
    </row>
    <row r="1953" spans="2:21" x14ac:dyDescent="0.3">
      <c r="B1953" s="47"/>
      <c r="C1953" s="24"/>
      <c r="D1953" s="312"/>
      <c r="E1953" s="312"/>
      <c r="G1953" s="47"/>
      <c r="H1953" s="24"/>
      <c r="I1953" s="312"/>
      <c r="J1953" s="312"/>
      <c r="L1953" s="47"/>
      <c r="M1953" s="24"/>
      <c r="N1953" s="312"/>
      <c r="O1953" s="312"/>
      <c r="Q1953" s="47"/>
      <c r="R1953" s="136" t="s">
        <v>2183</v>
      </c>
      <c r="S1953" s="25" t="s">
        <v>2182</v>
      </c>
      <c r="T1953" s="155">
        <v>8334</v>
      </c>
      <c r="U1953" s="155">
        <v>0</v>
      </c>
    </row>
    <row r="1954" spans="2:21" x14ac:dyDescent="0.3">
      <c r="B1954" s="47"/>
      <c r="C1954" s="24"/>
      <c r="D1954" s="312"/>
      <c r="E1954" s="312"/>
      <c r="G1954" s="47"/>
      <c r="H1954" s="24"/>
      <c r="I1954" s="312"/>
      <c r="J1954" s="312"/>
      <c r="L1954" s="47"/>
      <c r="M1954" s="24"/>
      <c r="N1954" s="312"/>
      <c r="O1954" s="312"/>
      <c r="Q1954" s="47"/>
      <c r="R1954" s="136" t="s">
        <v>2185</v>
      </c>
      <c r="S1954" s="25" t="s">
        <v>2184</v>
      </c>
      <c r="T1954" s="155">
        <v>10773</v>
      </c>
      <c r="U1954" s="155">
        <v>0</v>
      </c>
    </row>
    <row r="1955" spans="2:21" x14ac:dyDescent="0.3">
      <c r="B1955" s="47"/>
      <c r="C1955" s="24"/>
      <c r="D1955" s="312"/>
      <c r="E1955" s="312"/>
      <c r="G1955" s="47"/>
      <c r="H1955" s="24"/>
      <c r="I1955" s="312"/>
      <c r="J1955" s="312"/>
      <c r="L1955" s="47"/>
      <c r="M1955" s="24"/>
      <c r="N1955" s="312"/>
      <c r="O1955" s="312"/>
      <c r="Q1955" s="47"/>
      <c r="R1955" s="136" t="s">
        <v>2187</v>
      </c>
      <c r="S1955" s="25" t="s">
        <v>2186</v>
      </c>
      <c r="T1955" s="155">
        <v>10368</v>
      </c>
      <c r="U1955" s="155">
        <v>0</v>
      </c>
    </row>
    <row r="1956" spans="2:21" x14ac:dyDescent="0.3">
      <c r="B1956" s="47"/>
      <c r="C1956" s="24"/>
      <c r="D1956" s="312"/>
      <c r="E1956" s="312"/>
      <c r="G1956" s="47"/>
      <c r="H1956" s="24"/>
      <c r="I1956" s="312"/>
      <c r="J1956" s="312"/>
      <c r="L1956" s="47"/>
      <c r="M1956" s="24"/>
      <c r="N1956" s="312"/>
      <c r="O1956" s="312"/>
      <c r="Q1956" s="47"/>
      <c r="R1956" s="136" t="s">
        <v>2342</v>
      </c>
      <c r="S1956" s="25" t="s">
        <v>2188</v>
      </c>
      <c r="T1956" s="155">
        <v>3114</v>
      </c>
      <c r="U1956" s="155">
        <v>0</v>
      </c>
    </row>
    <row r="1957" spans="2:21" x14ac:dyDescent="0.3">
      <c r="B1957" s="47"/>
      <c r="C1957" s="24"/>
      <c r="D1957" s="312"/>
      <c r="E1957" s="312"/>
      <c r="G1957" s="47"/>
      <c r="H1957" s="24"/>
      <c r="I1957" s="312"/>
      <c r="J1957" s="312"/>
      <c r="L1957" s="47"/>
      <c r="M1957" s="24"/>
      <c r="N1957" s="312"/>
      <c r="O1957" s="312"/>
      <c r="Q1957" s="47"/>
      <c r="R1957" s="136" t="s">
        <v>2342</v>
      </c>
      <c r="S1957" s="25" t="s">
        <v>2188</v>
      </c>
      <c r="T1957" s="155">
        <v>2439</v>
      </c>
      <c r="U1957" s="155">
        <v>0</v>
      </c>
    </row>
    <row r="1958" spans="2:21" x14ac:dyDescent="0.3">
      <c r="B1958" s="47"/>
      <c r="C1958" s="24"/>
      <c r="D1958" s="312"/>
      <c r="E1958" s="312"/>
      <c r="G1958" s="47"/>
      <c r="H1958" s="24"/>
      <c r="I1958" s="312"/>
      <c r="J1958" s="312"/>
      <c r="L1958" s="47"/>
      <c r="M1958" s="24"/>
      <c r="N1958" s="312"/>
      <c r="O1958" s="312"/>
      <c r="Q1958" s="47"/>
      <c r="R1958" s="136" t="s">
        <v>2190</v>
      </c>
      <c r="S1958" s="25" t="s">
        <v>2189</v>
      </c>
      <c r="T1958" s="155">
        <v>7317</v>
      </c>
      <c r="U1958" s="155">
        <v>0</v>
      </c>
    </row>
    <row r="1959" spans="2:21" x14ac:dyDescent="0.3">
      <c r="B1959" s="47"/>
      <c r="C1959" s="24"/>
      <c r="D1959" s="312"/>
      <c r="E1959" s="312"/>
      <c r="G1959" s="47"/>
      <c r="H1959" s="24"/>
      <c r="I1959" s="312"/>
      <c r="J1959" s="312"/>
      <c r="L1959" s="47"/>
      <c r="M1959" s="24"/>
      <c r="N1959" s="312"/>
      <c r="O1959" s="312"/>
      <c r="Q1959" s="47"/>
      <c r="R1959" s="136" t="s">
        <v>2192</v>
      </c>
      <c r="S1959" s="25" t="s">
        <v>2191</v>
      </c>
      <c r="T1959" s="155">
        <v>6300</v>
      </c>
      <c r="U1959" s="155">
        <v>0</v>
      </c>
    </row>
    <row r="1960" spans="2:21" x14ac:dyDescent="0.3">
      <c r="B1960" s="47"/>
      <c r="C1960" s="24"/>
      <c r="D1960" s="312"/>
      <c r="E1960" s="312"/>
      <c r="G1960" s="47"/>
      <c r="H1960" s="24"/>
      <c r="I1960" s="312"/>
      <c r="J1960" s="312"/>
      <c r="L1960" s="47"/>
      <c r="M1960" s="24"/>
      <c r="N1960" s="312"/>
      <c r="O1960" s="312"/>
      <c r="Q1960" s="47"/>
      <c r="R1960" s="136" t="s">
        <v>1896</v>
      </c>
      <c r="S1960" s="25" t="s">
        <v>2193</v>
      </c>
      <c r="T1960" s="155">
        <v>5688</v>
      </c>
      <c r="U1960" s="155">
        <v>0</v>
      </c>
    </row>
    <row r="1961" spans="2:21" x14ac:dyDescent="0.3">
      <c r="B1961" s="47"/>
      <c r="C1961" s="24"/>
      <c r="D1961" s="312"/>
      <c r="E1961" s="312"/>
      <c r="G1961" s="47"/>
      <c r="H1961" s="24"/>
      <c r="I1961" s="312"/>
      <c r="J1961" s="312"/>
      <c r="L1961" s="47"/>
      <c r="M1961" s="24"/>
      <c r="N1961" s="312"/>
      <c r="O1961" s="312"/>
      <c r="Q1961" s="47"/>
      <c r="R1961" s="136" t="s">
        <v>3291</v>
      </c>
      <c r="S1961" s="25" t="s">
        <v>2171</v>
      </c>
      <c r="T1961" s="155">
        <v>8334</v>
      </c>
      <c r="U1961" s="155">
        <v>0</v>
      </c>
    </row>
    <row r="1962" spans="2:21" x14ac:dyDescent="0.3">
      <c r="B1962" s="47"/>
      <c r="C1962" s="24"/>
      <c r="D1962" s="312"/>
      <c r="E1962" s="312"/>
      <c r="G1962" s="47"/>
      <c r="H1962" s="24"/>
      <c r="I1962" s="312"/>
      <c r="J1962" s="312"/>
      <c r="L1962" s="47"/>
      <c r="M1962" s="24"/>
      <c r="N1962" s="312"/>
      <c r="O1962" s="312"/>
      <c r="Q1962" s="47"/>
      <c r="R1962" s="136" t="s">
        <v>1898</v>
      </c>
      <c r="S1962" s="25" t="s">
        <v>2218</v>
      </c>
      <c r="T1962" s="155">
        <v>4266</v>
      </c>
      <c r="U1962" s="155">
        <v>0</v>
      </c>
    </row>
    <row r="1963" spans="2:21" x14ac:dyDescent="0.3">
      <c r="B1963" s="47"/>
      <c r="C1963" s="24"/>
      <c r="D1963" s="312"/>
      <c r="E1963" s="312"/>
      <c r="G1963" s="47"/>
      <c r="H1963" s="24"/>
      <c r="I1963" s="312"/>
      <c r="J1963" s="312"/>
      <c r="L1963" s="47"/>
      <c r="M1963" s="24"/>
      <c r="N1963" s="312"/>
      <c r="O1963" s="312"/>
      <c r="Q1963" s="47"/>
      <c r="R1963" s="136" t="s">
        <v>2219</v>
      </c>
      <c r="S1963" s="25" t="s">
        <v>2220</v>
      </c>
      <c r="T1963" s="155">
        <v>1629</v>
      </c>
      <c r="U1963" s="155">
        <v>0</v>
      </c>
    </row>
    <row r="1964" spans="2:21" x14ac:dyDescent="0.3">
      <c r="B1964" s="47"/>
      <c r="C1964" s="24"/>
      <c r="D1964" s="312"/>
      <c r="E1964" s="312"/>
      <c r="G1964" s="47"/>
      <c r="H1964" s="24"/>
      <c r="I1964" s="312"/>
      <c r="J1964" s="312"/>
      <c r="L1964" s="47"/>
      <c r="M1964" s="24"/>
      <c r="N1964" s="312"/>
      <c r="O1964" s="312"/>
      <c r="Q1964" s="47"/>
      <c r="R1964" s="136" t="s">
        <v>2221</v>
      </c>
      <c r="S1964" s="25" t="s">
        <v>2222</v>
      </c>
      <c r="T1964" s="155">
        <v>3663</v>
      </c>
      <c r="U1964" s="155">
        <v>0</v>
      </c>
    </row>
    <row r="1965" spans="2:21" x14ac:dyDescent="0.3">
      <c r="B1965" s="47"/>
      <c r="C1965" s="24"/>
      <c r="D1965" s="312"/>
      <c r="E1965" s="312"/>
      <c r="G1965" s="47"/>
      <c r="H1965" s="24"/>
      <c r="I1965" s="312"/>
      <c r="J1965" s="312"/>
      <c r="L1965" s="47"/>
      <c r="M1965" s="24"/>
      <c r="N1965" s="312"/>
      <c r="O1965" s="312"/>
      <c r="Q1965" s="47"/>
      <c r="R1965" s="136" t="s">
        <v>2223</v>
      </c>
      <c r="S1965" s="25" t="s">
        <v>2224</v>
      </c>
      <c r="T1965" s="155">
        <v>3663</v>
      </c>
      <c r="U1965" s="155">
        <v>0</v>
      </c>
    </row>
    <row r="1966" spans="2:21" x14ac:dyDescent="0.3">
      <c r="B1966" s="47"/>
      <c r="C1966" s="24"/>
      <c r="D1966" s="312"/>
      <c r="E1966" s="312"/>
      <c r="G1966" s="47"/>
      <c r="H1966" s="24"/>
      <c r="I1966" s="312"/>
      <c r="J1966" s="312"/>
      <c r="L1966" s="47"/>
      <c r="M1966" s="24"/>
      <c r="N1966" s="312"/>
      <c r="O1966" s="312"/>
      <c r="Q1966" s="47"/>
      <c r="R1966" s="136" t="s">
        <v>2226</v>
      </c>
      <c r="S1966" s="25" t="s">
        <v>2227</v>
      </c>
      <c r="T1966" s="155">
        <v>3663</v>
      </c>
      <c r="U1966" s="155">
        <v>0</v>
      </c>
    </row>
    <row r="1967" spans="2:21" x14ac:dyDescent="0.3">
      <c r="B1967" s="47"/>
      <c r="C1967" s="24"/>
      <c r="D1967" s="312"/>
      <c r="E1967" s="312"/>
      <c r="G1967" s="47"/>
      <c r="H1967" s="24"/>
      <c r="I1967" s="312"/>
      <c r="J1967" s="312"/>
      <c r="L1967" s="47"/>
      <c r="M1967" s="24"/>
      <c r="N1967" s="312"/>
      <c r="O1967" s="312"/>
      <c r="Q1967" s="47"/>
      <c r="R1967" s="136" t="s">
        <v>2228</v>
      </c>
      <c r="S1967" s="25" t="s">
        <v>1990</v>
      </c>
      <c r="T1967" s="155">
        <v>1530</v>
      </c>
      <c r="U1967" s="155">
        <v>0</v>
      </c>
    </row>
    <row r="1968" spans="2:21" x14ac:dyDescent="0.3">
      <c r="B1968" s="47"/>
      <c r="C1968" s="24"/>
      <c r="D1968" s="312"/>
      <c r="E1968" s="312"/>
      <c r="G1968" s="47"/>
      <c r="H1968" s="24"/>
      <c r="I1968" s="312"/>
      <c r="J1968" s="312"/>
      <c r="L1968" s="47"/>
      <c r="M1968" s="24"/>
      <c r="N1968" s="312"/>
      <c r="O1968" s="312"/>
      <c r="Q1968" s="47"/>
      <c r="R1968" s="136" t="s">
        <v>2229</v>
      </c>
      <c r="S1968" s="25" t="s">
        <v>1987</v>
      </c>
      <c r="T1968" s="155">
        <v>1530</v>
      </c>
      <c r="U1968" s="155">
        <v>0</v>
      </c>
    </row>
    <row r="1969" spans="2:21" x14ac:dyDescent="0.3">
      <c r="B1969" s="47"/>
      <c r="C1969" s="24"/>
      <c r="D1969" s="312"/>
      <c r="E1969" s="312"/>
      <c r="G1969" s="47"/>
      <c r="H1969" s="24"/>
      <c r="I1969" s="312"/>
      <c r="J1969" s="312"/>
      <c r="L1969" s="47"/>
      <c r="M1969" s="24"/>
      <c r="N1969" s="312"/>
      <c r="O1969" s="312"/>
      <c r="Q1969" s="47"/>
      <c r="R1969" s="136" t="s">
        <v>2230</v>
      </c>
      <c r="S1969" s="25" t="s">
        <v>2231</v>
      </c>
      <c r="T1969" s="155">
        <v>1629</v>
      </c>
      <c r="U1969" s="155">
        <v>0</v>
      </c>
    </row>
    <row r="1970" spans="2:21" x14ac:dyDescent="0.3">
      <c r="B1970" s="47"/>
      <c r="C1970" s="24"/>
      <c r="D1970" s="312"/>
      <c r="E1970" s="312"/>
      <c r="G1970" s="47"/>
      <c r="H1970" s="24"/>
      <c r="I1970" s="312"/>
      <c r="J1970" s="312"/>
      <c r="L1970" s="47"/>
      <c r="M1970" s="24"/>
      <c r="N1970" s="312"/>
      <c r="O1970" s="312"/>
      <c r="Q1970" s="47"/>
      <c r="R1970" s="136" t="s">
        <v>2232</v>
      </c>
      <c r="S1970" s="25" t="s">
        <v>1988</v>
      </c>
      <c r="T1970" s="155">
        <v>1530</v>
      </c>
      <c r="U1970" s="155">
        <v>0</v>
      </c>
    </row>
    <row r="1971" spans="2:21" x14ac:dyDescent="0.3">
      <c r="B1971" s="47"/>
      <c r="C1971" s="24"/>
      <c r="D1971" s="312"/>
      <c r="E1971" s="312"/>
      <c r="G1971" s="47"/>
      <c r="H1971" s="24"/>
      <c r="I1971" s="312"/>
      <c r="J1971" s="312"/>
      <c r="L1971" s="47"/>
      <c r="M1971" s="24"/>
      <c r="N1971" s="312"/>
      <c r="O1971" s="312"/>
      <c r="Q1971" s="47"/>
      <c r="R1971" s="136" t="s">
        <v>2233</v>
      </c>
      <c r="S1971" s="25" t="s">
        <v>1989</v>
      </c>
      <c r="T1971" s="155">
        <v>756</v>
      </c>
      <c r="U1971" s="155">
        <v>0</v>
      </c>
    </row>
    <row r="1972" spans="2:21" x14ac:dyDescent="0.3">
      <c r="B1972" s="47"/>
      <c r="C1972" s="24"/>
      <c r="D1972" s="312"/>
      <c r="E1972" s="312"/>
      <c r="G1972" s="47"/>
      <c r="H1972" s="24"/>
      <c r="I1972" s="312"/>
      <c r="J1972" s="312"/>
      <c r="L1972" s="47"/>
      <c r="M1972" s="24"/>
      <c r="N1972" s="312"/>
      <c r="O1972" s="312"/>
      <c r="Q1972" s="47"/>
      <c r="R1972" s="136" t="s">
        <v>2234</v>
      </c>
      <c r="S1972" s="25" t="s">
        <v>2235</v>
      </c>
      <c r="T1972" s="155">
        <v>756</v>
      </c>
      <c r="U1972" s="155">
        <v>0</v>
      </c>
    </row>
    <row r="1973" spans="2:21" x14ac:dyDescent="0.3">
      <c r="B1973" s="47"/>
      <c r="C1973" s="24"/>
      <c r="D1973" s="312"/>
      <c r="E1973" s="312"/>
      <c r="G1973" s="47"/>
      <c r="H1973" s="24"/>
      <c r="I1973" s="312"/>
      <c r="J1973" s="312"/>
      <c r="L1973" s="47"/>
      <c r="M1973" s="24"/>
      <c r="N1973" s="312"/>
      <c r="O1973" s="312"/>
      <c r="Q1973" s="241">
        <v>80010011</v>
      </c>
      <c r="R1973" s="242"/>
      <c r="S1973" s="246" t="s">
        <v>2064</v>
      </c>
      <c r="T1973" s="239">
        <f>SUM(T1974:T2014)-SUM(U1974:U2014)</f>
        <v>503145</v>
      </c>
      <c r="U1973" s="240">
        <v>0</v>
      </c>
    </row>
    <row r="1974" spans="2:21" x14ac:dyDescent="0.3">
      <c r="B1974" s="47"/>
      <c r="C1974" s="24"/>
      <c r="D1974" s="312"/>
      <c r="E1974" s="312"/>
      <c r="G1974" s="47"/>
      <c r="H1974" s="24"/>
      <c r="I1974" s="312"/>
      <c r="J1974" s="312"/>
      <c r="L1974" s="47"/>
      <c r="M1974" s="24"/>
      <c r="N1974" s="312"/>
      <c r="O1974" s="312"/>
      <c r="Q1974" s="47"/>
      <c r="R1974" s="136" t="s">
        <v>1931</v>
      </c>
      <c r="S1974" s="25" t="s">
        <v>1932</v>
      </c>
      <c r="T1974" s="155">
        <v>7633</v>
      </c>
      <c r="U1974" s="155">
        <v>0</v>
      </c>
    </row>
    <row r="1975" spans="2:21" x14ac:dyDescent="0.3">
      <c r="B1975" s="47"/>
      <c r="C1975" s="24"/>
      <c r="D1975" s="312"/>
      <c r="E1975" s="312"/>
      <c r="G1975" s="47"/>
      <c r="H1975" s="24"/>
      <c r="I1975" s="312"/>
      <c r="J1975" s="312"/>
      <c r="L1975" s="47"/>
      <c r="M1975" s="24"/>
      <c r="N1975" s="312"/>
      <c r="O1975" s="312"/>
      <c r="Q1975" s="47"/>
      <c r="R1975" s="136" t="s">
        <v>1934</v>
      </c>
      <c r="S1975" s="25" t="s">
        <v>2196</v>
      </c>
      <c r="T1975" s="155">
        <v>777</v>
      </c>
      <c r="U1975" s="155">
        <v>0</v>
      </c>
    </row>
    <row r="1976" spans="2:21" x14ac:dyDescent="0.3">
      <c r="B1976" s="47"/>
      <c r="C1976" s="24"/>
      <c r="D1976" s="312"/>
      <c r="E1976" s="312"/>
      <c r="G1976" s="47"/>
      <c r="H1976" s="24"/>
      <c r="I1976" s="312"/>
      <c r="J1976" s="312"/>
      <c r="L1976" s="47"/>
      <c r="M1976" s="24"/>
      <c r="N1976" s="312"/>
      <c r="O1976" s="312"/>
      <c r="Q1976" s="47"/>
      <c r="R1976" s="136" t="s">
        <v>2154</v>
      </c>
      <c r="S1976" s="25" t="s">
        <v>2155</v>
      </c>
      <c r="T1976" s="155">
        <v>27093</v>
      </c>
      <c r="U1976" s="155">
        <v>0</v>
      </c>
    </row>
    <row r="1977" spans="2:21" x14ac:dyDescent="0.3">
      <c r="B1977" s="47"/>
      <c r="C1977" s="24"/>
      <c r="D1977" s="312"/>
      <c r="E1977" s="312"/>
      <c r="G1977" s="47"/>
      <c r="H1977" s="24"/>
      <c r="I1977" s="312"/>
      <c r="J1977" s="312"/>
      <c r="L1977" s="47"/>
      <c r="M1977" s="24"/>
      <c r="N1977" s="312"/>
      <c r="O1977" s="312"/>
      <c r="Q1977" s="47"/>
      <c r="R1977" s="136" t="s">
        <v>2156</v>
      </c>
      <c r="S1977" s="25" t="s">
        <v>2157</v>
      </c>
      <c r="T1977" s="155">
        <v>75851</v>
      </c>
      <c r="U1977" s="155">
        <v>0</v>
      </c>
    </row>
    <row r="1978" spans="2:21" x14ac:dyDescent="0.3">
      <c r="B1978" s="47"/>
      <c r="C1978" s="24"/>
      <c r="D1978" s="312"/>
      <c r="E1978" s="312"/>
      <c r="G1978" s="47"/>
      <c r="H1978" s="24"/>
      <c r="I1978" s="312"/>
      <c r="J1978" s="312"/>
      <c r="L1978" s="47"/>
      <c r="M1978" s="24"/>
      <c r="N1978" s="312"/>
      <c r="O1978" s="312"/>
      <c r="Q1978" s="47"/>
      <c r="R1978" s="136" t="s">
        <v>2199</v>
      </c>
      <c r="S1978" s="25" t="s">
        <v>2200</v>
      </c>
      <c r="T1978" s="155">
        <v>18943</v>
      </c>
      <c r="U1978" s="155">
        <v>0</v>
      </c>
    </row>
    <row r="1979" spans="2:21" x14ac:dyDescent="0.3">
      <c r="B1979" s="47"/>
      <c r="C1979" s="24"/>
      <c r="D1979" s="312"/>
      <c r="E1979" s="312"/>
      <c r="G1979" s="47"/>
      <c r="H1979" s="24"/>
      <c r="I1979" s="312"/>
      <c r="J1979" s="312"/>
      <c r="L1979" s="47"/>
      <c r="M1979" s="24"/>
      <c r="N1979" s="312"/>
      <c r="O1979" s="312"/>
      <c r="Q1979" s="47"/>
      <c r="R1979" s="136" t="s">
        <v>2201</v>
      </c>
      <c r="S1979" s="25" t="s">
        <v>2202</v>
      </c>
      <c r="T1979" s="155">
        <v>14229</v>
      </c>
      <c r="U1979" s="155">
        <v>0</v>
      </c>
    </row>
    <row r="1980" spans="2:21" x14ac:dyDescent="0.3">
      <c r="B1980" s="47"/>
      <c r="C1980" s="24"/>
      <c r="D1980" s="312"/>
      <c r="E1980" s="312"/>
      <c r="G1980" s="47"/>
      <c r="H1980" s="24"/>
      <c r="I1980" s="312"/>
      <c r="J1980" s="312"/>
      <c r="L1980" s="47"/>
      <c r="M1980" s="24"/>
      <c r="N1980" s="312"/>
      <c r="O1980" s="312"/>
      <c r="Q1980" s="47"/>
      <c r="R1980" s="136" t="s">
        <v>2203</v>
      </c>
      <c r="S1980" s="25" t="s">
        <v>2204</v>
      </c>
      <c r="T1980" s="155">
        <v>8390</v>
      </c>
      <c r="U1980" s="155">
        <v>0</v>
      </c>
    </row>
    <row r="1981" spans="2:21" x14ac:dyDescent="0.3">
      <c r="B1981" s="47"/>
      <c r="C1981" s="24"/>
      <c r="D1981" s="312"/>
      <c r="E1981" s="312"/>
      <c r="G1981" s="47"/>
      <c r="H1981" s="24"/>
      <c r="I1981" s="312"/>
      <c r="J1981" s="312"/>
      <c r="L1981" s="47"/>
      <c r="M1981" s="24"/>
      <c r="N1981" s="312"/>
      <c r="O1981" s="312"/>
      <c r="Q1981" s="47"/>
      <c r="R1981" s="136" t="s">
        <v>2205</v>
      </c>
      <c r="S1981" s="25" t="s">
        <v>2206</v>
      </c>
      <c r="T1981" s="155">
        <v>12800</v>
      </c>
      <c r="U1981" s="155">
        <v>0</v>
      </c>
    </row>
    <row r="1982" spans="2:21" x14ac:dyDescent="0.3">
      <c r="B1982" s="47"/>
      <c r="C1982" s="24"/>
      <c r="D1982" s="312"/>
      <c r="E1982" s="312"/>
      <c r="G1982" s="47"/>
      <c r="H1982" s="24"/>
      <c r="I1982" s="312"/>
      <c r="J1982" s="312"/>
      <c r="L1982" s="47"/>
      <c r="M1982" s="24"/>
      <c r="N1982" s="312"/>
      <c r="O1982" s="312"/>
      <c r="Q1982" s="47"/>
      <c r="R1982" s="136" t="s">
        <v>2207</v>
      </c>
      <c r="S1982" s="25" t="s">
        <v>2208</v>
      </c>
      <c r="T1982" s="155">
        <v>13511</v>
      </c>
      <c r="U1982" s="155">
        <v>0</v>
      </c>
    </row>
    <row r="1983" spans="2:21" x14ac:dyDescent="0.3">
      <c r="B1983" s="47"/>
      <c r="C1983" s="24"/>
      <c r="D1983" s="312"/>
      <c r="E1983" s="312"/>
      <c r="G1983" s="47"/>
      <c r="H1983" s="24"/>
      <c r="I1983" s="312"/>
      <c r="J1983" s="312"/>
      <c r="L1983" s="47"/>
      <c r="M1983" s="24"/>
      <c r="N1983" s="312"/>
      <c r="O1983" s="312"/>
      <c r="Q1983" s="47"/>
      <c r="R1983" s="136" t="s">
        <v>2209</v>
      </c>
      <c r="S1983" s="25" t="s">
        <v>2210</v>
      </c>
      <c r="T1983" s="155">
        <v>18223</v>
      </c>
      <c r="U1983" s="155">
        <v>0</v>
      </c>
    </row>
    <row r="1984" spans="2:21" x14ac:dyDescent="0.3">
      <c r="B1984" s="47"/>
      <c r="C1984" s="24"/>
      <c r="D1984" s="312"/>
      <c r="E1984" s="312"/>
      <c r="G1984" s="47"/>
      <c r="H1984" s="24"/>
      <c r="I1984" s="312"/>
      <c r="J1984" s="312"/>
      <c r="L1984" s="47"/>
      <c r="M1984" s="24"/>
      <c r="N1984" s="312"/>
      <c r="O1984" s="312"/>
      <c r="Q1984" s="47"/>
      <c r="R1984" s="136" t="s">
        <v>2340</v>
      </c>
      <c r="S1984" s="25" t="s">
        <v>2159</v>
      </c>
      <c r="T1984" s="155">
        <v>21305</v>
      </c>
      <c r="U1984" s="155">
        <v>0</v>
      </c>
    </row>
    <row r="1985" spans="2:21" x14ac:dyDescent="0.3">
      <c r="B1985" s="47"/>
      <c r="C1985" s="24"/>
      <c r="D1985" s="312"/>
      <c r="E1985" s="312"/>
      <c r="G1985" s="47"/>
      <c r="H1985" s="24"/>
      <c r="I1985" s="312"/>
      <c r="J1985" s="312"/>
      <c r="L1985" s="47"/>
      <c r="M1985" s="24"/>
      <c r="N1985" s="312"/>
      <c r="O1985" s="312"/>
      <c r="Q1985" s="47"/>
      <c r="R1985" s="136" t="s">
        <v>2160</v>
      </c>
      <c r="S1985" s="25" t="s">
        <v>2161</v>
      </c>
      <c r="T1985" s="155">
        <v>11162</v>
      </c>
      <c r="U1985" s="155">
        <v>0</v>
      </c>
    </row>
    <row r="1986" spans="2:21" x14ac:dyDescent="0.3">
      <c r="B1986" s="47"/>
      <c r="C1986" s="24"/>
      <c r="D1986" s="312"/>
      <c r="E1986" s="312"/>
      <c r="G1986" s="47"/>
      <c r="H1986" s="24"/>
      <c r="I1986" s="312"/>
      <c r="J1986" s="312"/>
      <c r="L1986" s="47"/>
      <c r="M1986" s="24"/>
      <c r="N1986" s="312"/>
      <c r="O1986" s="312"/>
      <c r="Q1986" s="47"/>
      <c r="R1986" s="136" t="s">
        <v>2162</v>
      </c>
      <c r="S1986" s="25" t="s">
        <v>2163</v>
      </c>
      <c r="T1986" s="155">
        <v>12917</v>
      </c>
      <c r="U1986" s="155">
        <v>0</v>
      </c>
    </row>
    <row r="1987" spans="2:21" x14ac:dyDescent="0.3">
      <c r="B1987" s="47"/>
      <c r="C1987" s="24"/>
      <c r="D1987" s="312"/>
      <c r="E1987" s="312"/>
      <c r="G1987" s="47"/>
      <c r="H1987" s="24"/>
      <c r="I1987" s="312"/>
      <c r="J1987" s="312"/>
      <c r="L1987" s="47"/>
      <c r="M1987" s="24"/>
      <c r="N1987" s="312"/>
      <c r="O1987" s="312"/>
      <c r="Q1987" s="47"/>
      <c r="R1987" s="136" t="s">
        <v>2165</v>
      </c>
      <c r="S1987" s="25" t="s">
        <v>2166</v>
      </c>
      <c r="T1987" s="155">
        <v>6813</v>
      </c>
      <c r="U1987" s="155">
        <v>0</v>
      </c>
    </row>
    <row r="1988" spans="2:21" x14ac:dyDescent="0.3">
      <c r="B1988" s="47"/>
      <c r="C1988" s="24"/>
      <c r="D1988" s="312"/>
      <c r="E1988" s="312"/>
      <c r="G1988" s="47"/>
      <c r="H1988" s="24"/>
      <c r="I1988" s="312"/>
      <c r="J1988" s="312"/>
      <c r="L1988" s="47"/>
      <c r="M1988" s="24"/>
      <c r="N1988" s="312"/>
      <c r="O1988" s="312"/>
      <c r="Q1988" s="47"/>
      <c r="R1988" s="136" t="s">
        <v>2168</v>
      </c>
      <c r="S1988" s="25" t="s">
        <v>2169</v>
      </c>
      <c r="T1988" s="155">
        <v>8329</v>
      </c>
      <c r="U1988" s="155">
        <v>0</v>
      </c>
    </row>
    <row r="1989" spans="2:21" x14ac:dyDescent="0.3">
      <c r="B1989" s="47"/>
      <c r="C1989" s="24"/>
      <c r="D1989" s="312"/>
      <c r="E1989" s="312"/>
      <c r="G1989" s="47"/>
      <c r="H1989" s="24"/>
      <c r="I1989" s="312"/>
      <c r="J1989" s="312"/>
      <c r="L1989" s="47"/>
      <c r="M1989" s="24"/>
      <c r="N1989" s="312"/>
      <c r="O1989" s="312"/>
      <c r="Q1989" s="47"/>
      <c r="R1989" s="136" t="s">
        <v>2168</v>
      </c>
      <c r="S1989" s="25" t="s">
        <v>2169</v>
      </c>
      <c r="T1989" s="155">
        <v>3093</v>
      </c>
      <c r="U1989" s="155">
        <v>0</v>
      </c>
    </row>
    <row r="1990" spans="2:21" x14ac:dyDescent="0.3">
      <c r="B1990" s="47"/>
      <c r="C1990" s="24"/>
      <c r="D1990" s="312"/>
      <c r="E1990" s="312"/>
      <c r="G1990" s="47"/>
      <c r="H1990" s="24"/>
      <c r="I1990" s="312"/>
      <c r="J1990" s="312"/>
      <c r="L1990" s="47"/>
      <c r="M1990" s="24"/>
      <c r="N1990" s="312"/>
      <c r="O1990" s="312"/>
      <c r="Q1990" s="47"/>
      <c r="R1990" s="136" t="s">
        <v>3313</v>
      </c>
      <c r="S1990" s="25" t="s">
        <v>2211</v>
      </c>
      <c r="T1990" s="155">
        <v>13657</v>
      </c>
      <c r="U1990" s="155">
        <v>0</v>
      </c>
    </row>
    <row r="1991" spans="2:21" x14ac:dyDescent="0.3">
      <c r="B1991" s="47"/>
      <c r="C1991" s="24"/>
      <c r="D1991" s="312"/>
      <c r="E1991" s="312"/>
      <c r="G1991" s="47"/>
      <c r="H1991" s="24"/>
      <c r="I1991" s="312"/>
      <c r="J1991" s="312"/>
      <c r="L1991" s="47"/>
      <c r="M1991" s="24"/>
      <c r="N1991" s="312"/>
      <c r="O1991" s="312"/>
      <c r="Q1991" s="47"/>
      <c r="R1991" s="136" t="s">
        <v>2212</v>
      </c>
      <c r="S1991" s="25" t="s">
        <v>2213</v>
      </c>
      <c r="T1991" s="155">
        <v>8528</v>
      </c>
      <c r="U1991" s="155">
        <v>0</v>
      </c>
    </row>
    <row r="1992" spans="2:21" x14ac:dyDescent="0.3">
      <c r="B1992" s="47"/>
      <c r="C1992" s="24"/>
      <c r="D1992" s="312"/>
      <c r="E1992" s="312"/>
      <c r="G1992" s="47"/>
      <c r="H1992" s="24"/>
      <c r="I1992" s="312"/>
      <c r="J1992" s="312"/>
      <c r="L1992" s="47"/>
      <c r="M1992" s="24"/>
      <c r="N1992" s="312"/>
      <c r="O1992" s="312"/>
      <c r="Q1992" s="47"/>
      <c r="R1992" s="136" t="s">
        <v>2214</v>
      </c>
      <c r="S1992" s="25" t="s">
        <v>2215</v>
      </c>
      <c r="T1992" s="155">
        <v>11747</v>
      </c>
      <c r="U1992" s="155">
        <v>0</v>
      </c>
    </row>
    <row r="1993" spans="2:21" x14ac:dyDescent="0.3">
      <c r="B1993" s="47"/>
      <c r="C1993" s="24"/>
      <c r="D1993" s="312"/>
      <c r="E1993" s="312"/>
      <c r="G1993" s="47"/>
      <c r="H1993" s="24"/>
      <c r="I1993" s="312"/>
      <c r="J1993" s="312"/>
      <c r="L1993" s="47"/>
      <c r="M1993" s="24"/>
      <c r="N1993" s="312"/>
      <c r="O1993" s="312"/>
      <c r="Q1993" s="47"/>
      <c r="R1993" s="136" t="s">
        <v>1895</v>
      </c>
      <c r="S1993" s="25" t="s">
        <v>2174</v>
      </c>
      <c r="T1993" s="155">
        <v>18665</v>
      </c>
      <c r="U1993" s="155">
        <v>0</v>
      </c>
    </row>
    <row r="1994" spans="2:21" x14ac:dyDescent="0.3">
      <c r="B1994" s="47"/>
      <c r="C1994" s="24"/>
      <c r="D1994" s="312"/>
      <c r="E1994" s="312"/>
      <c r="G1994" s="47"/>
      <c r="H1994" s="24"/>
      <c r="I1994" s="312"/>
      <c r="J1994" s="312"/>
      <c r="L1994" s="47"/>
      <c r="M1994" s="24"/>
      <c r="N1994" s="312"/>
      <c r="O1994" s="312"/>
      <c r="Q1994" s="47"/>
      <c r="R1994" s="136" t="s">
        <v>2177</v>
      </c>
      <c r="S1994" s="25" t="s">
        <v>2341</v>
      </c>
      <c r="T1994" s="155">
        <v>23352</v>
      </c>
      <c r="U1994" s="155">
        <v>0</v>
      </c>
    </row>
    <row r="1995" spans="2:21" x14ac:dyDescent="0.3">
      <c r="B1995" s="47"/>
      <c r="C1995" s="24"/>
      <c r="D1995" s="312"/>
      <c r="E1995" s="312"/>
      <c r="G1995" s="47"/>
      <c r="H1995" s="24"/>
      <c r="I1995" s="312"/>
      <c r="J1995" s="312"/>
      <c r="L1995" s="47"/>
      <c r="M1995" s="24"/>
      <c r="N1995" s="312"/>
      <c r="O1995" s="312"/>
      <c r="Q1995" s="47"/>
      <c r="R1995" s="136" t="s">
        <v>2183</v>
      </c>
      <c r="S1995" s="25" t="s">
        <v>2182</v>
      </c>
      <c r="T1995" s="155">
        <v>13499</v>
      </c>
      <c r="U1995" s="155">
        <v>0</v>
      </c>
    </row>
    <row r="1996" spans="2:21" x14ac:dyDescent="0.3">
      <c r="B1996" s="47"/>
      <c r="C1996" s="24"/>
      <c r="D1996" s="312"/>
      <c r="E1996" s="312"/>
      <c r="G1996" s="47"/>
      <c r="H1996" s="24"/>
      <c r="I1996" s="312"/>
      <c r="J1996" s="312"/>
      <c r="L1996" s="47"/>
      <c r="M1996" s="24"/>
      <c r="N1996" s="312"/>
      <c r="O1996" s="312"/>
      <c r="Q1996" s="47"/>
      <c r="R1996" s="136" t="s">
        <v>2185</v>
      </c>
      <c r="S1996" s="25" t="s">
        <v>2184</v>
      </c>
      <c r="T1996" s="155">
        <v>18979</v>
      </c>
      <c r="U1996" s="155">
        <v>0</v>
      </c>
    </row>
    <row r="1997" spans="2:21" x14ac:dyDescent="0.3">
      <c r="B1997" s="47"/>
      <c r="C1997" s="24"/>
      <c r="D1997" s="312"/>
      <c r="E1997" s="312"/>
      <c r="G1997" s="47"/>
      <c r="H1997" s="24"/>
      <c r="I1997" s="312"/>
      <c r="J1997" s="312"/>
      <c r="L1997" s="47"/>
      <c r="M1997" s="24"/>
      <c r="N1997" s="312"/>
      <c r="O1997" s="312"/>
      <c r="Q1997" s="47"/>
      <c r="R1997" s="136" t="s">
        <v>2187</v>
      </c>
      <c r="S1997" s="25" t="s">
        <v>2186</v>
      </c>
      <c r="T1997" s="155">
        <v>16762</v>
      </c>
      <c r="U1997" s="155">
        <v>0</v>
      </c>
    </row>
    <row r="1998" spans="2:21" x14ac:dyDescent="0.3">
      <c r="B1998" s="47"/>
      <c r="C1998" s="24"/>
      <c r="D1998" s="312"/>
      <c r="E1998" s="312"/>
      <c r="G1998" s="47"/>
      <c r="H1998" s="24"/>
      <c r="I1998" s="312"/>
      <c r="J1998" s="312"/>
      <c r="L1998" s="47"/>
      <c r="M1998" s="24"/>
      <c r="N1998" s="312"/>
      <c r="O1998" s="312"/>
      <c r="Q1998" s="47"/>
      <c r="R1998" s="136" t="s">
        <v>2342</v>
      </c>
      <c r="S1998" s="25" t="s">
        <v>2188</v>
      </c>
      <c r="T1998" s="155">
        <v>5593</v>
      </c>
      <c r="U1998" s="155">
        <v>0</v>
      </c>
    </row>
    <row r="1999" spans="2:21" x14ac:dyDescent="0.3">
      <c r="B1999" s="47"/>
      <c r="C1999" s="24"/>
      <c r="D1999" s="312"/>
      <c r="E1999" s="312"/>
      <c r="G1999" s="47"/>
      <c r="H1999" s="24"/>
      <c r="I1999" s="312"/>
      <c r="J1999" s="312"/>
      <c r="L1999" s="47"/>
      <c r="M1999" s="24"/>
      <c r="N1999" s="312"/>
      <c r="O1999" s="312"/>
      <c r="Q1999" s="47"/>
      <c r="R1999" s="136" t="s">
        <v>2342</v>
      </c>
      <c r="S1999" s="25" t="s">
        <v>2188</v>
      </c>
      <c r="T1999" s="155">
        <v>2544</v>
      </c>
      <c r="U1999" s="155">
        <v>0</v>
      </c>
    </row>
    <row r="2000" spans="2:21" x14ac:dyDescent="0.3">
      <c r="B2000" s="47"/>
      <c r="C2000" s="24"/>
      <c r="D2000" s="312"/>
      <c r="E2000" s="312"/>
      <c r="G2000" s="47"/>
      <c r="H2000" s="24"/>
      <c r="I2000" s="312"/>
      <c r="J2000" s="312"/>
      <c r="L2000" s="47"/>
      <c r="M2000" s="24"/>
      <c r="N2000" s="312"/>
      <c r="O2000" s="312"/>
      <c r="Q2000" s="47"/>
      <c r="R2000" s="136" t="s">
        <v>2190</v>
      </c>
      <c r="S2000" s="25" t="s">
        <v>2189</v>
      </c>
      <c r="T2000" s="155">
        <v>11794</v>
      </c>
      <c r="U2000" s="155">
        <v>0</v>
      </c>
    </row>
    <row r="2001" spans="2:21" x14ac:dyDescent="0.3">
      <c r="B2001" s="47"/>
      <c r="C2001" s="24"/>
      <c r="D2001" s="312"/>
      <c r="E2001" s="312"/>
      <c r="G2001" s="47"/>
      <c r="H2001" s="24"/>
      <c r="I2001" s="312"/>
      <c r="J2001" s="312"/>
      <c r="L2001" s="47"/>
      <c r="M2001" s="24"/>
      <c r="N2001" s="312"/>
      <c r="O2001" s="312"/>
      <c r="Q2001" s="47"/>
      <c r="R2001" s="136" t="s">
        <v>2192</v>
      </c>
      <c r="S2001" s="25" t="s">
        <v>2191</v>
      </c>
      <c r="T2001" s="155">
        <v>11918</v>
      </c>
      <c r="U2001" s="155">
        <v>0</v>
      </c>
    </row>
    <row r="2002" spans="2:21" x14ac:dyDescent="0.3">
      <c r="B2002" s="47"/>
      <c r="C2002" s="24"/>
      <c r="D2002" s="312"/>
      <c r="E2002" s="312"/>
      <c r="G2002" s="47"/>
      <c r="H2002" s="24"/>
      <c r="I2002" s="312"/>
      <c r="J2002" s="312"/>
      <c r="L2002" s="47"/>
      <c r="M2002" s="24"/>
      <c r="N2002" s="312"/>
      <c r="O2002" s="312"/>
      <c r="Q2002" s="47"/>
      <c r="R2002" s="136" t="s">
        <v>1896</v>
      </c>
      <c r="S2002" s="25" t="s">
        <v>2193</v>
      </c>
      <c r="T2002" s="155">
        <v>10273</v>
      </c>
      <c r="U2002" s="155">
        <v>0</v>
      </c>
    </row>
    <row r="2003" spans="2:21" x14ac:dyDescent="0.3">
      <c r="B2003" s="47"/>
      <c r="C2003" s="24"/>
      <c r="D2003" s="312"/>
      <c r="E2003" s="312"/>
      <c r="G2003" s="47"/>
      <c r="H2003" s="24"/>
      <c r="I2003" s="312"/>
      <c r="J2003" s="312"/>
      <c r="L2003" s="47"/>
      <c r="M2003" s="24"/>
      <c r="N2003" s="312"/>
      <c r="O2003" s="312"/>
      <c r="Q2003" s="47"/>
      <c r="R2003" s="136" t="s">
        <v>3291</v>
      </c>
      <c r="S2003" s="25" t="s">
        <v>2171</v>
      </c>
      <c r="T2003" s="155">
        <v>14258</v>
      </c>
      <c r="U2003" s="155">
        <v>0</v>
      </c>
    </row>
    <row r="2004" spans="2:21" x14ac:dyDescent="0.3">
      <c r="B2004" s="47"/>
      <c r="C2004" s="24"/>
      <c r="D2004" s="312"/>
      <c r="E2004" s="312"/>
      <c r="G2004" s="47"/>
      <c r="H2004" s="24"/>
      <c r="I2004" s="312"/>
      <c r="J2004" s="312"/>
      <c r="L2004" s="47"/>
      <c r="M2004" s="24"/>
      <c r="N2004" s="312"/>
      <c r="O2004" s="312"/>
      <c r="Q2004" s="47"/>
      <c r="R2004" s="136" t="s">
        <v>1898</v>
      </c>
      <c r="S2004" s="25" t="s">
        <v>2218</v>
      </c>
      <c r="T2004" s="155">
        <v>8378</v>
      </c>
      <c r="U2004" s="155">
        <v>0</v>
      </c>
    </row>
    <row r="2005" spans="2:21" x14ac:dyDescent="0.3">
      <c r="B2005" s="47"/>
      <c r="C2005" s="24"/>
      <c r="D2005" s="312"/>
      <c r="E2005" s="312"/>
      <c r="G2005" s="47"/>
      <c r="H2005" s="24"/>
      <c r="I2005" s="312"/>
      <c r="J2005" s="312"/>
      <c r="L2005" s="47"/>
      <c r="M2005" s="24"/>
      <c r="N2005" s="312"/>
      <c r="O2005" s="312"/>
      <c r="Q2005" s="47"/>
      <c r="R2005" s="136" t="s">
        <v>2219</v>
      </c>
      <c r="S2005" s="25" t="s">
        <v>2220</v>
      </c>
      <c r="T2005" s="155">
        <v>4755</v>
      </c>
      <c r="U2005" s="155">
        <v>0</v>
      </c>
    </row>
    <row r="2006" spans="2:21" x14ac:dyDescent="0.3">
      <c r="B2006" s="47"/>
      <c r="C2006" s="24"/>
      <c r="D2006" s="312"/>
      <c r="E2006" s="312"/>
      <c r="G2006" s="47"/>
      <c r="H2006" s="24"/>
      <c r="I2006" s="312"/>
      <c r="J2006" s="312"/>
      <c r="L2006" s="47"/>
      <c r="M2006" s="24"/>
      <c r="N2006" s="312"/>
      <c r="O2006" s="312"/>
      <c r="Q2006" s="47"/>
      <c r="R2006" s="136" t="s">
        <v>2221</v>
      </c>
      <c r="S2006" s="25" t="s">
        <v>2222</v>
      </c>
      <c r="T2006" s="155">
        <v>7790</v>
      </c>
      <c r="U2006" s="155">
        <v>0</v>
      </c>
    </row>
    <row r="2007" spans="2:21" x14ac:dyDescent="0.3">
      <c r="B2007" s="47"/>
      <c r="C2007" s="24"/>
      <c r="D2007" s="312"/>
      <c r="E2007" s="312"/>
      <c r="G2007" s="47"/>
      <c r="H2007" s="24"/>
      <c r="I2007" s="312"/>
      <c r="J2007" s="312"/>
      <c r="L2007" s="47"/>
      <c r="M2007" s="24"/>
      <c r="N2007" s="312"/>
      <c r="O2007" s="312"/>
      <c r="Q2007" s="47"/>
      <c r="R2007" s="136" t="s">
        <v>2223</v>
      </c>
      <c r="S2007" s="25" t="s">
        <v>2224</v>
      </c>
      <c r="T2007" s="155">
        <v>8570</v>
      </c>
      <c r="U2007" s="155">
        <v>0</v>
      </c>
    </row>
    <row r="2008" spans="2:21" x14ac:dyDescent="0.3">
      <c r="B2008" s="47"/>
      <c r="C2008" s="24"/>
      <c r="D2008" s="312"/>
      <c r="E2008" s="312"/>
      <c r="G2008" s="47"/>
      <c r="H2008" s="24"/>
      <c r="I2008" s="312"/>
      <c r="J2008" s="312"/>
      <c r="L2008" s="47"/>
      <c r="M2008" s="24"/>
      <c r="N2008" s="312"/>
      <c r="O2008" s="312"/>
      <c r="Q2008" s="47"/>
      <c r="R2008" s="136" t="s">
        <v>2226</v>
      </c>
      <c r="S2008" s="25" t="s">
        <v>2227</v>
      </c>
      <c r="T2008" s="155">
        <v>11322</v>
      </c>
      <c r="U2008" s="155">
        <v>0</v>
      </c>
    </row>
    <row r="2009" spans="2:21" x14ac:dyDescent="0.3">
      <c r="B2009" s="47"/>
      <c r="C2009" s="24"/>
      <c r="D2009" s="312"/>
      <c r="E2009" s="312"/>
      <c r="G2009" s="47"/>
      <c r="H2009" s="24"/>
      <c r="I2009" s="312"/>
      <c r="J2009" s="312"/>
      <c r="L2009" s="47"/>
      <c r="M2009" s="24"/>
      <c r="N2009" s="312"/>
      <c r="O2009" s="312"/>
      <c r="Q2009" s="47"/>
      <c r="R2009" s="136" t="s">
        <v>2228</v>
      </c>
      <c r="S2009" s="25" t="s">
        <v>1990</v>
      </c>
      <c r="T2009" s="155">
        <v>4914</v>
      </c>
      <c r="U2009" s="155">
        <v>0</v>
      </c>
    </row>
    <row r="2010" spans="2:21" x14ac:dyDescent="0.3">
      <c r="B2010" s="47"/>
      <c r="C2010" s="24"/>
      <c r="D2010" s="312"/>
      <c r="E2010" s="312"/>
      <c r="G2010" s="47"/>
      <c r="H2010" s="24"/>
      <c r="I2010" s="312"/>
      <c r="J2010" s="312"/>
      <c r="L2010" s="47"/>
      <c r="M2010" s="24"/>
      <c r="N2010" s="312"/>
      <c r="O2010" s="312"/>
      <c r="Q2010" s="47"/>
      <c r="R2010" s="136" t="s">
        <v>2229</v>
      </c>
      <c r="S2010" s="25" t="s">
        <v>1987</v>
      </c>
      <c r="T2010" s="155">
        <v>1722</v>
      </c>
      <c r="U2010" s="155">
        <v>0</v>
      </c>
    </row>
    <row r="2011" spans="2:21" x14ac:dyDescent="0.3">
      <c r="B2011" s="47"/>
      <c r="C2011" s="24"/>
      <c r="D2011" s="312"/>
      <c r="E2011" s="312"/>
      <c r="G2011" s="47"/>
      <c r="H2011" s="24"/>
      <c r="I2011" s="312"/>
      <c r="J2011" s="312"/>
      <c r="L2011" s="47"/>
      <c r="M2011" s="24"/>
      <c r="N2011" s="312"/>
      <c r="O2011" s="312"/>
      <c r="Q2011" s="47"/>
      <c r="R2011" s="136" t="s">
        <v>2230</v>
      </c>
      <c r="S2011" s="25" t="s">
        <v>2231</v>
      </c>
      <c r="T2011" s="155">
        <v>3231</v>
      </c>
      <c r="U2011" s="155">
        <v>0</v>
      </c>
    </row>
    <row r="2012" spans="2:21" x14ac:dyDescent="0.3">
      <c r="B2012" s="47"/>
      <c r="C2012" s="24"/>
      <c r="D2012" s="312"/>
      <c r="E2012" s="312"/>
      <c r="G2012" s="47"/>
      <c r="H2012" s="24"/>
      <c r="I2012" s="312"/>
      <c r="J2012" s="312"/>
      <c r="L2012" s="47"/>
      <c r="M2012" s="24"/>
      <c r="N2012" s="312"/>
      <c r="O2012" s="312"/>
      <c r="Q2012" s="47"/>
      <c r="R2012" s="136" t="s">
        <v>2232</v>
      </c>
      <c r="S2012" s="25" t="s">
        <v>1988</v>
      </c>
      <c r="T2012" s="155">
        <v>4908</v>
      </c>
      <c r="U2012" s="155">
        <v>0</v>
      </c>
    </row>
    <row r="2013" spans="2:21" x14ac:dyDescent="0.3">
      <c r="B2013" s="47"/>
      <c r="C2013" s="24"/>
      <c r="D2013" s="312"/>
      <c r="E2013" s="312"/>
      <c r="G2013" s="47"/>
      <c r="H2013" s="24"/>
      <c r="I2013" s="312"/>
      <c r="J2013" s="312"/>
      <c r="L2013" s="47"/>
      <c r="M2013" s="24"/>
      <c r="N2013" s="312"/>
      <c r="O2013" s="312"/>
      <c r="Q2013" s="47"/>
      <c r="R2013" s="136" t="s">
        <v>2233</v>
      </c>
      <c r="S2013" s="25" t="s">
        <v>1989</v>
      </c>
      <c r="T2013" s="155">
        <v>2457</v>
      </c>
      <c r="U2013" s="155">
        <v>0</v>
      </c>
    </row>
    <row r="2014" spans="2:21" x14ac:dyDescent="0.3">
      <c r="B2014" s="47"/>
      <c r="C2014" s="24"/>
      <c r="D2014" s="312"/>
      <c r="E2014" s="312"/>
      <c r="G2014" s="47"/>
      <c r="H2014" s="24"/>
      <c r="I2014" s="312"/>
      <c r="J2014" s="312"/>
      <c r="L2014" s="47"/>
      <c r="M2014" s="24"/>
      <c r="N2014" s="312"/>
      <c r="O2014" s="312"/>
      <c r="Q2014" s="47"/>
      <c r="R2014" s="136" t="s">
        <v>2234</v>
      </c>
      <c r="S2014" s="25" t="s">
        <v>2235</v>
      </c>
      <c r="T2014" s="155">
        <v>2460</v>
      </c>
      <c r="U2014" s="155">
        <v>0</v>
      </c>
    </row>
    <row r="2015" spans="2:21" x14ac:dyDescent="0.3">
      <c r="B2015" s="47"/>
      <c r="C2015" s="24"/>
      <c r="D2015" s="312"/>
      <c r="E2015" s="312"/>
      <c r="G2015" s="47"/>
      <c r="H2015" s="24"/>
      <c r="I2015" s="312"/>
      <c r="J2015" s="312"/>
      <c r="L2015" s="47"/>
      <c r="M2015" s="24"/>
      <c r="N2015" s="312"/>
      <c r="O2015" s="312"/>
      <c r="Q2015" s="241">
        <v>80010012</v>
      </c>
      <c r="R2015" s="242"/>
      <c r="S2015" s="246" t="s">
        <v>1074</v>
      </c>
      <c r="T2015" s="239">
        <f>SUM(T2016:T2029)-SUM(U2016:U2029)</f>
        <v>104789</v>
      </c>
      <c r="U2015" s="240">
        <v>0</v>
      </c>
    </row>
    <row r="2016" spans="2:21" x14ac:dyDescent="0.3">
      <c r="B2016" s="47"/>
      <c r="C2016" s="24"/>
      <c r="D2016" s="312"/>
      <c r="E2016" s="312"/>
      <c r="G2016" s="47"/>
      <c r="H2016" s="24"/>
      <c r="I2016" s="312"/>
      <c r="J2016" s="312"/>
      <c r="L2016" s="47"/>
      <c r="M2016" s="24"/>
      <c r="N2016" s="312"/>
      <c r="O2016" s="312"/>
      <c r="Q2016" s="47"/>
      <c r="R2016" s="136" t="s">
        <v>2156</v>
      </c>
      <c r="S2016" s="25" t="s">
        <v>2157</v>
      </c>
      <c r="T2016" s="155">
        <v>23200</v>
      </c>
      <c r="U2016" s="155">
        <v>0</v>
      </c>
    </row>
    <row r="2017" spans="2:21" x14ac:dyDescent="0.3">
      <c r="B2017" s="47"/>
      <c r="C2017" s="24"/>
      <c r="D2017" s="312"/>
      <c r="E2017" s="312"/>
      <c r="G2017" s="47"/>
      <c r="H2017" s="24"/>
      <c r="I2017" s="312"/>
      <c r="J2017" s="312"/>
      <c r="L2017" s="47"/>
      <c r="M2017" s="24"/>
      <c r="N2017" s="312"/>
      <c r="O2017" s="312"/>
      <c r="Q2017" s="47"/>
      <c r="R2017" s="136" t="s">
        <v>2199</v>
      </c>
      <c r="S2017" s="25" t="s">
        <v>2200</v>
      </c>
      <c r="T2017" s="155">
        <v>95433</v>
      </c>
      <c r="U2017" s="155">
        <v>0</v>
      </c>
    </row>
    <row r="2018" spans="2:21" x14ac:dyDescent="0.3">
      <c r="B2018" s="47"/>
      <c r="C2018" s="24"/>
      <c r="D2018" s="312"/>
      <c r="E2018" s="312"/>
      <c r="G2018" s="47"/>
      <c r="H2018" s="24"/>
      <c r="I2018" s="312"/>
      <c r="J2018" s="312"/>
      <c r="L2018" s="47"/>
      <c r="M2018" s="24"/>
      <c r="N2018" s="312"/>
      <c r="O2018" s="312"/>
      <c r="Q2018" s="47"/>
      <c r="R2018" s="136" t="s">
        <v>2201</v>
      </c>
      <c r="S2018" s="25" t="s">
        <v>2202</v>
      </c>
      <c r="T2018" s="155">
        <v>27750</v>
      </c>
      <c r="U2018" s="155">
        <v>0</v>
      </c>
    </row>
    <row r="2019" spans="2:21" x14ac:dyDescent="0.3">
      <c r="B2019" s="47"/>
      <c r="C2019" s="24"/>
      <c r="D2019" s="312"/>
      <c r="E2019" s="312"/>
      <c r="G2019" s="47"/>
      <c r="H2019" s="24"/>
      <c r="I2019" s="312"/>
      <c r="J2019" s="312"/>
      <c r="L2019" s="47"/>
      <c r="M2019" s="24"/>
      <c r="N2019" s="312"/>
      <c r="O2019" s="312"/>
      <c r="Q2019" s="47"/>
      <c r="R2019" s="136" t="s">
        <v>2209</v>
      </c>
      <c r="S2019" s="25" t="s">
        <v>2210</v>
      </c>
      <c r="T2019" s="155">
        <v>72923</v>
      </c>
      <c r="U2019" s="155">
        <v>0</v>
      </c>
    </row>
    <row r="2020" spans="2:21" x14ac:dyDescent="0.3">
      <c r="B2020" s="47"/>
      <c r="C2020" s="24"/>
      <c r="D2020" s="312"/>
      <c r="E2020" s="312"/>
      <c r="G2020" s="47"/>
      <c r="H2020" s="24"/>
      <c r="I2020" s="312"/>
      <c r="J2020" s="312"/>
      <c r="L2020" s="47"/>
      <c r="M2020" s="24"/>
      <c r="N2020" s="312"/>
      <c r="O2020" s="312"/>
      <c r="Q2020" s="47"/>
      <c r="R2020" s="136" t="s">
        <v>2340</v>
      </c>
      <c r="S2020" s="25" t="s">
        <v>2159</v>
      </c>
      <c r="T2020" s="155">
        <v>0</v>
      </c>
      <c r="U2020" s="155">
        <v>126517</v>
      </c>
    </row>
    <row r="2021" spans="2:21" x14ac:dyDescent="0.3">
      <c r="B2021" s="47"/>
      <c r="C2021" s="24"/>
      <c r="D2021" s="312"/>
      <c r="E2021" s="312"/>
      <c r="G2021" s="47"/>
      <c r="H2021" s="24"/>
      <c r="I2021" s="312"/>
      <c r="J2021" s="312"/>
      <c r="L2021" s="47"/>
      <c r="M2021" s="24"/>
      <c r="N2021" s="312"/>
      <c r="O2021" s="312"/>
      <c r="Q2021" s="47"/>
      <c r="R2021" s="136" t="s">
        <v>2162</v>
      </c>
      <c r="S2021" s="25" t="s">
        <v>2163</v>
      </c>
      <c r="T2021" s="155">
        <v>0</v>
      </c>
      <c r="U2021" s="155">
        <v>1233</v>
      </c>
    </row>
    <row r="2022" spans="2:21" x14ac:dyDescent="0.3">
      <c r="B2022" s="47"/>
      <c r="C2022" s="24"/>
      <c r="D2022" s="312"/>
      <c r="E2022" s="312"/>
      <c r="G2022" s="47"/>
      <c r="H2022" s="24"/>
      <c r="I2022" s="312"/>
      <c r="J2022" s="312"/>
      <c r="L2022" s="47"/>
      <c r="M2022" s="24"/>
      <c r="N2022" s="312"/>
      <c r="O2022" s="312"/>
      <c r="Q2022" s="47"/>
      <c r="R2022" s="136" t="s">
        <v>2165</v>
      </c>
      <c r="S2022" s="25" t="s">
        <v>2166</v>
      </c>
      <c r="T2022" s="155">
        <v>0</v>
      </c>
      <c r="U2022" s="155">
        <v>48567</v>
      </c>
    </row>
    <row r="2023" spans="2:21" x14ac:dyDescent="0.3">
      <c r="B2023" s="47"/>
      <c r="C2023" s="24"/>
      <c r="D2023" s="312"/>
      <c r="E2023" s="312"/>
      <c r="G2023" s="47"/>
      <c r="H2023" s="24"/>
      <c r="I2023" s="312"/>
      <c r="J2023" s="312"/>
      <c r="L2023" s="47"/>
      <c r="M2023" s="24"/>
      <c r="N2023" s="312"/>
      <c r="O2023" s="312"/>
      <c r="Q2023" s="47"/>
      <c r="R2023" s="136" t="s">
        <v>2168</v>
      </c>
      <c r="S2023" s="25" t="s">
        <v>2169</v>
      </c>
      <c r="T2023" s="155">
        <v>4000</v>
      </c>
      <c r="U2023" s="155">
        <v>0</v>
      </c>
    </row>
    <row r="2024" spans="2:21" x14ac:dyDescent="0.3">
      <c r="B2024" s="47"/>
      <c r="C2024" s="24"/>
      <c r="D2024" s="312"/>
      <c r="E2024" s="312"/>
      <c r="G2024" s="47"/>
      <c r="H2024" s="24"/>
      <c r="I2024" s="312"/>
      <c r="J2024" s="312"/>
      <c r="L2024" s="47"/>
      <c r="M2024" s="24"/>
      <c r="N2024" s="312"/>
      <c r="O2024" s="312"/>
      <c r="Q2024" s="47"/>
      <c r="R2024" s="136" t="s">
        <v>3313</v>
      </c>
      <c r="S2024" s="25" t="s">
        <v>2211</v>
      </c>
      <c r="T2024" s="155">
        <v>0</v>
      </c>
      <c r="U2024" s="155">
        <v>15033</v>
      </c>
    </row>
    <row r="2025" spans="2:21" x14ac:dyDescent="0.3">
      <c r="B2025" s="47"/>
      <c r="C2025" s="24"/>
      <c r="D2025" s="312"/>
      <c r="E2025" s="312"/>
      <c r="G2025" s="47"/>
      <c r="H2025" s="24"/>
      <c r="I2025" s="312"/>
      <c r="J2025" s="312"/>
      <c r="L2025" s="47"/>
      <c r="M2025" s="24"/>
      <c r="N2025" s="312"/>
      <c r="O2025" s="312"/>
      <c r="Q2025" s="47"/>
      <c r="R2025" s="136" t="s">
        <v>2177</v>
      </c>
      <c r="S2025" s="25" t="s">
        <v>2341</v>
      </c>
      <c r="T2025" s="155">
        <v>0</v>
      </c>
      <c r="U2025" s="155">
        <v>27600</v>
      </c>
    </row>
    <row r="2026" spans="2:21" x14ac:dyDescent="0.3">
      <c r="B2026" s="47"/>
      <c r="C2026" s="24"/>
      <c r="D2026" s="312"/>
      <c r="E2026" s="312"/>
      <c r="G2026" s="47"/>
      <c r="H2026" s="24"/>
      <c r="I2026" s="312"/>
      <c r="J2026" s="312"/>
      <c r="L2026" s="47"/>
      <c r="M2026" s="24"/>
      <c r="N2026" s="312"/>
      <c r="O2026" s="312"/>
      <c r="Q2026" s="47"/>
      <c r="R2026" s="136" t="s">
        <v>2183</v>
      </c>
      <c r="S2026" s="25" t="s">
        <v>2182</v>
      </c>
      <c r="T2026" s="155">
        <v>57000</v>
      </c>
      <c r="U2026" s="155">
        <v>0</v>
      </c>
    </row>
    <row r="2027" spans="2:21" x14ac:dyDescent="0.3">
      <c r="B2027" s="47"/>
      <c r="C2027" s="24"/>
      <c r="D2027" s="312"/>
      <c r="E2027" s="312"/>
      <c r="G2027" s="47"/>
      <c r="H2027" s="24"/>
      <c r="I2027" s="312"/>
      <c r="J2027" s="312"/>
      <c r="L2027" s="47"/>
      <c r="M2027" s="24"/>
      <c r="N2027" s="312"/>
      <c r="O2027" s="312"/>
      <c r="Q2027" s="47"/>
      <c r="R2027" s="136" t="s">
        <v>2185</v>
      </c>
      <c r="S2027" s="25" t="s">
        <v>2184</v>
      </c>
      <c r="T2027" s="155">
        <v>4933</v>
      </c>
      <c r="U2027" s="155">
        <v>0</v>
      </c>
    </row>
    <row r="2028" spans="2:21" x14ac:dyDescent="0.3">
      <c r="B2028" s="47"/>
      <c r="C2028" s="24"/>
      <c r="D2028" s="312"/>
      <c r="E2028" s="312"/>
      <c r="G2028" s="47"/>
      <c r="H2028" s="24"/>
      <c r="I2028" s="312"/>
      <c r="J2028" s="312"/>
      <c r="L2028" s="47"/>
      <c r="M2028" s="24"/>
      <c r="N2028" s="312"/>
      <c r="O2028" s="312"/>
      <c r="Q2028" s="47"/>
      <c r="R2028" s="136" t="s">
        <v>2187</v>
      </c>
      <c r="S2028" s="25" t="s">
        <v>2186</v>
      </c>
      <c r="T2028" s="155">
        <v>25900</v>
      </c>
      <c r="U2028" s="155">
        <v>0</v>
      </c>
    </row>
    <row r="2029" spans="2:21" x14ac:dyDescent="0.3">
      <c r="B2029" s="47"/>
      <c r="C2029" s="24"/>
      <c r="D2029" s="312"/>
      <c r="E2029" s="312"/>
      <c r="G2029" s="47"/>
      <c r="H2029" s="24"/>
      <c r="I2029" s="312"/>
      <c r="J2029" s="312"/>
      <c r="L2029" s="47"/>
      <c r="M2029" s="24"/>
      <c r="N2029" s="312"/>
      <c r="O2029" s="312"/>
      <c r="Q2029" s="47"/>
      <c r="R2029" s="136" t="s">
        <v>2190</v>
      </c>
      <c r="S2029" s="25" t="s">
        <v>2189</v>
      </c>
      <c r="T2029" s="155">
        <v>12600</v>
      </c>
      <c r="U2029" s="155">
        <v>0</v>
      </c>
    </row>
    <row r="2030" spans="2:21" x14ac:dyDescent="0.3">
      <c r="B2030" s="47"/>
      <c r="C2030" s="24"/>
      <c r="D2030" s="312"/>
      <c r="E2030" s="312"/>
      <c r="G2030" s="47"/>
      <c r="H2030" s="24"/>
      <c r="I2030" s="312"/>
      <c r="J2030" s="312"/>
      <c r="L2030" s="47"/>
      <c r="M2030" s="24"/>
      <c r="N2030" s="312"/>
      <c r="O2030" s="312"/>
      <c r="Q2030" s="241">
        <v>80010013</v>
      </c>
      <c r="R2030" s="242"/>
      <c r="S2030" s="246" t="s">
        <v>1073</v>
      </c>
      <c r="T2030" s="240">
        <v>0</v>
      </c>
      <c r="U2030" s="240">
        <v>0</v>
      </c>
    </row>
    <row r="2031" spans="2:21" x14ac:dyDescent="0.3">
      <c r="B2031" s="47"/>
      <c r="C2031" s="24"/>
      <c r="D2031" s="312"/>
      <c r="E2031" s="312"/>
      <c r="G2031" s="47"/>
      <c r="H2031" s="24"/>
      <c r="I2031" s="312"/>
      <c r="J2031" s="312"/>
      <c r="L2031" s="47"/>
      <c r="M2031" s="24"/>
      <c r="N2031" s="312"/>
      <c r="O2031" s="312"/>
      <c r="Q2031" s="241">
        <v>80010014</v>
      </c>
      <c r="R2031" s="242"/>
      <c r="S2031" s="246" t="s">
        <v>1076</v>
      </c>
      <c r="T2031" s="240">
        <v>0</v>
      </c>
      <c r="U2031" s="240">
        <v>0</v>
      </c>
    </row>
    <row r="2032" spans="2:21" x14ac:dyDescent="0.3">
      <c r="B2032" s="47"/>
      <c r="C2032" s="24"/>
      <c r="D2032" s="312"/>
      <c r="E2032" s="312"/>
      <c r="G2032" s="47"/>
      <c r="H2032" s="24"/>
      <c r="I2032" s="312"/>
      <c r="J2032" s="312"/>
      <c r="L2032" s="47"/>
      <c r="M2032" s="24"/>
      <c r="N2032" s="312"/>
      <c r="O2032" s="312"/>
      <c r="Q2032" s="241">
        <v>80010015</v>
      </c>
      <c r="R2032" s="242"/>
      <c r="S2032" s="246" t="s">
        <v>1071</v>
      </c>
      <c r="T2032" s="240">
        <v>0</v>
      </c>
      <c r="U2032" s="240">
        <v>0</v>
      </c>
    </row>
    <row r="2033" spans="2:21" x14ac:dyDescent="0.3">
      <c r="B2033" s="47"/>
      <c r="C2033" s="24"/>
      <c r="D2033" s="312"/>
      <c r="E2033" s="312"/>
      <c r="G2033" s="47"/>
      <c r="H2033" s="24"/>
      <c r="I2033" s="312"/>
      <c r="J2033" s="312"/>
      <c r="L2033" s="47"/>
      <c r="M2033" s="24"/>
      <c r="N2033" s="312"/>
      <c r="O2033" s="312"/>
      <c r="Q2033" s="241">
        <v>80010016</v>
      </c>
      <c r="R2033" s="242"/>
      <c r="S2033" s="246" t="s">
        <v>1075</v>
      </c>
      <c r="T2033" s="239">
        <f>SUM(T2034:T2061)-SUM(U2034:U2061)</f>
        <v>8825438</v>
      </c>
      <c r="U2033" s="240">
        <v>0</v>
      </c>
    </row>
    <row r="2034" spans="2:21" x14ac:dyDescent="0.3">
      <c r="B2034" s="47"/>
      <c r="C2034" s="24"/>
      <c r="D2034" s="312"/>
      <c r="E2034" s="312"/>
      <c r="G2034" s="47"/>
      <c r="H2034" s="24"/>
      <c r="I2034" s="312"/>
      <c r="J2034" s="312"/>
      <c r="L2034" s="47"/>
      <c r="M2034" s="24"/>
      <c r="N2034" s="312"/>
      <c r="O2034" s="312"/>
      <c r="Q2034" s="47"/>
      <c r="R2034" s="136" t="s">
        <v>1931</v>
      </c>
      <c r="S2034" s="25" t="s">
        <v>1932</v>
      </c>
      <c r="T2034" s="155">
        <v>33333</v>
      </c>
      <c r="U2034" s="155">
        <v>0</v>
      </c>
    </row>
    <row r="2035" spans="2:21" x14ac:dyDescent="0.3">
      <c r="B2035" s="47"/>
      <c r="C2035" s="24"/>
      <c r="D2035" s="312"/>
      <c r="E2035" s="312"/>
      <c r="G2035" s="47"/>
      <c r="H2035" s="24"/>
      <c r="I2035" s="312"/>
      <c r="J2035" s="312"/>
      <c r="L2035" s="47"/>
      <c r="M2035" s="24"/>
      <c r="N2035" s="312"/>
      <c r="O2035" s="312"/>
      <c r="Q2035" s="47"/>
      <c r="R2035" s="136" t="s">
        <v>1934</v>
      </c>
      <c r="S2035" s="25" t="s">
        <v>2196</v>
      </c>
      <c r="T2035" s="155">
        <v>242667</v>
      </c>
      <c r="U2035" s="155">
        <v>0</v>
      </c>
    </row>
    <row r="2036" spans="2:21" x14ac:dyDescent="0.3">
      <c r="B2036" s="47"/>
      <c r="C2036" s="24"/>
      <c r="D2036" s="312"/>
      <c r="E2036" s="312"/>
      <c r="G2036" s="47"/>
      <c r="H2036" s="24"/>
      <c r="I2036" s="312"/>
      <c r="J2036" s="312"/>
      <c r="L2036" s="47"/>
      <c r="M2036" s="24"/>
      <c r="N2036" s="312"/>
      <c r="O2036" s="312"/>
      <c r="Q2036" s="47"/>
      <c r="R2036" s="136" t="s">
        <v>2156</v>
      </c>
      <c r="S2036" s="25" t="s">
        <v>2157</v>
      </c>
      <c r="T2036" s="155">
        <v>583433</v>
      </c>
      <c r="U2036" s="155">
        <v>0</v>
      </c>
    </row>
    <row r="2037" spans="2:21" x14ac:dyDescent="0.3">
      <c r="B2037" s="47"/>
      <c r="C2037" s="24"/>
      <c r="D2037" s="312"/>
      <c r="E2037" s="312"/>
      <c r="G2037" s="47"/>
      <c r="H2037" s="24"/>
      <c r="I2037" s="312"/>
      <c r="J2037" s="312"/>
      <c r="L2037" s="47"/>
      <c r="M2037" s="24"/>
      <c r="N2037" s="312"/>
      <c r="O2037" s="312"/>
      <c r="Q2037" s="47"/>
      <c r="R2037" s="136" t="s">
        <v>2199</v>
      </c>
      <c r="S2037" s="25" t="s">
        <v>2200</v>
      </c>
      <c r="T2037" s="155">
        <v>559900</v>
      </c>
      <c r="U2037" s="155">
        <v>0</v>
      </c>
    </row>
    <row r="2038" spans="2:21" x14ac:dyDescent="0.3">
      <c r="B2038" s="47"/>
      <c r="C2038" s="24"/>
      <c r="D2038" s="312"/>
      <c r="E2038" s="312"/>
      <c r="G2038" s="47"/>
      <c r="H2038" s="24"/>
      <c r="I2038" s="312"/>
      <c r="J2038" s="312"/>
      <c r="L2038" s="47"/>
      <c r="M2038" s="24"/>
      <c r="N2038" s="312"/>
      <c r="O2038" s="312"/>
      <c r="Q2038" s="47"/>
      <c r="R2038" s="136" t="s">
        <v>2201</v>
      </c>
      <c r="S2038" s="25" t="s">
        <v>2202</v>
      </c>
      <c r="T2038" s="155">
        <v>212567</v>
      </c>
      <c r="U2038" s="155">
        <v>0</v>
      </c>
    </row>
    <row r="2039" spans="2:21" x14ac:dyDescent="0.3">
      <c r="B2039" s="47"/>
      <c r="C2039" s="24"/>
      <c r="D2039" s="312"/>
      <c r="E2039" s="312"/>
      <c r="G2039" s="47"/>
      <c r="H2039" s="24"/>
      <c r="I2039" s="312"/>
      <c r="J2039" s="312"/>
      <c r="L2039" s="47"/>
      <c r="M2039" s="24"/>
      <c r="N2039" s="312"/>
      <c r="O2039" s="312"/>
      <c r="Q2039" s="47"/>
      <c r="R2039" s="136" t="s">
        <v>2205</v>
      </c>
      <c r="S2039" s="25" t="s">
        <v>2206</v>
      </c>
      <c r="T2039" s="155">
        <v>146000</v>
      </c>
      <c r="U2039" s="155">
        <v>0</v>
      </c>
    </row>
    <row r="2040" spans="2:21" x14ac:dyDescent="0.3">
      <c r="B2040" s="47"/>
      <c r="C2040" s="24"/>
      <c r="D2040" s="312"/>
      <c r="E2040" s="312"/>
      <c r="G2040" s="47"/>
      <c r="H2040" s="24"/>
      <c r="I2040" s="312"/>
      <c r="J2040" s="312"/>
      <c r="L2040" s="47"/>
      <c r="M2040" s="24"/>
      <c r="N2040" s="312"/>
      <c r="O2040" s="312"/>
      <c r="Q2040" s="47"/>
      <c r="R2040" s="136" t="s">
        <v>2207</v>
      </c>
      <c r="S2040" s="25" t="s">
        <v>2208</v>
      </c>
      <c r="T2040" s="155">
        <v>198001</v>
      </c>
      <c r="U2040" s="155">
        <v>0</v>
      </c>
    </row>
    <row r="2041" spans="2:21" x14ac:dyDescent="0.3">
      <c r="B2041" s="47"/>
      <c r="C2041" s="24"/>
      <c r="D2041" s="312"/>
      <c r="E2041" s="312"/>
      <c r="G2041" s="47"/>
      <c r="H2041" s="24"/>
      <c r="I2041" s="312"/>
      <c r="J2041" s="312"/>
      <c r="L2041" s="47"/>
      <c r="M2041" s="24"/>
      <c r="N2041" s="312"/>
      <c r="O2041" s="312"/>
      <c r="Q2041" s="47"/>
      <c r="R2041" s="136" t="s">
        <v>2209</v>
      </c>
      <c r="S2041" s="25" t="s">
        <v>2210</v>
      </c>
      <c r="T2041" s="155">
        <v>616001</v>
      </c>
      <c r="U2041" s="155">
        <v>0</v>
      </c>
    </row>
    <row r="2042" spans="2:21" x14ac:dyDescent="0.3">
      <c r="B2042" s="47"/>
      <c r="C2042" s="24"/>
      <c r="D2042" s="312"/>
      <c r="E2042" s="312"/>
      <c r="G2042" s="47"/>
      <c r="H2042" s="24"/>
      <c r="I2042" s="312"/>
      <c r="J2042" s="312"/>
      <c r="L2042" s="47"/>
      <c r="M2042" s="24"/>
      <c r="N2042" s="312"/>
      <c r="O2042" s="312"/>
      <c r="Q2042" s="47"/>
      <c r="R2042" s="136" t="s">
        <v>2340</v>
      </c>
      <c r="S2042" s="25" t="s">
        <v>2159</v>
      </c>
      <c r="T2042" s="155">
        <v>615667</v>
      </c>
      <c r="U2042" s="155">
        <v>0</v>
      </c>
    </row>
    <row r="2043" spans="2:21" x14ac:dyDescent="0.3">
      <c r="B2043" s="47"/>
      <c r="C2043" s="24"/>
      <c r="D2043" s="312"/>
      <c r="E2043" s="312"/>
      <c r="G2043" s="47"/>
      <c r="H2043" s="24"/>
      <c r="I2043" s="312"/>
      <c r="J2043" s="312"/>
      <c r="L2043" s="47"/>
      <c r="M2043" s="24"/>
      <c r="N2043" s="312"/>
      <c r="O2043" s="312"/>
      <c r="Q2043" s="47"/>
      <c r="R2043" s="136" t="s">
        <v>2160</v>
      </c>
      <c r="S2043" s="25" t="s">
        <v>2161</v>
      </c>
      <c r="T2043" s="155">
        <v>118667</v>
      </c>
      <c r="U2043" s="155">
        <v>0</v>
      </c>
    </row>
    <row r="2044" spans="2:21" x14ac:dyDescent="0.3">
      <c r="B2044" s="47"/>
      <c r="C2044" s="24"/>
      <c r="D2044" s="312"/>
      <c r="E2044" s="312"/>
      <c r="G2044" s="47"/>
      <c r="H2044" s="24"/>
      <c r="I2044" s="312"/>
      <c r="J2044" s="312"/>
      <c r="L2044" s="47"/>
      <c r="M2044" s="24"/>
      <c r="N2044" s="312"/>
      <c r="O2044" s="312"/>
      <c r="Q2044" s="47"/>
      <c r="R2044" s="136" t="s">
        <v>2162</v>
      </c>
      <c r="S2044" s="25" t="s">
        <v>2163</v>
      </c>
      <c r="T2044" s="155">
        <v>186166</v>
      </c>
      <c r="U2044" s="155">
        <v>0</v>
      </c>
    </row>
    <row r="2045" spans="2:21" x14ac:dyDescent="0.3">
      <c r="B2045" s="47"/>
      <c r="C2045" s="24"/>
      <c r="D2045" s="312"/>
      <c r="E2045" s="312"/>
      <c r="G2045" s="47"/>
      <c r="H2045" s="24"/>
      <c r="I2045" s="312"/>
      <c r="J2045" s="312"/>
      <c r="L2045" s="47"/>
      <c r="M2045" s="24"/>
      <c r="N2045" s="312"/>
      <c r="O2045" s="312"/>
      <c r="Q2045" s="47"/>
      <c r="R2045" s="136" t="s">
        <v>2165</v>
      </c>
      <c r="S2045" s="25" t="s">
        <v>2166</v>
      </c>
      <c r="T2045" s="155">
        <v>843833</v>
      </c>
      <c r="U2045" s="155">
        <v>0</v>
      </c>
    </row>
    <row r="2046" spans="2:21" x14ac:dyDescent="0.3">
      <c r="B2046" s="47"/>
      <c r="C2046" s="24"/>
      <c r="D2046" s="312"/>
      <c r="E2046" s="312"/>
      <c r="G2046" s="47"/>
      <c r="H2046" s="24"/>
      <c r="I2046" s="312"/>
      <c r="J2046" s="312"/>
      <c r="L2046" s="47"/>
      <c r="M2046" s="24"/>
      <c r="N2046" s="312"/>
      <c r="O2046" s="312"/>
      <c r="Q2046" s="47"/>
      <c r="R2046" s="136" t="s">
        <v>2168</v>
      </c>
      <c r="S2046" s="25" t="s">
        <v>2169</v>
      </c>
      <c r="T2046" s="155">
        <v>339434</v>
      </c>
      <c r="U2046" s="155">
        <v>0</v>
      </c>
    </row>
    <row r="2047" spans="2:21" x14ac:dyDescent="0.3">
      <c r="B2047" s="47"/>
      <c r="C2047" s="24"/>
      <c r="D2047" s="312"/>
      <c r="E2047" s="312"/>
      <c r="G2047" s="47"/>
      <c r="H2047" s="24"/>
      <c r="I2047" s="312"/>
      <c r="J2047" s="312"/>
      <c r="L2047" s="47"/>
      <c r="M2047" s="24"/>
      <c r="N2047" s="312"/>
      <c r="O2047" s="312"/>
      <c r="Q2047" s="47"/>
      <c r="R2047" s="136" t="s">
        <v>3313</v>
      </c>
      <c r="S2047" s="25" t="s">
        <v>2211</v>
      </c>
      <c r="T2047" s="155">
        <v>89334</v>
      </c>
      <c r="U2047" s="155">
        <v>0</v>
      </c>
    </row>
    <row r="2048" spans="2:21" x14ac:dyDescent="0.3">
      <c r="B2048" s="47"/>
      <c r="C2048" s="24"/>
      <c r="D2048" s="312"/>
      <c r="E2048" s="312"/>
      <c r="G2048" s="47"/>
      <c r="H2048" s="24"/>
      <c r="I2048" s="312"/>
      <c r="J2048" s="312"/>
      <c r="L2048" s="47"/>
      <c r="M2048" s="24"/>
      <c r="N2048" s="312"/>
      <c r="O2048" s="312"/>
      <c r="Q2048" s="47"/>
      <c r="R2048" s="136" t="s">
        <v>2212</v>
      </c>
      <c r="S2048" s="25" t="s">
        <v>2213</v>
      </c>
      <c r="T2048" s="155">
        <v>253333</v>
      </c>
      <c r="U2048" s="155">
        <v>0</v>
      </c>
    </row>
    <row r="2049" spans="2:21" x14ac:dyDescent="0.3">
      <c r="B2049" s="47"/>
      <c r="C2049" s="24"/>
      <c r="D2049" s="312"/>
      <c r="E2049" s="312"/>
      <c r="G2049" s="47"/>
      <c r="H2049" s="24"/>
      <c r="I2049" s="312"/>
      <c r="J2049" s="312"/>
      <c r="L2049" s="47"/>
      <c r="M2049" s="24"/>
      <c r="N2049" s="312"/>
      <c r="O2049" s="312"/>
      <c r="Q2049" s="47"/>
      <c r="R2049" s="136" t="s">
        <v>1985</v>
      </c>
      <c r="S2049" s="25" t="s">
        <v>2197</v>
      </c>
      <c r="T2049" s="155">
        <v>116000</v>
      </c>
      <c r="U2049" s="155">
        <v>0</v>
      </c>
    </row>
    <row r="2050" spans="2:21" x14ac:dyDescent="0.3">
      <c r="B2050" s="47"/>
      <c r="C2050" s="24"/>
      <c r="D2050" s="312"/>
      <c r="E2050" s="312"/>
      <c r="G2050" s="47"/>
      <c r="H2050" s="24"/>
      <c r="I2050" s="312"/>
      <c r="J2050" s="312"/>
      <c r="L2050" s="47"/>
      <c r="M2050" s="24"/>
      <c r="N2050" s="312"/>
      <c r="O2050" s="312"/>
      <c r="Q2050" s="47"/>
      <c r="R2050" s="136" t="s">
        <v>1895</v>
      </c>
      <c r="S2050" s="25" t="s">
        <v>2174</v>
      </c>
      <c r="T2050" s="155">
        <v>437500</v>
      </c>
      <c r="U2050" s="155">
        <v>0</v>
      </c>
    </row>
    <row r="2051" spans="2:21" x14ac:dyDescent="0.3">
      <c r="B2051" s="47"/>
      <c r="C2051" s="24"/>
      <c r="D2051" s="312"/>
      <c r="E2051" s="312"/>
      <c r="G2051" s="47"/>
      <c r="H2051" s="24"/>
      <c r="I2051" s="312"/>
      <c r="J2051" s="312"/>
      <c r="L2051" s="47"/>
      <c r="M2051" s="24"/>
      <c r="N2051" s="312"/>
      <c r="O2051" s="312"/>
      <c r="Q2051" s="47"/>
      <c r="R2051" s="136" t="s">
        <v>2177</v>
      </c>
      <c r="S2051" s="25" t="s">
        <v>2341</v>
      </c>
      <c r="T2051" s="155">
        <v>578168</v>
      </c>
      <c r="U2051" s="155">
        <v>0</v>
      </c>
    </row>
    <row r="2052" spans="2:21" x14ac:dyDescent="0.3">
      <c r="B2052" s="47"/>
      <c r="C2052" s="24"/>
      <c r="D2052" s="312"/>
      <c r="E2052" s="312"/>
      <c r="G2052" s="47"/>
      <c r="H2052" s="24"/>
      <c r="I2052" s="312"/>
      <c r="J2052" s="312"/>
      <c r="L2052" s="47"/>
      <c r="M2052" s="24"/>
      <c r="N2052" s="312"/>
      <c r="O2052" s="312"/>
      <c r="Q2052" s="47"/>
      <c r="R2052" s="136" t="s">
        <v>2183</v>
      </c>
      <c r="S2052" s="25" t="s">
        <v>2182</v>
      </c>
      <c r="T2052" s="155">
        <v>522966</v>
      </c>
      <c r="U2052" s="155">
        <v>0</v>
      </c>
    </row>
    <row r="2053" spans="2:21" x14ac:dyDescent="0.3">
      <c r="B2053" s="47"/>
      <c r="C2053" s="24"/>
      <c r="D2053" s="312"/>
      <c r="E2053" s="312"/>
      <c r="G2053" s="47"/>
      <c r="H2053" s="24"/>
      <c r="I2053" s="312"/>
      <c r="J2053" s="312"/>
      <c r="L2053" s="47"/>
      <c r="M2053" s="24"/>
      <c r="N2053" s="312"/>
      <c r="O2053" s="312"/>
      <c r="Q2053" s="47"/>
      <c r="R2053" s="136" t="s">
        <v>2185</v>
      </c>
      <c r="S2053" s="25" t="s">
        <v>2184</v>
      </c>
      <c r="T2053" s="155">
        <v>222668</v>
      </c>
      <c r="U2053" s="155">
        <v>0</v>
      </c>
    </row>
    <row r="2054" spans="2:21" x14ac:dyDescent="0.3">
      <c r="B2054" s="47"/>
      <c r="C2054" s="24"/>
      <c r="D2054" s="312"/>
      <c r="E2054" s="312"/>
      <c r="G2054" s="47"/>
      <c r="H2054" s="24"/>
      <c r="I2054" s="312"/>
      <c r="J2054" s="312"/>
      <c r="L2054" s="47"/>
      <c r="M2054" s="24"/>
      <c r="N2054" s="312"/>
      <c r="O2054" s="312"/>
      <c r="Q2054" s="47"/>
      <c r="R2054" s="136" t="s">
        <v>2187</v>
      </c>
      <c r="S2054" s="25" t="s">
        <v>2186</v>
      </c>
      <c r="T2054" s="155">
        <v>458768</v>
      </c>
      <c r="U2054" s="155">
        <v>0</v>
      </c>
    </row>
    <row r="2055" spans="2:21" x14ac:dyDescent="0.3">
      <c r="B2055" s="47"/>
      <c r="C2055" s="24"/>
      <c r="D2055" s="312"/>
      <c r="E2055" s="312"/>
      <c r="G2055" s="47"/>
      <c r="H2055" s="24"/>
      <c r="I2055" s="312"/>
      <c r="J2055" s="312"/>
      <c r="L2055" s="47"/>
      <c r="M2055" s="24"/>
      <c r="N2055" s="312"/>
      <c r="O2055" s="312"/>
      <c r="Q2055" s="47"/>
      <c r="R2055" s="136" t="s">
        <v>2342</v>
      </c>
      <c r="S2055" s="25" t="s">
        <v>2188</v>
      </c>
      <c r="T2055" s="155">
        <v>437333</v>
      </c>
      <c r="U2055" s="155">
        <v>0</v>
      </c>
    </row>
    <row r="2056" spans="2:21" x14ac:dyDescent="0.3">
      <c r="B2056" s="47"/>
      <c r="C2056" s="24"/>
      <c r="D2056" s="312"/>
      <c r="E2056" s="312"/>
      <c r="G2056" s="47"/>
      <c r="H2056" s="24"/>
      <c r="I2056" s="312"/>
      <c r="J2056" s="312"/>
      <c r="L2056" s="47"/>
      <c r="M2056" s="24"/>
      <c r="N2056" s="312"/>
      <c r="O2056" s="312"/>
      <c r="Q2056" s="47"/>
      <c r="R2056" s="136" t="s">
        <v>2190</v>
      </c>
      <c r="S2056" s="25" t="s">
        <v>2189</v>
      </c>
      <c r="T2056" s="155">
        <v>383666</v>
      </c>
      <c r="U2056" s="155">
        <v>0</v>
      </c>
    </row>
    <row r="2057" spans="2:21" x14ac:dyDescent="0.3">
      <c r="B2057" s="47"/>
      <c r="C2057" s="24"/>
      <c r="D2057" s="312"/>
      <c r="E2057" s="312"/>
      <c r="G2057" s="47"/>
      <c r="H2057" s="24"/>
      <c r="I2057" s="312"/>
      <c r="J2057" s="312"/>
      <c r="L2057" s="47"/>
      <c r="M2057" s="24"/>
      <c r="N2057" s="312"/>
      <c r="O2057" s="312"/>
      <c r="Q2057" s="47"/>
      <c r="R2057" s="136" t="s">
        <v>2192</v>
      </c>
      <c r="S2057" s="25" t="s">
        <v>2191</v>
      </c>
      <c r="T2057" s="155">
        <v>80000</v>
      </c>
      <c r="U2057" s="155">
        <v>0</v>
      </c>
    </row>
    <row r="2058" spans="2:21" x14ac:dyDescent="0.3">
      <c r="B2058" s="47"/>
      <c r="C2058" s="24"/>
      <c r="D2058" s="312"/>
      <c r="E2058" s="312"/>
      <c r="G2058" s="47"/>
      <c r="H2058" s="24"/>
      <c r="I2058" s="312"/>
      <c r="J2058" s="312"/>
      <c r="L2058" s="47"/>
      <c r="M2058" s="24"/>
      <c r="N2058" s="312"/>
      <c r="O2058" s="312"/>
      <c r="Q2058" s="47"/>
      <c r="R2058" s="136" t="s">
        <v>3291</v>
      </c>
      <c r="S2058" s="25" t="s">
        <v>2171</v>
      </c>
      <c r="T2058" s="155">
        <v>98833</v>
      </c>
      <c r="U2058" s="155">
        <v>0</v>
      </c>
    </row>
    <row r="2059" spans="2:21" x14ac:dyDescent="0.3">
      <c r="B2059" s="47"/>
      <c r="C2059" s="24"/>
      <c r="D2059" s="312"/>
      <c r="E2059" s="312"/>
      <c r="G2059" s="47"/>
      <c r="H2059" s="24"/>
      <c r="I2059" s="312"/>
      <c r="J2059" s="312"/>
      <c r="L2059" s="47"/>
      <c r="M2059" s="24"/>
      <c r="N2059" s="312"/>
      <c r="O2059" s="312"/>
      <c r="Q2059" s="47"/>
      <c r="R2059" s="136" t="s">
        <v>2219</v>
      </c>
      <c r="S2059" s="25" t="s">
        <v>2220</v>
      </c>
      <c r="T2059" s="155">
        <v>145000</v>
      </c>
      <c r="U2059" s="155">
        <v>0</v>
      </c>
    </row>
    <row r="2060" spans="2:21" x14ac:dyDescent="0.3">
      <c r="B2060" s="47"/>
      <c r="C2060" s="24"/>
      <c r="D2060" s="312"/>
      <c r="E2060" s="312"/>
      <c r="G2060" s="47"/>
      <c r="H2060" s="24"/>
      <c r="I2060" s="312"/>
      <c r="J2060" s="312"/>
      <c r="L2060" s="47"/>
      <c r="M2060" s="24"/>
      <c r="N2060" s="312"/>
      <c r="O2060" s="312"/>
      <c r="Q2060" s="47"/>
      <c r="R2060" s="136" t="s">
        <v>2221</v>
      </c>
      <c r="S2060" s="25" t="s">
        <v>2222</v>
      </c>
      <c r="T2060" s="155">
        <v>219133</v>
      </c>
      <c r="U2060" s="155">
        <v>0</v>
      </c>
    </row>
    <row r="2061" spans="2:21" x14ac:dyDescent="0.3">
      <c r="B2061" s="47"/>
      <c r="C2061" s="24"/>
      <c r="D2061" s="312"/>
      <c r="E2061" s="312"/>
      <c r="G2061" s="47"/>
      <c r="H2061" s="24"/>
      <c r="I2061" s="312"/>
      <c r="J2061" s="312"/>
      <c r="L2061" s="47"/>
      <c r="M2061" s="24"/>
      <c r="N2061" s="312"/>
      <c r="O2061" s="312"/>
      <c r="Q2061" s="47"/>
      <c r="R2061" s="136" t="s">
        <v>2229</v>
      </c>
      <c r="S2061" s="25" t="s">
        <v>1987</v>
      </c>
      <c r="T2061" s="155">
        <v>87067</v>
      </c>
      <c r="U2061" s="155">
        <v>0</v>
      </c>
    </row>
    <row r="2062" spans="2:21" x14ac:dyDescent="0.3">
      <c r="B2062" s="47"/>
      <c r="C2062" s="24"/>
      <c r="D2062" s="312"/>
      <c r="E2062" s="312"/>
      <c r="G2062" s="47"/>
      <c r="H2062" s="24"/>
      <c r="I2062" s="312"/>
      <c r="J2062" s="312"/>
      <c r="L2062" s="47"/>
      <c r="M2062" s="24"/>
      <c r="N2062" s="312"/>
      <c r="O2062" s="312"/>
      <c r="Q2062" s="47"/>
      <c r="R2062" s="136"/>
      <c r="S2062" s="24"/>
      <c r="T2062" s="155"/>
      <c r="U2062" s="155"/>
    </row>
    <row r="2063" spans="2:21" x14ac:dyDescent="0.3">
      <c r="B2063" s="47"/>
      <c r="C2063" s="24"/>
      <c r="D2063" s="312"/>
      <c r="E2063" s="312"/>
      <c r="G2063" s="47"/>
      <c r="H2063" s="24"/>
      <c r="I2063" s="312"/>
      <c r="J2063" s="312"/>
      <c r="K2063">
        <v>8002</v>
      </c>
      <c r="L2063" s="241">
        <v>8002</v>
      </c>
      <c r="M2063" s="243" t="s">
        <v>907</v>
      </c>
      <c r="N2063" s="314">
        <f>T2063+T2100+T2101+T2102</f>
        <v>367246676</v>
      </c>
      <c r="O2063" s="314">
        <v>0</v>
      </c>
      <c r="Q2063" s="241">
        <v>80020001</v>
      </c>
      <c r="R2063" s="242"/>
      <c r="S2063" s="246" t="s">
        <v>1063</v>
      </c>
      <c r="T2063" s="239">
        <f>SUM(T2064:T2099)-SUM(U2064:U2099)</f>
        <v>363882688</v>
      </c>
      <c r="U2063" s="240">
        <v>0</v>
      </c>
    </row>
    <row r="2064" spans="2:21" x14ac:dyDescent="0.3">
      <c r="B2064" s="47"/>
      <c r="C2064" s="24"/>
      <c r="D2064" s="312"/>
      <c r="E2064" s="312"/>
      <c r="G2064" s="47"/>
      <c r="H2064" s="24"/>
      <c r="I2064" s="312"/>
      <c r="J2064" s="312"/>
      <c r="L2064" s="47"/>
      <c r="M2064" s="24"/>
      <c r="N2064" s="312"/>
      <c r="O2064" s="312"/>
      <c r="Q2064" s="47"/>
      <c r="R2064" s="136" t="s">
        <v>1931</v>
      </c>
      <c r="S2064" s="25" t="s">
        <v>1932</v>
      </c>
      <c r="T2064" s="155">
        <v>7896875</v>
      </c>
      <c r="U2064" s="155">
        <v>0</v>
      </c>
    </row>
    <row r="2065" spans="2:21" x14ac:dyDescent="0.3">
      <c r="B2065" s="47"/>
      <c r="C2065" s="24"/>
      <c r="D2065" s="312"/>
      <c r="E2065" s="312"/>
      <c r="G2065" s="47"/>
      <c r="H2065" s="24"/>
      <c r="I2065" s="312"/>
      <c r="J2065" s="312"/>
      <c r="L2065" s="47"/>
      <c r="M2065" s="24"/>
      <c r="N2065" s="312"/>
      <c r="O2065" s="312"/>
      <c r="Q2065" s="47"/>
      <c r="R2065" s="136" t="s">
        <v>1933</v>
      </c>
      <c r="S2065" s="25" t="s">
        <v>2195</v>
      </c>
      <c r="T2065" s="155">
        <v>1837500</v>
      </c>
      <c r="U2065" s="155">
        <v>0</v>
      </c>
    </row>
    <row r="2066" spans="2:21" x14ac:dyDescent="0.3">
      <c r="B2066" s="47"/>
      <c r="C2066" s="24"/>
      <c r="D2066" s="312"/>
      <c r="E2066" s="312"/>
      <c r="G2066" s="47"/>
      <c r="H2066" s="24"/>
      <c r="I2066" s="312"/>
      <c r="J2066" s="312"/>
      <c r="L2066" s="47"/>
      <c r="M2066" s="24"/>
      <c r="N2066" s="312"/>
      <c r="O2066" s="312"/>
      <c r="Q2066" s="47"/>
      <c r="R2066" s="136" t="s">
        <v>2156</v>
      </c>
      <c r="S2066" s="25" t="s">
        <v>2157</v>
      </c>
      <c r="T2066" s="155">
        <v>7174440</v>
      </c>
      <c r="U2066" s="155">
        <v>0</v>
      </c>
    </row>
    <row r="2067" spans="2:21" x14ac:dyDescent="0.3">
      <c r="B2067" s="47"/>
      <c r="C2067" s="24"/>
      <c r="D2067" s="312"/>
      <c r="E2067" s="312"/>
      <c r="G2067" s="47"/>
      <c r="H2067" s="24"/>
      <c r="I2067" s="312"/>
      <c r="J2067" s="312"/>
      <c r="L2067" s="47"/>
      <c r="M2067" s="24"/>
      <c r="N2067" s="312"/>
      <c r="O2067" s="312"/>
      <c r="Q2067" s="47"/>
      <c r="R2067" s="136" t="s">
        <v>2199</v>
      </c>
      <c r="S2067" s="25" t="s">
        <v>2200</v>
      </c>
      <c r="T2067" s="155">
        <v>19004436</v>
      </c>
      <c r="U2067" s="155">
        <v>0</v>
      </c>
    </row>
    <row r="2068" spans="2:21" x14ac:dyDescent="0.3">
      <c r="B2068" s="47"/>
      <c r="C2068" s="24"/>
      <c r="D2068" s="312"/>
      <c r="E2068" s="312"/>
      <c r="G2068" s="47"/>
      <c r="H2068" s="24"/>
      <c r="I2068" s="312"/>
      <c r="J2068" s="312"/>
      <c r="L2068" s="47"/>
      <c r="M2068" s="24"/>
      <c r="N2068" s="312"/>
      <c r="O2068" s="312"/>
      <c r="Q2068" s="47"/>
      <c r="R2068" s="136" t="s">
        <v>2201</v>
      </c>
      <c r="S2068" s="25" t="s">
        <v>2202</v>
      </c>
      <c r="T2068" s="155">
        <v>6678588</v>
      </c>
      <c r="U2068" s="155">
        <v>0</v>
      </c>
    </row>
    <row r="2069" spans="2:21" x14ac:dyDescent="0.3">
      <c r="B2069" s="47"/>
      <c r="C2069" s="24"/>
      <c r="D2069" s="312"/>
      <c r="E2069" s="312"/>
      <c r="G2069" s="47"/>
      <c r="H2069" s="24"/>
      <c r="I2069" s="312"/>
      <c r="J2069" s="312"/>
      <c r="L2069" s="47"/>
      <c r="M2069" s="24"/>
      <c r="N2069" s="312"/>
      <c r="O2069" s="312"/>
      <c r="Q2069" s="47"/>
      <c r="R2069" s="136" t="s">
        <v>2203</v>
      </c>
      <c r="S2069" s="25" t="s">
        <v>2204</v>
      </c>
      <c r="T2069" s="155">
        <v>11886197</v>
      </c>
      <c r="U2069" s="155">
        <v>0</v>
      </c>
    </row>
    <row r="2070" spans="2:21" x14ac:dyDescent="0.3">
      <c r="B2070" s="47"/>
      <c r="C2070" s="24"/>
      <c r="D2070" s="312"/>
      <c r="E2070" s="312"/>
      <c r="G2070" s="47"/>
      <c r="H2070" s="24"/>
      <c r="I2070" s="312"/>
      <c r="J2070" s="312"/>
      <c r="L2070" s="47"/>
      <c r="M2070" s="24"/>
      <c r="N2070" s="312"/>
      <c r="O2070" s="312"/>
      <c r="Q2070" s="47"/>
      <c r="R2070" s="136" t="s">
        <v>2205</v>
      </c>
      <c r="S2070" s="25" t="s">
        <v>2206</v>
      </c>
      <c r="T2070" s="155">
        <v>12069966</v>
      </c>
      <c r="U2070" s="155">
        <v>0</v>
      </c>
    </row>
    <row r="2071" spans="2:21" x14ac:dyDescent="0.3">
      <c r="B2071" s="47"/>
      <c r="C2071" s="24"/>
      <c r="D2071" s="312"/>
      <c r="E2071" s="312"/>
      <c r="G2071" s="47"/>
      <c r="H2071" s="24"/>
      <c r="I2071" s="312"/>
      <c r="J2071" s="312"/>
      <c r="L2071" s="47"/>
      <c r="M2071" s="24"/>
      <c r="N2071" s="312"/>
      <c r="O2071" s="312"/>
      <c r="Q2071" s="47"/>
      <c r="R2071" s="136" t="s">
        <v>2207</v>
      </c>
      <c r="S2071" s="25" t="s">
        <v>2208</v>
      </c>
      <c r="T2071" s="155">
        <v>18461575</v>
      </c>
      <c r="U2071" s="155">
        <v>0</v>
      </c>
    </row>
    <row r="2072" spans="2:21" x14ac:dyDescent="0.3">
      <c r="B2072" s="47"/>
      <c r="C2072" s="24"/>
      <c r="D2072" s="312"/>
      <c r="E2072" s="312"/>
      <c r="G2072" s="47"/>
      <c r="H2072" s="24"/>
      <c r="I2072" s="312"/>
      <c r="J2072" s="312"/>
      <c r="L2072" s="47"/>
      <c r="M2072" s="24"/>
      <c r="N2072" s="312"/>
      <c r="O2072" s="312"/>
      <c r="Q2072" s="47"/>
      <c r="R2072" s="136" t="s">
        <v>2209</v>
      </c>
      <c r="S2072" s="25" t="s">
        <v>2210</v>
      </c>
      <c r="T2072" s="155">
        <v>17100522</v>
      </c>
      <c r="U2072" s="155">
        <v>0</v>
      </c>
    </row>
    <row r="2073" spans="2:21" x14ac:dyDescent="0.3">
      <c r="B2073" s="47"/>
      <c r="C2073" s="24"/>
      <c r="D2073" s="312"/>
      <c r="E2073" s="312"/>
      <c r="G2073" s="47"/>
      <c r="H2073" s="24"/>
      <c r="I2073" s="312"/>
      <c r="J2073" s="312"/>
      <c r="L2073" s="47"/>
      <c r="M2073" s="24"/>
      <c r="N2073" s="312"/>
      <c r="O2073" s="312"/>
      <c r="Q2073" s="47"/>
      <c r="R2073" s="136" t="s">
        <v>2340</v>
      </c>
      <c r="S2073" s="25" t="s">
        <v>2159</v>
      </c>
      <c r="T2073" s="155">
        <v>21889297</v>
      </c>
      <c r="U2073" s="155">
        <v>0</v>
      </c>
    </row>
    <row r="2074" spans="2:21" x14ac:dyDescent="0.3">
      <c r="B2074" s="47"/>
      <c r="C2074" s="24"/>
      <c r="D2074" s="312"/>
      <c r="E2074" s="312"/>
      <c r="G2074" s="47"/>
      <c r="H2074" s="24"/>
      <c r="I2074" s="312"/>
      <c r="J2074" s="312"/>
      <c r="L2074" s="47"/>
      <c r="M2074" s="24"/>
      <c r="N2074" s="312"/>
      <c r="O2074" s="312"/>
      <c r="Q2074" s="47"/>
      <c r="R2074" s="136" t="s">
        <v>2160</v>
      </c>
      <c r="S2074" s="25" t="s">
        <v>2161</v>
      </c>
      <c r="T2074" s="155">
        <v>10109977</v>
      </c>
      <c r="U2074" s="155">
        <v>0</v>
      </c>
    </row>
    <row r="2075" spans="2:21" x14ac:dyDescent="0.3">
      <c r="B2075" s="47"/>
      <c r="C2075" s="24"/>
      <c r="D2075" s="312"/>
      <c r="E2075" s="312"/>
      <c r="G2075" s="47"/>
      <c r="H2075" s="24"/>
      <c r="I2075" s="312"/>
      <c r="J2075" s="312"/>
      <c r="L2075" s="47"/>
      <c r="M2075" s="24"/>
      <c r="N2075" s="312"/>
      <c r="O2075" s="312"/>
      <c r="Q2075" s="47"/>
      <c r="R2075" s="136" t="s">
        <v>2162</v>
      </c>
      <c r="S2075" s="25" t="s">
        <v>2163</v>
      </c>
      <c r="T2075" s="155">
        <v>11122487</v>
      </c>
      <c r="U2075" s="155">
        <v>0</v>
      </c>
    </row>
    <row r="2076" spans="2:21" x14ac:dyDescent="0.3">
      <c r="B2076" s="47"/>
      <c r="C2076" s="24"/>
      <c r="D2076" s="312"/>
      <c r="E2076" s="312"/>
      <c r="G2076" s="47"/>
      <c r="H2076" s="24"/>
      <c r="I2076" s="312"/>
      <c r="J2076" s="312"/>
      <c r="L2076" s="47"/>
      <c r="M2076" s="24"/>
      <c r="N2076" s="312"/>
      <c r="O2076" s="312"/>
      <c r="Q2076" s="47"/>
      <c r="R2076" s="136" t="s">
        <v>2165</v>
      </c>
      <c r="S2076" s="25" t="s">
        <v>2166</v>
      </c>
      <c r="T2076" s="155">
        <v>7589322</v>
      </c>
      <c r="U2076" s="155">
        <v>0</v>
      </c>
    </row>
    <row r="2077" spans="2:21" x14ac:dyDescent="0.3">
      <c r="B2077" s="47"/>
      <c r="C2077" s="24"/>
      <c r="D2077" s="312"/>
      <c r="E2077" s="312"/>
      <c r="G2077" s="47"/>
      <c r="H2077" s="24"/>
      <c r="I2077" s="312"/>
      <c r="J2077" s="312"/>
      <c r="L2077" s="47"/>
      <c r="M2077" s="24"/>
      <c r="N2077" s="312"/>
      <c r="O2077" s="312"/>
      <c r="Q2077" s="47"/>
      <c r="R2077" s="136" t="s">
        <v>2168</v>
      </c>
      <c r="S2077" s="25" t="s">
        <v>2169</v>
      </c>
      <c r="T2077" s="155">
        <v>11308278</v>
      </c>
      <c r="U2077" s="155">
        <v>0</v>
      </c>
    </row>
    <row r="2078" spans="2:21" x14ac:dyDescent="0.3">
      <c r="B2078" s="47"/>
      <c r="C2078" s="24"/>
      <c r="D2078" s="312"/>
      <c r="E2078" s="312"/>
      <c r="G2078" s="47"/>
      <c r="H2078" s="24"/>
      <c r="I2078" s="312"/>
      <c r="J2078" s="312"/>
      <c r="L2078" s="47"/>
      <c r="M2078" s="24"/>
      <c r="N2078" s="312"/>
      <c r="O2078" s="312"/>
      <c r="Q2078" s="47"/>
      <c r="R2078" s="136" t="s">
        <v>2168</v>
      </c>
      <c r="S2078" s="25" t="s">
        <v>2169</v>
      </c>
      <c r="T2078" s="155">
        <v>3682800</v>
      </c>
      <c r="U2078" s="155">
        <v>0</v>
      </c>
    </row>
    <row r="2079" spans="2:21" x14ac:dyDescent="0.3">
      <c r="B2079" s="47"/>
      <c r="C2079" s="24"/>
      <c r="D2079" s="312"/>
      <c r="E2079" s="312"/>
      <c r="G2079" s="47"/>
      <c r="H2079" s="24"/>
      <c r="I2079" s="312"/>
      <c r="J2079" s="312"/>
      <c r="L2079" s="47"/>
      <c r="M2079" s="24"/>
      <c r="N2079" s="312"/>
      <c r="O2079" s="312"/>
      <c r="Q2079" s="47"/>
      <c r="R2079" s="136" t="s">
        <v>3313</v>
      </c>
      <c r="S2079" s="25" t="s">
        <v>2211</v>
      </c>
      <c r="T2079" s="155">
        <v>9069432</v>
      </c>
      <c r="U2079" s="155">
        <v>0</v>
      </c>
    </row>
    <row r="2080" spans="2:21" x14ac:dyDescent="0.3">
      <c r="B2080" s="47"/>
      <c r="C2080" s="24"/>
      <c r="D2080" s="312"/>
      <c r="E2080" s="312"/>
      <c r="G2080" s="47"/>
      <c r="H2080" s="24"/>
      <c r="I2080" s="312"/>
      <c r="J2080" s="312"/>
      <c r="L2080" s="47"/>
      <c r="M2080" s="24"/>
      <c r="N2080" s="312"/>
      <c r="O2080" s="312"/>
      <c r="Q2080" s="47"/>
      <c r="R2080" s="136" t="s">
        <v>2212</v>
      </c>
      <c r="S2080" s="25" t="s">
        <v>2213</v>
      </c>
      <c r="T2080" s="155">
        <v>6703469</v>
      </c>
      <c r="U2080" s="155">
        <v>0</v>
      </c>
    </row>
    <row r="2081" spans="2:21" x14ac:dyDescent="0.3">
      <c r="B2081" s="47"/>
      <c r="C2081" s="24"/>
      <c r="D2081" s="312"/>
      <c r="E2081" s="312"/>
      <c r="G2081" s="47"/>
      <c r="H2081" s="24"/>
      <c r="I2081" s="312"/>
      <c r="J2081" s="312"/>
      <c r="L2081" s="47"/>
      <c r="M2081" s="24"/>
      <c r="N2081" s="312"/>
      <c r="O2081" s="312"/>
      <c r="Q2081" s="47"/>
      <c r="R2081" s="136" t="s">
        <v>2214</v>
      </c>
      <c r="S2081" s="25" t="s">
        <v>2215</v>
      </c>
      <c r="T2081" s="155">
        <v>13298505</v>
      </c>
      <c r="U2081" s="155">
        <v>0</v>
      </c>
    </row>
    <row r="2082" spans="2:21" x14ac:dyDescent="0.3">
      <c r="B2082" s="47"/>
      <c r="C2082" s="24"/>
      <c r="D2082" s="312"/>
      <c r="E2082" s="312"/>
      <c r="G2082" s="47"/>
      <c r="H2082" s="24"/>
      <c r="I2082" s="312"/>
      <c r="J2082" s="312"/>
      <c r="L2082" s="47"/>
      <c r="M2082" s="24"/>
      <c r="N2082" s="312"/>
      <c r="O2082" s="312"/>
      <c r="Q2082" s="47"/>
      <c r="R2082" s="136" t="s">
        <v>1985</v>
      </c>
      <c r="S2082" s="25" t="s">
        <v>2197</v>
      </c>
      <c r="T2082" s="155">
        <v>8227000</v>
      </c>
      <c r="U2082" s="155">
        <v>0</v>
      </c>
    </row>
    <row r="2083" spans="2:21" x14ac:dyDescent="0.3">
      <c r="B2083" s="47"/>
      <c r="C2083" s="24"/>
      <c r="D2083" s="312"/>
      <c r="E2083" s="312"/>
      <c r="G2083" s="47"/>
      <c r="H2083" s="24"/>
      <c r="I2083" s="312"/>
      <c r="J2083" s="312"/>
      <c r="L2083" s="47"/>
      <c r="M2083" s="24"/>
      <c r="N2083" s="312"/>
      <c r="O2083" s="312"/>
      <c r="Q2083" s="47"/>
      <c r="R2083" s="136" t="s">
        <v>1986</v>
      </c>
      <c r="S2083" s="25" t="s">
        <v>2198</v>
      </c>
      <c r="T2083" s="155">
        <v>1500000</v>
      </c>
      <c r="U2083" s="155">
        <v>0</v>
      </c>
    </row>
    <row r="2084" spans="2:21" x14ac:dyDescent="0.3">
      <c r="B2084" s="47"/>
      <c r="C2084" s="24"/>
      <c r="D2084" s="312"/>
      <c r="E2084" s="312"/>
      <c r="G2084" s="47"/>
      <c r="H2084" s="24"/>
      <c r="I2084" s="312"/>
      <c r="J2084" s="312"/>
      <c r="L2084" s="47"/>
      <c r="M2084" s="24"/>
      <c r="N2084" s="312"/>
      <c r="O2084" s="312"/>
      <c r="Q2084" s="47"/>
      <c r="R2084" s="136" t="s">
        <v>1895</v>
      </c>
      <c r="S2084" s="25" t="s">
        <v>2174</v>
      </c>
      <c r="T2084" s="155">
        <v>9079527</v>
      </c>
      <c r="U2084" s="155">
        <v>0</v>
      </c>
    </row>
    <row r="2085" spans="2:21" x14ac:dyDescent="0.3">
      <c r="B2085" s="47"/>
      <c r="C2085" s="24"/>
      <c r="D2085" s="312"/>
      <c r="E2085" s="312"/>
      <c r="G2085" s="47"/>
      <c r="H2085" s="24"/>
      <c r="I2085" s="312"/>
      <c r="J2085" s="312"/>
      <c r="L2085" s="47"/>
      <c r="M2085" s="24"/>
      <c r="N2085" s="312"/>
      <c r="O2085" s="312"/>
      <c r="Q2085" s="47"/>
      <c r="R2085" s="136" t="s">
        <v>2177</v>
      </c>
      <c r="S2085" s="25" t="s">
        <v>2341</v>
      </c>
      <c r="T2085" s="155">
        <v>20671018</v>
      </c>
      <c r="U2085" s="155">
        <v>0</v>
      </c>
    </row>
    <row r="2086" spans="2:21" x14ac:dyDescent="0.3">
      <c r="B2086" s="47"/>
      <c r="C2086" s="24"/>
      <c r="D2086" s="312"/>
      <c r="E2086" s="312"/>
      <c r="G2086" s="47"/>
      <c r="H2086" s="24"/>
      <c r="I2086" s="312"/>
      <c r="J2086" s="312"/>
      <c r="L2086" s="47"/>
      <c r="M2086" s="24"/>
      <c r="N2086" s="312"/>
      <c r="O2086" s="312"/>
      <c r="Q2086" s="47"/>
      <c r="R2086" s="136" t="s">
        <v>2183</v>
      </c>
      <c r="S2086" s="25" t="s">
        <v>2182</v>
      </c>
      <c r="T2086" s="155">
        <v>16144040</v>
      </c>
      <c r="U2086" s="155">
        <v>0</v>
      </c>
    </row>
    <row r="2087" spans="2:21" x14ac:dyDescent="0.3">
      <c r="B2087" s="47"/>
      <c r="C2087" s="24"/>
      <c r="D2087" s="312"/>
      <c r="E2087" s="312"/>
      <c r="G2087" s="47"/>
      <c r="H2087" s="24"/>
      <c r="I2087" s="312"/>
      <c r="J2087" s="312"/>
      <c r="L2087" s="47"/>
      <c r="M2087" s="24"/>
      <c r="N2087" s="312"/>
      <c r="O2087" s="312"/>
      <c r="Q2087" s="47"/>
      <c r="R2087" s="136" t="s">
        <v>2185</v>
      </c>
      <c r="S2087" s="25" t="s">
        <v>2184</v>
      </c>
      <c r="T2087" s="155">
        <v>19476591</v>
      </c>
      <c r="U2087" s="155">
        <v>0</v>
      </c>
    </row>
    <row r="2088" spans="2:21" x14ac:dyDescent="0.3">
      <c r="B2088" s="47"/>
      <c r="C2088" s="24"/>
      <c r="D2088" s="312"/>
      <c r="E2088" s="312"/>
      <c r="G2088" s="47"/>
      <c r="H2088" s="24"/>
      <c r="I2088" s="312"/>
      <c r="J2088" s="312"/>
      <c r="L2088" s="47"/>
      <c r="M2088" s="24"/>
      <c r="N2088" s="312"/>
      <c r="O2088" s="312"/>
      <c r="Q2088" s="47"/>
      <c r="R2088" s="136" t="s">
        <v>2187</v>
      </c>
      <c r="S2088" s="25" t="s">
        <v>2186</v>
      </c>
      <c r="T2088" s="155">
        <v>30746308</v>
      </c>
      <c r="U2088" s="155">
        <v>0</v>
      </c>
    </row>
    <row r="2089" spans="2:21" x14ac:dyDescent="0.3">
      <c r="B2089" s="47"/>
      <c r="C2089" s="24"/>
      <c r="D2089" s="312"/>
      <c r="E2089" s="312"/>
      <c r="G2089" s="47"/>
      <c r="H2089" s="24"/>
      <c r="I2089" s="312"/>
      <c r="J2089" s="312"/>
      <c r="L2089" s="47"/>
      <c r="M2089" s="24"/>
      <c r="N2089" s="312"/>
      <c r="O2089" s="312"/>
      <c r="Q2089" s="47"/>
      <c r="R2089" s="136" t="s">
        <v>2342</v>
      </c>
      <c r="S2089" s="25" t="s">
        <v>2188</v>
      </c>
      <c r="T2089" s="155">
        <v>6905250</v>
      </c>
      <c r="U2089" s="155">
        <v>0</v>
      </c>
    </row>
    <row r="2090" spans="2:21" x14ac:dyDescent="0.3">
      <c r="B2090" s="47"/>
      <c r="C2090" s="24"/>
      <c r="D2090" s="312"/>
      <c r="E2090" s="312"/>
      <c r="G2090" s="47"/>
      <c r="H2090" s="24"/>
      <c r="I2090" s="312"/>
      <c r="J2090" s="312"/>
      <c r="L2090" s="47"/>
      <c r="M2090" s="24"/>
      <c r="N2090" s="312"/>
      <c r="O2090" s="312"/>
      <c r="Q2090" s="47"/>
      <c r="R2090" s="136" t="s">
        <v>2342</v>
      </c>
      <c r="S2090" s="25" t="s">
        <v>2188</v>
      </c>
      <c r="T2090" s="155">
        <v>6031080</v>
      </c>
      <c r="U2090" s="155">
        <v>0</v>
      </c>
    </row>
    <row r="2091" spans="2:21" x14ac:dyDescent="0.3">
      <c r="B2091" s="47"/>
      <c r="C2091" s="24"/>
      <c r="D2091" s="312"/>
      <c r="E2091" s="312"/>
      <c r="G2091" s="47"/>
      <c r="H2091" s="24"/>
      <c r="I2091" s="312"/>
      <c r="J2091" s="312"/>
      <c r="L2091" s="47"/>
      <c r="M2091" s="24"/>
      <c r="N2091" s="312"/>
      <c r="O2091" s="312"/>
      <c r="Q2091" s="47"/>
      <c r="R2091" s="136" t="s">
        <v>2190</v>
      </c>
      <c r="S2091" s="25" t="s">
        <v>2189</v>
      </c>
      <c r="T2091" s="155">
        <v>9419410</v>
      </c>
      <c r="U2091" s="155">
        <v>0</v>
      </c>
    </row>
    <row r="2092" spans="2:21" x14ac:dyDescent="0.3">
      <c r="B2092" s="47"/>
      <c r="C2092" s="24"/>
      <c r="D2092" s="312"/>
      <c r="E2092" s="312"/>
      <c r="G2092" s="47"/>
      <c r="H2092" s="24"/>
      <c r="I2092" s="312"/>
      <c r="J2092" s="312"/>
      <c r="L2092" s="47"/>
      <c r="M2092" s="24"/>
      <c r="N2092" s="312"/>
      <c r="O2092" s="312"/>
      <c r="Q2092" s="47"/>
      <c r="R2092" s="136" t="s">
        <v>2192</v>
      </c>
      <c r="S2092" s="25" t="s">
        <v>2191</v>
      </c>
      <c r="T2092" s="155">
        <v>4098530</v>
      </c>
      <c r="U2092" s="155">
        <v>0</v>
      </c>
    </row>
    <row r="2093" spans="2:21" x14ac:dyDescent="0.3">
      <c r="B2093" s="47"/>
      <c r="C2093" s="24"/>
      <c r="D2093" s="312"/>
      <c r="E2093" s="312"/>
      <c r="G2093" s="47"/>
      <c r="H2093" s="24"/>
      <c r="I2093" s="312"/>
      <c r="J2093" s="312"/>
      <c r="L2093" s="47"/>
      <c r="M2093" s="24"/>
      <c r="N2093" s="312"/>
      <c r="O2093" s="312"/>
      <c r="Q2093" s="47"/>
      <c r="R2093" s="136" t="s">
        <v>1896</v>
      </c>
      <c r="S2093" s="25" t="s">
        <v>2193</v>
      </c>
      <c r="T2093" s="155">
        <v>5367288</v>
      </c>
      <c r="U2093" s="155">
        <v>0</v>
      </c>
    </row>
    <row r="2094" spans="2:21" x14ac:dyDescent="0.3">
      <c r="B2094" s="47"/>
      <c r="C2094" s="24"/>
      <c r="D2094" s="312"/>
      <c r="E2094" s="312"/>
      <c r="G2094" s="47"/>
      <c r="H2094" s="24"/>
      <c r="I2094" s="312"/>
      <c r="J2094" s="312"/>
      <c r="L2094" s="47"/>
      <c r="M2094" s="24"/>
      <c r="N2094" s="312"/>
      <c r="O2094" s="312"/>
      <c r="Q2094" s="47"/>
      <c r="R2094" s="136" t="s">
        <v>3291</v>
      </c>
      <c r="S2094" s="25" t="s">
        <v>2171</v>
      </c>
      <c r="T2094" s="155">
        <v>7330254</v>
      </c>
      <c r="U2094" s="155">
        <v>0</v>
      </c>
    </row>
    <row r="2095" spans="2:21" x14ac:dyDescent="0.3">
      <c r="B2095" s="47"/>
      <c r="C2095" s="24"/>
      <c r="D2095" s="312"/>
      <c r="E2095" s="312"/>
      <c r="G2095" s="47"/>
      <c r="H2095" s="24"/>
      <c r="I2095" s="312"/>
      <c r="J2095" s="312"/>
      <c r="L2095" s="47"/>
      <c r="M2095" s="24"/>
      <c r="N2095" s="312"/>
      <c r="O2095" s="312"/>
      <c r="Q2095" s="47"/>
      <c r="R2095" s="136" t="s">
        <v>1898</v>
      </c>
      <c r="S2095" s="25" t="s">
        <v>2218</v>
      </c>
      <c r="T2095" s="155">
        <v>6174828</v>
      </c>
      <c r="U2095" s="155">
        <v>0</v>
      </c>
    </row>
    <row r="2096" spans="2:21" x14ac:dyDescent="0.3">
      <c r="B2096" s="47"/>
      <c r="C2096" s="24"/>
      <c r="D2096" s="312"/>
      <c r="E2096" s="312"/>
      <c r="G2096" s="47"/>
      <c r="H2096" s="24"/>
      <c r="I2096" s="312"/>
      <c r="J2096" s="312"/>
      <c r="L2096" s="47"/>
      <c r="M2096" s="24"/>
      <c r="N2096" s="312"/>
      <c r="O2096" s="312"/>
      <c r="Q2096" s="47"/>
      <c r="R2096" s="136" t="s">
        <v>2219</v>
      </c>
      <c r="S2096" s="25" t="s">
        <v>2220</v>
      </c>
      <c r="T2096" s="155">
        <v>6296641</v>
      </c>
      <c r="U2096" s="155">
        <v>0</v>
      </c>
    </row>
    <row r="2097" spans="2:21" x14ac:dyDescent="0.3">
      <c r="B2097" s="47"/>
      <c r="C2097" s="24"/>
      <c r="D2097" s="312"/>
      <c r="E2097" s="312"/>
      <c r="G2097" s="47"/>
      <c r="H2097" s="24"/>
      <c r="I2097" s="312"/>
      <c r="J2097" s="312"/>
      <c r="L2097" s="47"/>
      <c r="M2097" s="24"/>
      <c r="N2097" s="312"/>
      <c r="O2097" s="312"/>
      <c r="Q2097" s="47"/>
      <c r="R2097" s="136" t="s">
        <v>2221</v>
      </c>
      <c r="S2097" s="25" t="s">
        <v>2222</v>
      </c>
      <c r="T2097" s="155">
        <v>3668105</v>
      </c>
      <c r="U2097" s="155">
        <v>0</v>
      </c>
    </row>
    <row r="2098" spans="2:21" x14ac:dyDescent="0.3">
      <c r="B2098" s="47"/>
      <c r="C2098" s="24"/>
      <c r="D2098" s="312"/>
      <c r="E2098" s="312"/>
      <c r="G2098" s="47"/>
      <c r="H2098" s="24"/>
      <c r="I2098" s="312"/>
      <c r="J2098" s="312"/>
      <c r="L2098" s="47"/>
      <c r="M2098" s="24"/>
      <c r="N2098" s="312"/>
      <c r="O2098" s="312"/>
      <c r="Q2098" s="47"/>
      <c r="R2098" s="136" t="s">
        <v>2223</v>
      </c>
      <c r="S2098" s="25" t="s">
        <v>2224</v>
      </c>
      <c r="T2098" s="155">
        <v>4429452</v>
      </c>
      <c r="U2098" s="155">
        <v>0</v>
      </c>
    </row>
    <row r="2099" spans="2:21" x14ac:dyDescent="0.3">
      <c r="B2099" s="47"/>
      <c r="C2099" s="24"/>
      <c r="D2099" s="312"/>
      <c r="E2099" s="312"/>
      <c r="G2099" s="47"/>
      <c r="H2099" s="24"/>
      <c r="I2099" s="312"/>
      <c r="J2099" s="312"/>
      <c r="L2099" s="47"/>
      <c r="M2099" s="24"/>
      <c r="N2099" s="312"/>
      <c r="O2099" s="312"/>
      <c r="Q2099" s="47"/>
      <c r="R2099" s="136" t="s">
        <v>2226</v>
      </c>
      <c r="S2099" s="25" t="s">
        <v>2227</v>
      </c>
      <c r="T2099" s="155">
        <v>1433700</v>
      </c>
      <c r="U2099" s="155">
        <v>0</v>
      </c>
    </row>
    <row r="2100" spans="2:21" x14ac:dyDescent="0.3">
      <c r="B2100" s="47"/>
      <c r="C2100" s="24"/>
      <c r="D2100" s="312"/>
      <c r="E2100" s="312"/>
      <c r="G2100" s="47"/>
      <c r="H2100" s="24"/>
      <c r="I2100" s="312"/>
      <c r="J2100" s="312"/>
      <c r="L2100" s="47"/>
      <c r="M2100" s="24"/>
      <c r="N2100" s="312"/>
      <c r="O2100" s="312"/>
      <c r="Q2100" s="241">
        <v>80020002</v>
      </c>
      <c r="R2100" s="242"/>
      <c r="S2100" s="246" t="s">
        <v>1079</v>
      </c>
      <c r="T2100" s="240">
        <v>0</v>
      </c>
      <c r="U2100" s="240">
        <v>0</v>
      </c>
    </row>
    <row r="2101" spans="2:21" x14ac:dyDescent="0.3">
      <c r="B2101" s="47"/>
      <c r="C2101" s="24"/>
      <c r="D2101" s="312"/>
      <c r="E2101" s="312"/>
      <c r="G2101" s="47"/>
      <c r="H2101" s="24"/>
      <c r="I2101" s="312"/>
      <c r="J2101" s="312"/>
      <c r="L2101" s="47"/>
      <c r="M2101" s="24"/>
      <c r="N2101" s="312"/>
      <c r="O2101" s="312"/>
      <c r="Q2101" s="241">
        <v>80020003</v>
      </c>
      <c r="R2101" s="242"/>
      <c r="S2101" s="246" t="s">
        <v>1080</v>
      </c>
      <c r="T2101" s="240">
        <v>0</v>
      </c>
      <c r="U2101" s="240">
        <v>0</v>
      </c>
    </row>
    <row r="2102" spans="2:21" x14ac:dyDescent="0.3">
      <c r="B2102" s="47"/>
      <c r="C2102" s="24"/>
      <c r="D2102" s="312"/>
      <c r="E2102" s="312"/>
      <c r="G2102" s="47"/>
      <c r="H2102" s="24"/>
      <c r="I2102" s="312"/>
      <c r="J2102" s="312"/>
      <c r="L2102" s="47"/>
      <c r="M2102" s="24"/>
      <c r="N2102" s="312"/>
      <c r="O2102" s="312"/>
      <c r="Q2102" s="241">
        <v>80020004</v>
      </c>
      <c r="R2102" s="242"/>
      <c r="S2102" s="246" t="s">
        <v>1082</v>
      </c>
      <c r="T2102" s="239">
        <f>SUM(T2103:T2113)-SUM(U2103:U2113)</f>
        <v>3363988</v>
      </c>
      <c r="U2102" s="240">
        <v>0</v>
      </c>
    </row>
    <row r="2103" spans="2:21" x14ac:dyDescent="0.3">
      <c r="B2103" s="47"/>
      <c r="C2103" s="24"/>
      <c r="D2103" s="312"/>
      <c r="E2103" s="312"/>
      <c r="G2103" s="47"/>
      <c r="H2103" s="24"/>
      <c r="I2103" s="312"/>
      <c r="J2103" s="312"/>
      <c r="L2103" s="47"/>
      <c r="M2103" s="24"/>
      <c r="N2103" s="312"/>
      <c r="O2103" s="312"/>
      <c r="Q2103" s="47"/>
      <c r="R2103" s="136" t="s">
        <v>1931</v>
      </c>
      <c r="S2103" s="25" t="s">
        <v>1932</v>
      </c>
      <c r="T2103" s="155">
        <v>236907</v>
      </c>
      <c r="U2103" s="155">
        <v>0</v>
      </c>
    </row>
    <row r="2104" spans="2:21" x14ac:dyDescent="0.3">
      <c r="B2104" s="47"/>
      <c r="C2104" s="24"/>
      <c r="D2104" s="312"/>
      <c r="E2104" s="312"/>
      <c r="G2104" s="47"/>
      <c r="H2104" s="24"/>
      <c r="I2104" s="312"/>
      <c r="J2104" s="312"/>
      <c r="L2104" s="47"/>
      <c r="M2104" s="24"/>
      <c r="N2104" s="312"/>
      <c r="O2104" s="312"/>
      <c r="Q2104" s="47"/>
      <c r="R2104" s="136" t="s">
        <v>1933</v>
      </c>
      <c r="S2104" s="25" t="s">
        <v>2195</v>
      </c>
      <c r="T2104" s="155">
        <v>36750</v>
      </c>
      <c r="U2104" s="155">
        <v>0</v>
      </c>
    </row>
    <row r="2105" spans="2:21" x14ac:dyDescent="0.3">
      <c r="B2105" s="47"/>
      <c r="C2105" s="24"/>
      <c r="D2105" s="312"/>
      <c r="E2105" s="312"/>
      <c r="G2105" s="47"/>
      <c r="H2105" s="24"/>
      <c r="I2105" s="312"/>
      <c r="J2105" s="312"/>
      <c r="L2105" s="47"/>
      <c r="M2105" s="24"/>
      <c r="N2105" s="312"/>
      <c r="O2105" s="312"/>
      <c r="Q2105" s="47"/>
      <c r="R2105" s="136" t="s">
        <v>2156</v>
      </c>
      <c r="S2105" s="25" t="s">
        <v>2157</v>
      </c>
      <c r="T2105" s="155">
        <v>215235</v>
      </c>
      <c r="U2105" s="155">
        <v>0</v>
      </c>
    </row>
    <row r="2106" spans="2:21" x14ac:dyDescent="0.3">
      <c r="B2106" s="47"/>
      <c r="C2106" s="24"/>
      <c r="D2106" s="312"/>
      <c r="E2106" s="312"/>
      <c r="G2106" s="47"/>
      <c r="H2106" s="24"/>
      <c r="I2106" s="312"/>
      <c r="J2106" s="312"/>
      <c r="L2106" s="47"/>
      <c r="M2106" s="24"/>
      <c r="N2106" s="312"/>
      <c r="O2106" s="312"/>
      <c r="Q2106" s="47"/>
      <c r="R2106" s="136" t="s">
        <v>2199</v>
      </c>
      <c r="S2106" s="25" t="s">
        <v>2200</v>
      </c>
      <c r="T2106" s="155">
        <v>570132</v>
      </c>
      <c r="U2106" s="155">
        <v>0</v>
      </c>
    </row>
    <row r="2107" spans="2:21" x14ac:dyDescent="0.3">
      <c r="B2107" s="47"/>
      <c r="C2107" s="24"/>
      <c r="D2107" s="312"/>
      <c r="E2107" s="312"/>
      <c r="G2107" s="47"/>
      <c r="H2107" s="24"/>
      <c r="I2107" s="312"/>
      <c r="J2107" s="312"/>
      <c r="L2107" s="47"/>
      <c r="M2107" s="24"/>
      <c r="N2107" s="312"/>
      <c r="O2107" s="312"/>
      <c r="Q2107" s="47"/>
      <c r="R2107" s="136" t="s">
        <v>2201</v>
      </c>
      <c r="S2107" s="25" t="s">
        <v>2202</v>
      </c>
      <c r="T2107" s="155">
        <v>200358</v>
      </c>
      <c r="U2107" s="155">
        <v>0</v>
      </c>
    </row>
    <row r="2108" spans="2:21" x14ac:dyDescent="0.3">
      <c r="B2108" s="47"/>
      <c r="C2108" s="24"/>
      <c r="D2108" s="312"/>
      <c r="E2108" s="312"/>
      <c r="G2108" s="47"/>
      <c r="H2108" s="24"/>
      <c r="I2108" s="312"/>
      <c r="J2108" s="312"/>
      <c r="L2108" s="47"/>
      <c r="M2108" s="24"/>
      <c r="N2108" s="312"/>
      <c r="O2108" s="312"/>
      <c r="Q2108" s="47"/>
      <c r="R2108" s="136" t="s">
        <v>2340</v>
      </c>
      <c r="S2108" s="25" t="s">
        <v>2159</v>
      </c>
      <c r="T2108" s="155">
        <v>656680</v>
      </c>
      <c r="U2108" s="155">
        <v>0</v>
      </c>
    </row>
    <row r="2109" spans="2:21" x14ac:dyDescent="0.3">
      <c r="B2109" s="47"/>
      <c r="C2109" s="24"/>
      <c r="D2109" s="312"/>
      <c r="E2109" s="312"/>
      <c r="G2109" s="47"/>
      <c r="H2109" s="24"/>
      <c r="I2109" s="312"/>
      <c r="J2109" s="312"/>
      <c r="L2109" s="47"/>
      <c r="M2109" s="24"/>
      <c r="N2109" s="312"/>
      <c r="O2109" s="312"/>
      <c r="Q2109" s="47"/>
      <c r="R2109" s="136" t="s">
        <v>3313</v>
      </c>
      <c r="S2109" s="25" t="s">
        <v>2211</v>
      </c>
      <c r="T2109" s="155">
        <v>272080</v>
      </c>
      <c r="U2109" s="155">
        <v>0</v>
      </c>
    </row>
    <row r="2110" spans="2:21" x14ac:dyDescent="0.3">
      <c r="B2110" s="47"/>
      <c r="C2110" s="24"/>
      <c r="D2110" s="312"/>
      <c r="E2110" s="312"/>
      <c r="G2110" s="47"/>
      <c r="H2110" s="24"/>
      <c r="I2110" s="312"/>
      <c r="J2110" s="312"/>
      <c r="L2110" s="47"/>
      <c r="M2110" s="24"/>
      <c r="N2110" s="312"/>
      <c r="O2110" s="312"/>
      <c r="Q2110" s="47"/>
      <c r="R2110" s="136" t="s">
        <v>1895</v>
      </c>
      <c r="S2110" s="25" t="s">
        <v>2174</v>
      </c>
      <c r="T2110" s="155">
        <v>272388</v>
      </c>
      <c r="U2110" s="155">
        <v>0</v>
      </c>
    </row>
    <row r="2111" spans="2:21" x14ac:dyDescent="0.3">
      <c r="B2111" s="47"/>
      <c r="C2111" s="24"/>
      <c r="D2111" s="312"/>
      <c r="E2111" s="312"/>
      <c r="G2111" s="47"/>
      <c r="H2111" s="24"/>
      <c r="I2111" s="312"/>
      <c r="J2111" s="312"/>
      <c r="L2111" s="47"/>
      <c r="M2111" s="24"/>
      <c r="N2111" s="312"/>
      <c r="O2111" s="312"/>
      <c r="Q2111" s="47"/>
      <c r="R2111" s="136" t="s">
        <v>2177</v>
      </c>
      <c r="S2111" s="25" t="s">
        <v>2341</v>
      </c>
      <c r="T2111" s="155">
        <v>585461</v>
      </c>
      <c r="U2111" s="155">
        <v>0</v>
      </c>
    </row>
    <row r="2112" spans="2:21" x14ac:dyDescent="0.3">
      <c r="B2112" s="47"/>
      <c r="C2112" s="24"/>
      <c r="D2112" s="312"/>
      <c r="E2112" s="312"/>
      <c r="G2112" s="47"/>
      <c r="H2112" s="24"/>
      <c r="I2112" s="312"/>
      <c r="J2112" s="312"/>
      <c r="L2112" s="47"/>
      <c r="M2112" s="24"/>
      <c r="N2112" s="312"/>
      <c r="O2112" s="312"/>
      <c r="Q2112" s="47"/>
      <c r="R2112" s="136" t="s">
        <v>3291</v>
      </c>
      <c r="S2112" s="25" t="s">
        <v>2171</v>
      </c>
      <c r="T2112" s="155">
        <v>132750</v>
      </c>
      <c r="U2112" s="155">
        <v>0</v>
      </c>
    </row>
    <row r="2113" spans="2:21" x14ac:dyDescent="0.3">
      <c r="B2113" s="47"/>
      <c r="C2113" s="24"/>
      <c r="D2113" s="312"/>
      <c r="E2113" s="312"/>
      <c r="G2113" s="47"/>
      <c r="H2113" s="24"/>
      <c r="I2113" s="312"/>
      <c r="J2113" s="312"/>
      <c r="L2113" s="47"/>
      <c r="M2113" s="24"/>
      <c r="N2113" s="312"/>
      <c r="O2113" s="312"/>
      <c r="Q2113" s="47"/>
      <c r="R2113" s="136" t="s">
        <v>1898</v>
      </c>
      <c r="S2113" s="25" t="s">
        <v>2218</v>
      </c>
      <c r="T2113" s="155">
        <v>185247</v>
      </c>
      <c r="U2113" s="155">
        <v>0</v>
      </c>
    </row>
    <row r="2114" spans="2:21" x14ac:dyDescent="0.3">
      <c r="B2114" s="47"/>
      <c r="C2114" s="24"/>
      <c r="D2114" s="312"/>
      <c r="E2114" s="312"/>
      <c r="G2114" s="47"/>
      <c r="H2114" s="24"/>
      <c r="I2114" s="312"/>
      <c r="J2114" s="312"/>
      <c r="L2114" s="47"/>
      <c r="M2114" s="24"/>
      <c r="N2114" s="312"/>
      <c r="O2114" s="312"/>
      <c r="Q2114" s="47"/>
      <c r="R2114" s="136"/>
      <c r="S2114" s="24"/>
      <c r="T2114" s="155"/>
      <c r="U2114" s="155"/>
    </row>
    <row r="2115" spans="2:21" x14ac:dyDescent="0.3">
      <c r="B2115" s="47"/>
      <c r="C2115" s="24"/>
      <c r="D2115" s="312"/>
      <c r="E2115" s="312"/>
      <c r="G2115" s="47"/>
      <c r="H2115" s="24"/>
      <c r="I2115" s="312"/>
      <c r="J2115" s="312"/>
      <c r="K2115">
        <v>8003</v>
      </c>
      <c r="L2115" s="241">
        <v>8003</v>
      </c>
      <c r="M2115" s="243" t="s">
        <v>908</v>
      </c>
      <c r="N2115" s="314">
        <f>T2115+T2152+T2187+T2223</f>
        <v>4625429</v>
      </c>
      <c r="O2115" s="314">
        <v>0</v>
      </c>
      <c r="Q2115" s="241">
        <v>80030001</v>
      </c>
      <c r="R2115" s="242"/>
      <c r="S2115" s="246" t="s">
        <v>1083</v>
      </c>
      <c r="T2115" s="239">
        <f>SUM(T2116:T2151)-SUM(U2116:U2151)</f>
        <v>467158</v>
      </c>
      <c r="U2115" s="240">
        <v>0</v>
      </c>
    </row>
    <row r="2116" spans="2:21" x14ac:dyDescent="0.3">
      <c r="B2116" s="47"/>
      <c r="C2116" s="24"/>
      <c r="D2116" s="312"/>
      <c r="E2116" s="312"/>
      <c r="G2116" s="47"/>
      <c r="H2116" s="24"/>
      <c r="I2116" s="312"/>
      <c r="J2116" s="312"/>
      <c r="L2116" s="47"/>
      <c r="M2116" s="24"/>
      <c r="N2116" s="312"/>
      <c r="O2116" s="312"/>
      <c r="Q2116" s="47"/>
      <c r="R2116" s="136" t="s">
        <v>1931</v>
      </c>
      <c r="S2116" s="25" t="s">
        <v>1932</v>
      </c>
      <c r="T2116" s="155">
        <v>2000</v>
      </c>
      <c r="U2116" s="155">
        <v>0</v>
      </c>
    </row>
    <row r="2117" spans="2:21" x14ac:dyDescent="0.3">
      <c r="B2117" s="47"/>
      <c r="C2117" s="24"/>
      <c r="D2117" s="312"/>
      <c r="E2117" s="312"/>
      <c r="G2117" s="47"/>
      <c r="H2117" s="24"/>
      <c r="I2117" s="312"/>
      <c r="J2117" s="312"/>
      <c r="L2117" s="47"/>
      <c r="M2117" s="24"/>
      <c r="N2117" s="312"/>
      <c r="O2117" s="312"/>
      <c r="Q2117" s="47"/>
      <c r="R2117" s="136" t="s">
        <v>1934</v>
      </c>
      <c r="S2117" s="25" t="s">
        <v>2196</v>
      </c>
      <c r="T2117" s="155">
        <v>1031</v>
      </c>
      <c r="U2117" s="155">
        <v>0</v>
      </c>
    </row>
    <row r="2118" spans="2:21" x14ac:dyDescent="0.3">
      <c r="B2118" s="47"/>
      <c r="C2118" s="24"/>
      <c r="D2118" s="312"/>
      <c r="E2118" s="312"/>
      <c r="G2118" s="47"/>
      <c r="H2118" s="24"/>
      <c r="I2118" s="312"/>
      <c r="J2118" s="312"/>
      <c r="L2118" s="47"/>
      <c r="M2118" s="24"/>
      <c r="N2118" s="312"/>
      <c r="O2118" s="312"/>
      <c r="Q2118" s="47"/>
      <c r="R2118" s="136" t="s">
        <v>2156</v>
      </c>
      <c r="S2118" s="25" t="s">
        <v>2157</v>
      </c>
      <c r="T2118" s="155">
        <v>23466</v>
      </c>
      <c r="U2118" s="155">
        <v>0</v>
      </c>
    </row>
    <row r="2119" spans="2:21" x14ac:dyDescent="0.3">
      <c r="B2119" s="47"/>
      <c r="C2119" s="24"/>
      <c r="D2119" s="312"/>
      <c r="E2119" s="312"/>
      <c r="G2119" s="47"/>
      <c r="H2119" s="24"/>
      <c r="I2119" s="312"/>
      <c r="J2119" s="312"/>
      <c r="L2119" s="47"/>
      <c r="M2119" s="24"/>
      <c r="N2119" s="312"/>
      <c r="O2119" s="312"/>
      <c r="Q2119" s="47"/>
      <c r="R2119" s="136" t="s">
        <v>2199</v>
      </c>
      <c r="S2119" s="25" t="s">
        <v>2200</v>
      </c>
      <c r="T2119" s="155">
        <v>29961</v>
      </c>
      <c r="U2119" s="155">
        <v>0</v>
      </c>
    </row>
    <row r="2120" spans="2:21" x14ac:dyDescent="0.3">
      <c r="B2120" s="47"/>
      <c r="C2120" s="24"/>
      <c r="D2120" s="312"/>
      <c r="E2120" s="312"/>
      <c r="G2120" s="47"/>
      <c r="H2120" s="24"/>
      <c r="I2120" s="312"/>
      <c r="J2120" s="312"/>
      <c r="L2120" s="47"/>
      <c r="M2120" s="24"/>
      <c r="N2120" s="312"/>
      <c r="O2120" s="312"/>
      <c r="Q2120" s="47"/>
      <c r="R2120" s="136" t="s">
        <v>2201</v>
      </c>
      <c r="S2120" s="25" t="s">
        <v>2202</v>
      </c>
      <c r="T2120" s="155">
        <v>6324</v>
      </c>
      <c r="U2120" s="155">
        <v>0</v>
      </c>
    </row>
    <row r="2121" spans="2:21" x14ac:dyDescent="0.3">
      <c r="B2121" s="47"/>
      <c r="C2121" s="24"/>
      <c r="D2121" s="312"/>
      <c r="E2121" s="312"/>
      <c r="G2121" s="47"/>
      <c r="H2121" s="24"/>
      <c r="I2121" s="312"/>
      <c r="J2121" s="312"/>
      <c r="L2121" s="47"/>
      <c r="M2121" s="24"/>
      <c r="N2121" s="312"/>
      <c r="O2121" s="312"/>
      <c r="Q2121" s="47"/>
      <c r="R2121" s="136" t="s">
        <v>2203</v>
      </c>
      <c r="S2121" s="25" t="s">
        <v>2204</v>
      </c>
      <c r="T2121" s="155">
        <v>10034</v>
      </c>
      <c r="U2121" s="155">
        <v>0</v>
      </c>
    </row>
    <row r="2122" spans="2:21" x14ac:dyDescent="0.3">
      <c r="B2122" s="47"/>
      <c r="C2122" s="24"/>
      <c r="D2122" s="312"/>
      <c r="E2122" s="312"/>
      <c r="G2122" s="47"/>
      <c r="H2122" s="24"/>
      <c r="I2122" s="312"/>
      <c r="J2122" s="312"/>
      <c r="L2122" s="47"/>
      <c r="M2122" s="24"/>
      <c r="N2122" s="312"/>
      <c r="O2122" s="312"/>
      <c r="Q2122" s="47"/>
      <c r="R2122" s="136" t="s">
        <v>2205</v>
      </c>
      <c r="S2122" s="25" t="s">
        <v>2206</v>
      </c>
      <c r="T2122" s="155">
        <v>9428</v>
      </c>
      <c r="U2122" s="155">
        <v>0</v>
      </c>
    </row>
    <row r="2123" spans="2:21" x14ac:dyDescent="0.3">
      <c r="B2123" s="47"/>
      <c r="C2123" s="24"/>
      <c r="D2123" s="312"/>
      <c r="E2123" s="312"/>
      <c r="G2123" s="47"/>
      <c r="H2123" s="24"/>
      <c r="I2123" s="312"/>
      <c r="J2123" s="312"/>
      <c r="L2123" s="47"/>
      <c r="M2123" s="24"/>
      <c r="N2123" s="312"/>
      <c r="O2123" s="312"/>
      <c r="Q2123" s="47"/>
      <c r="R2123" s="136" t="s">
        <v>2207</v>
      </c>
      <c r="S2123" s="25" t="s">
        <v>2208</v>
      </c>
      <c r="T2123" s="155">
        <v>8581</v>
      </c>
      <c r="U2123" s="155">
        <v>0</v>
      </c>
    </row>
    <row r="2124" spans="2:21" x14ac:dyDescent="0.3">
      <c r="B2124" s="47"/>
      <c r="C2124" s="24"/>
      <c r="D2124" s="312"/>
      <c r="E2124" s="312"/>
      <c r="G2124" s="47"/>
      <c r="H2124" s="24"/>
      <c r="I2124" s="312"/>
      <c r="J2124" s="312"/>
      <c r="L2124" s="47"/>
      <c r="M2124" s="24"/>
      <c r="N2124" s="312"/>
      <c r="O2124" s="312"/>
      <c r="Q2124" s="47"/>
      <c r="R2124" s="136" t="s">
        <v>2209</v>
      </c>
      <c r="S2124" s="25" t="s">
        <v>2210</v>
      </c>
      <c r="T2124" s="155">
        <v>30895</v>
      </c>
      <c r="U2124" s="155">
        <v>0</v>
      </c>
    </row>
    <row r="2125" spans="2:21" x14ac:dyDescent="0.3">
      <c r="B2125" s="47"/>
      <c r="C2125" s="24"/>
      <c r="D2125" s="312"/>
      <c r="E2125" s="312"/>
      <c r="G2125" s="47"/>
      <c r="H2125" s="24"/>
      <c r="I2125" s="312"/>
      <c r="J2125" s="312"/>
      <c r="L2125" s="47"/>
      <c r="M2125" s="24"/>
      <c r="N2125" s="312"/>
      <c r="O2125" s="312"/>
      <c r="Q2125" s="47"/>
      <c r="R2125" s="136" t="s">
        <v>2340</v>
      </c>
      <c r="S2125" s="25" t="s">
        <v>2159</v>
      </c>
      <c r="T2125" s="155">
        <v>42612</v>
      </c>
      <c r="U2125" s="155">
        <v>0</v>
      </c>
    </row>
    <row r="2126" spans="2:21" x14ac:dyDescent="0.3">
      <c r="B2126" s="47"/>
      <c r="C2126" s="24"/>
      <c r="D2126" s="312"/>
      <c r="E2126" s="312"/>
      <c r="G2126" s="47"/>
      <c r="H2126" s="24"/>
      <c r="I2126" s="312"/>
      <c r="J2126" s="312"/>
      <c r="L2126" s="47"/>
      <c r="M2126" s="24"/>
      <c r="N2126" s="312"/>
      <c r="O2126" s="312"/>
      <c r="Q2126" s="47"/>
      <c r="R2126" s="136" t="s">
        <v>2160</v>
      </c>
      <c r="S2126" s="25" t="s">
        <v>2161</v>
      </c>
      <c r="T2126" s="155">
        <v>11471</v>
      </c>
      <c r="U2126" s="155">
        <v>0</v>
      </c>
    </row>
    <row r="2127" spans="2:21" x14ac:dyDescent="0.3">
      <c r="B2127" s="47"/>
      <c r="C2127" s="24"/>
      <c r="D2127" s="312"/>
      <c r="E2127" s="312"/>
      <c r="G2127" s="47"/>
      <c r="H2127" s="24"/>
      <c r="I2127" s="312"/>
      <c r="J2127" s="312"/>
      <c r="L2127" s="47"/>
      <c r="M2127" s="24"/>
      <c r="N2127" s="312"/>
      <c r="O2127" s="312"/>
      <c r="Q2127" s="47"/>
      <c r="R2127" s="136" t="s">
        <v>2162</v>
      </c>
      <c r="S2127" s="25" t="s">
        <v>2163</v>
      </c>
      <c r="T2127" s="155">
        <v>5617</v>
      </c>
      <c r="U2127" s="155">
        <v>0</v>
      </c>
    </row>
    <row r="2128" spans="2:21" x14ac:dyDescent="0.3">
      <c r="B2128" s="47"/>
      <c r="C2128" s="24"/>
      <c r="D2128" s="312"/>
      <c r="E2128" s="312"/>
      <c r="G2128" s="47"/>
      <c r="H2128" s="24"/>
      <c r="I2128" s="312"/>
      <c r="J2128" s="312"/>
      <c r="L2128" s="47"/>
      <c r="M2128" s="24"/>
      <c r="N2128" s="312"/>
      <c r="O2128" s="312"/>
      <c r="Q2128" s="47"/>
      <c r="R2128" s="136" t="s">
        <v>2165</v>
      </c>
      <c r="S2128" s="25" t="s">
        <v>2166</v>
      </c>
      <c r="T2128" s="155">
        <v>11610</v>
      </c>
      <c r="U2128" s="155">
        <v>0</v>
      </c>
    </row>
    <row r="2129" spans="2:21" x14ac:dyDescent="0.3">
      <c r="B2129" s="47"/>
      <c r="C2129" s="24"/>
      <c r="D2129" s="312"/>
      <c r="E2129" s="312"/>
      <c r="G2129" s="47"/>
      <c r="H2129" s="24"/>
      <c r="I2129" s="312"/>
      <c r="J2129" s="312"/>
      <c r="L2129" s="47"/>
      <c r="M2129" s="24"/>
      <c r="N2129" s="312"/>
      <c r="O2129" s="312"/>
      <c r="Q2129" s="47"/>
      <c r="R2129" s="136" t="s">
        <v>2168</v>
      </c>
      <c r="S2129" s="25" t="s">
        <v>2169</v>
      </c>
      <c r="T2129" s="155">
        <v>11111</v>
      </c>
      <c r="U2129" s="155">
        <v>0</v>
      </c>
    </row>
    <row r="2130" spans="2:21" x14ac:dyDescent="0.3">
      <c r="B2130" s="47"/>
      <c r="C2130" s="24"/>
      <c r="D2130" s="312"/>
      <c r="E2130" s="312"/>
      <c r="G2130" s="47"/>
      <c r="H2130" s="24"/>
      <c r="I2130" s="312"/>
      <c r="J2130" s="312"/>
      <c r="L2130" s="47"/>
      <c r="M2130" s="24"/>
      <c r="N2130" s="312"/>
      <c r="O2130" s="312"/>
      <c r="Q2130" s="47"/>
      <c r="R2130" s="136" t="s">
        <v>2168</v>
      </c>
      <c r="S2130" s="25" t="s">
        <v>2169</v>
      </c>
      <c r="T2130" s="155">
        <v>2372</v>
      </c>
      <c r="U2130" s="155">
        <v>0</v>
      </c>
    </row>
    <row r="2131" spans="2:21" x14ac:dyDescent="0.3">
      <c r="B2131" s="47"/>
      <c r="C2131" s="24"/>
      <c r="D2131" s="312"/>
      <c r="E2131" s="312"/>
      <c r="G2131" s="47"/>
      <c r="H2131" s="24"/>
      <c r="I2131" s="312"/>
      <c r="J2131" s="312"/>
      <c r="L2131" s="47"/>
      <c r="M2131" s="24"/>
      <c r="N2131" s="312"/>
      <c r="O2131" s="312"/>
      <c r="Q2131" s="47"/>
      <c r="R2131" s="136" t="s">
        <v>3313</v>
      </c>
      <c r="S2131" s="25" t="s">
        <v>2211</v>
      </c>
      <c r="T2131" s="155">
        <v>31736</v>
      </c>
      <c r="U2131" s="155">
        <v>0</v>
      </c>
    </row>
    <row r="2132" spans="2:21" x14ac:dyDescent="0.3">
      <c r="B2132" s="47"/>
      <c r="C2132" s="24"/>
      <c r="D2132" s="312"/>
      <c r="E2132" s="312"/>
      <c r="G2132" s="47"/>
      <c r="H2132" s="24"/>
      <c r="I2132" s="312"/>
      <c r="J2132" s="312"/>
      <c r="L2132" s="47"/>
      <c r="M2132" s="24"/>
      <c r="N2132" s="312"/>
      <c r="O2132" s="312"/>
      <c r="Q2132" s="47"/>
      <c r="R2132" s="136" t="s">
        <v>2212</v>
      </c>
      <c r="S2132" s="25" t="s">
        <v>2213</v>
      </c>
      <c r="T2132" s="155">
        <v>5987</v>
      </c>
      <c r="U2132" s="155">
        <v>0</v>
      </c>
    </row>
    <row r="2133" spans="2:21" x14ac:dyDescent="0.3">
      <c r="B2133" s="47"/>
      <c r="C2133" s="24"/>
      <c r="D2133" s="312"/>
      <c r="E2133" s="312"/>
      <c r="G2133" s="47"/>
      <c r="H2133" s="24"/>
      <c r="I2133" s="312"/>
      <c r="J2133" s="312"/>
      <c r="L2133" s="47"/>
      <c r="M2133" s="24"/>
      <c r="N2133" s="312"/>
      <c r="O2133" s="312"/>
      <c r="Q2133" s="47"/>
      <c r="R2133" s="136" t="s">
        <v>2214</v>
      </c>
      <c r="S2133" s="25" t="s">
        <v>2215</v>
      </c>
      <c r="T2133" s="155">
        <v>7338</v>
      </c>
      <c r="U2133" s="155">
        <v>0</v>
      </c>
    </row>
    <row r="2134" spans="2:21" x14ac:dyDescent="0.3">
      <c r="B2134" s="47"/>
      <c r="C2134" s="24"/>
      <c r="D2134" s="312"/>
      <c r="E2134" s="312"/>
      <c r="G2134" s="47"/>
      <c r="H2134" s="24"/>
      <c r="I2134" s="312"/>
      <c r="J2134" s="312"/>
      <c r="L2134" s="47"/>
      <c r="M2134" s="24"/>
      <c r="N2134" s="312"/>
      <c r="O2134" s="312"/>
      <c r="Q2134" s="47"/>
      <c r="R2134" s="136" t="s">
        <v>1985</v>
      </c>
      <c r="S2134" s="25" t="s">
        <v>2197</v>
      </c>
      <c r="T2134" s="155">
        <v>1034</v>
      </c>
      <c r="U2134" s="155">
        <v>0</v>
      </c>
    </row>
    <row r="2135" spans="2:21" x14ac:dyDescent="0.3">
      <c r="B2135" s="47"/>
      <c r="C2135" s="24"/>
      <c r="D2135" s="312"/>
      <c r="E2135" s="312"/>
      <c r="G2135" s="47"/>
      <c r="H2135" s="24"/>
      <c r="I2135" s="312"/>
      <c r="J2135" s="312"/>
      <c r="L2135" s="47"/>
      <c r="M2135" s="24"/>
      <c r="N2135" s="312"/>
      <c r="O2135" s="312"/>
      <c r="Q2135" s="47"/>
      <c r="R2135" s="136" t="s">
        <v>1895</v>
      </c>
      <c r="S2135" s="25" t="s">
        <v>2174</v>
      </c>
      <c r="T2135" s="155">
        <v>8758</v>
      </c>
      <c r="U2135" s="155">
        <v>0</v>
      </c>
    </row>
    <row r="2136" spans="2:21" x14ac:dyDescent="0.3">
      <c r="B2136" s="47"/>
      <c r="C2136" s="24"/>
      <c r="D2136" s="312"/>
      <c r="E2136" s="312"/>
      <c r="G2136" s="47"/>
      <c r="H2136" s="24"/>
      <c r="I2136" s="312"/>
      <c r="J2136" s="312"/>
      <c r="L2136" s="47"/>
      <c r="M2136" s="24"/>
      <c r="N2136" s="312"/>
      <c r="O2136" s="312"/>
      <c r="Q2136" s="47"/>
      <c r="R2136" s="136" t="s">
        <v>2177</v>
      </c>
      <c r="S2136" s="25" t="s">
        <v>2341</v>
      </c>
      <c r="T2136" s="155">
        <v>33042</v>
      </c>
      <c r="U2136" s="155">
        <v>0</v>
      </c>
    </row>
    <row r="2137" spans="2:21" x14ac:dyDescent="0.3">
      <c r="B2137" s="47"/>
      <c r="C2137" s="24"/>
      <c r="D2137" s="312"/>
      <c r="E2137" s="312"/>
      <c r="G2137" s="47"/>
      <c r="H2137" s="24"/>
      <c r="I2137" s="312"/>
      <c r="J2137" s="312"/>
      <c r="L2137" s="47"/>
      <c r="M2137" s="24"/>
      <c r="N2137" s="312"/>
      <c r="O2137" s="312"/>
      <c r="Q2137" s="47"/>
      <c r="R2137" s="136" t="s">
        <v>2183</v>
      </c>
      <c r="S2137" s="25" t="s">
        <v>2182</v>
      </c>
      <c r="T2137" s="155">
        <v>30440</v>
      </c>
      <c r="U2137" s="155">
        <v>0</v>
      </c>
    </row>
    <row r="2138" spans="2:21" x14ac:dyDescent="0.3">
      <c r="B2138" s="47"/>
      <c r="C2138" s="24"/>
      <c r="D2138" s="312"/>
      <c r="E2138" s="312"/>
      <c r="G2138" s="47"/>
      <c r="H2138" s="24"/>
      <c r="I2138" s="312"/>
      <c r="J2138" s="312"/>
      <c r="L2138" s="47"/>
      <c r="M2138" s="24"/>
      <c r="N2138" s="312"/>
      <c r="O2138" s="312"/>
      <c r="Q2138" s="47"/>
      <c r="R2138" s="136" t="s">
        <v>2185</v>
      </c>
      <c r="S2138" s="25" t="s">
        <v>2184</v>
      </c>
      <c r="T2138" s="155">
        <v>8312</v>
      </c>
      <c r="U2138" s="155">
        <v>0</v>
      </c>
    </row>
    <row r="2139" spans="2:21" x14ac:dyDescent="0.3">
      <c r="B2139" s="47"/>
      <c r="C2139" s="24"/>
      <c r="D2139" s="312"/>
      <c r="E2139" s="312"/>
      <c r="G2139" s="47"/>
      <c r="H2139" s="24"/>
      <c r="I2139" s="312"/>
      <c r="J2139" s="312"/>
      <c r="L2139" s="47"/>
      <c r="M2139" s="24"/>
      <c r="N2139" s="312"/>
      <c r="O2139" s="312"/>
      <c r="Q2139" s="47"/>
      <c r="R2139" s="136" t="s">
        <v>2187</v>
      </c>
      <c r="S2139" s="25" t="s">
        <v>2186</v>
      </c>
      <c r="T2139" s="155">
        <v>9765</v>
      </c>
      <c r="U2139" s="155">
        <v>0</v>
      </c>
    </row>
    <row r="2140" spans="2:21" x14ac:dyDescent="0.3">
      <c r="B2140" s="47"/>
      <c r="C2140" s="24"/>
      <c r="D2140" s="312"/>
      <c r="E2140" s="312"/>
      <c r="G2140" s="47"/>
      <c r="H2140" s="24"/>
      <c r="I2140" s="312"/>
      <c r="J2140" s="312"/>
      <c r="L2140" s="47"/>
      <c r="M2140" s="24"/>
      <c r="N2140" s="312"/>
      <c r="O2140" s="312"/>
      <c r="Q2140" s="47"/>
      <c r="R2140" s="136" t="s">
        <v>2342</v>
      </c>
      <c r="S2140" s="25" t="s">
        <v>2188</v>
      </c>
      <c r="T2140" s="155">
        <v>7282</v>
      </c>
      <c r="U2140" s="155">
        <v>0</v>
      </c>
    </row>
    <row r="2141" spans="2:21" x14ac:dyDescent="0.3">
      <c r="B2141" s="47"/>
      <c r="C2141" s="24"/>
      <c r="D2141" s="312"/>
      <c r="E2141" s="312"/>
      <c r="G2141" s="47"/>
      <c r="H2141" s="24"/>
      <c r="I2141" s="312"/>
      <c r="J2141" s="312"/>
      <c r="L2141" s="47"/>
      <c r="M2141" s="24"/>
      <c r="N2141" s="312"/>
      <c r="O2141" s="312"/>
      <c r="Q2141" s="47"/>
      <c r="R2141" s="136" t="s">
        <v>2342</v>
      </c>
      <c r="S2141" s="25" t="s">
        <v>2188</v>
      </c>
      <c r="T2141" s="155">
        <v>3550</v>
      </c>
      <c r="U2141" s="155">
        <v>0</v>
      </c>
    </row>
    <row r="2142" spans="2:21" x14ac:dyDescent="0.3">
      <c r="B2142" s="47"/>
      <c r="C2142" s="24"/>
      <c r="D2142" s="312"/>
      <c r="E2142" s="312"/>
      <c r="G2142" s="47"/>
      <c r="H2142" s="24"/>
      <c r="I2142" s="312"/>
      <c r="J2142" s="312"/>
      <c r="L2142" s="47"/>
      <c r="M2142" s="24"/>
      <c r="N2142" s="312"/>
      <c r="O2142" s="312"/>
      <c r="Q2142" s="47"/>
      <c r="R2142" s="136" t="s">
        <v>2190</v>
      </c>
      <c r="S2142" s="25" t="s">
        <v>2189</v>
      </c>
      <c r="T2142" s="155">
        <v>13474</v>
      </c>
      <c r="U2142" s="155">
        <v>0</v>
      </c>
    </row>
    <row r="2143" spans="2:21" x14ac:dyDescent="0.3">
      <c r="B2143" s="47"/>
      <c r="C2143" s="24"/>
      <c r="D2143" s="312"/>
      <c r="E2143" s="312"/>
      <c r="G2143" s="47"/>
      <c r="H2143" s="24"/>
      <c r="I2143" s="312"/>
      <c r="J2143" s="312"/>
      <c r="L2143" s="47"/>
      <c r="M2143" s="24"/>
      <c r="N2143" s="312"/>
      <c r="O2143" s="312"/>
      <c r="Q2143" s="47"/>
      <c r="R2143" s="136" t="s">
        <v>2192</v>
      </c>
      <c r="S2143" s="25" t="s">
        <v>2191</v>
      </c>
      <c r="T2143" s="155">
        <v>9491</v>
      </c>
      <c r="U2143" s="155">
        <v>0</v>
      </c>
    </row>
    <row r="2144" spans="2:21" x14ac:dyDescent="0.3">
      <c r="B2144" s="47"/>
      <c r="C2144" s="24"/>
      <c r="D2144" s="312"/>
      <c r="E2144" s="312"/>
      <c r="G2144" s="47"/>
      <c r="H2144" s="24"/>
      <c r="I2144" s="312"/>
      <c r="J2144" s="312"/>
      <c r="L2144" s="47"/>
      <c r="M2144" s="24"/>
      <c r="N2144" s="312"/>
      <c r="O2144" s="312"/>
      <c r="Q2144" s="47"/>
      <c r="R2144" s="136" t="s">
        <v>1896</v>
      </c>
      <c r="S2144" s="25" t="s">
        <v>2193</v>
      </c>
      <c r="T2144" s="155">
        <v>5875</v>
      </c>
      <c r="U2144" s="155">
        <v>0</v>
      </c>
    </row>
    <row r="2145" spans="2:21" x14ac:dyDescent="0.3">
      <c r="B2145" s="47"/>
      <c r="C2145" s="24"/>
      <c r="D2145" s="312"/>
      <c r="E2145" s="312"/>
      <c r="G2145" s="47"/>
      <c r="H2145" s="24"/>
      <c r="I2145" s="312"/>
      <c r="J2145" s="312"/>
      <c r="L2145" s="47"/>
      <c r="M2145" s="24"/>
      <c r="N2145" s="312"/>
      <c r="O2145" s="312"/>
      <c r="Q2145" s="47"/>
      <c r="R2145" s="136" t="s">
        <v>3291</v>
      </c>
      <c r="S2145" s="25" t="s">
        <v>2171</v>
      </c>
      <c r="T2145" s="155">
        <v>20741</v>
      </c>
      <c r="U2145" s="155">
        <v>0</v>
      </c>
    </row>
    <row r="2146" spans="2:21" x14ac:dyDescent="0.3">
      <c r="B2146" s="47"/>
      <c r="C2146" s="24"/>
      <c r="D2146" s="312"/>
      <c r="E2146" s="312"/>
      <c r="G2146" s="47"/>
      <c r="H2146" s="24"/>
      <c r="I2146" s="312"/>
      <c r="J2146" s="312"/>
      <c r="L2146" s="47"/>
      <c r="M2146" s="24"/>
      <c r="N2146" s="312"/>
      <c r="O2146" s="312"/>
      <c r="Q2146" s="47"/>
      <c r="R2146" s="136" t="s">
        <v>1898</v>
      </c>
      <c r="S2146" s="25" t="s">
        <v>2218</v>
      </c>
      <c r="T2146" s="155">
        <v>21237</v>
      </c>
      <c r="U2146" s="155">
        <v>0</v>
      </c>
    </row>
    <row r="2147" spans="2:21" x14ac:dyDescent="0.3">
      <c r="B2147" s="47"/>
      <c r="C2147" s="24"/>
      <c r="D2147" s="312"/>
      <c r="E2147" s="312"/>
      <c r="G2147" s="47"/>
      <c r="H2147" s="24"/>
      <c r="I2147" s="312"/>
      <c r="J2147" s="312"/>
      <c r="L2147" s="47"/>
      <c r="M2147" s="24"/>
      <c r="N2147" s="312"/>
      <c r="O2147" s="312"/>
      <c r="Q2147" s="47"/>
      <c r="R2147" s="136" t="s">
        <v>2219</v>
      </c>
      <c r="S2147" s="25" t="s">
        <v>2220</v>
      </c>
      <c r="T2147" s="155">
        <v>4804</v>
      </c>
      <c r="U2147" s="155">
        <v>0</v>
      </c>
    </row>
    <row r="2148" spans="2:21" x14ac:dyDescent="0.3">
      <c r="B2148" s="47"/>
      <c r="C2148" s="24"/>
      <c r="D2148" s="312"/>
      <c r="E2148" s="312"/>
      <c r="G2148" s="47"/>
      <c r="H2148" s="24"/>
      <c r="I2148" s="312"/>
      <c r="J2148" s="312"/>
      <c r="L2148" s="47"/>
      <c r="M2148" s="24"/>
      <c r="N2148" s="312"/>
      <c r="O2148" s="312"/>
      <c r="Q2148" s="47"/>
      <c r="R2148" s="136" t="s">
        <v>2221</v>
      </c>
      <c r="S2148" s="25" t="s">
        <v>2222</v>
      </c>
      <c r="T2148" s="155">
        <v>3551</v>
      </c>
      <c r="U2148" s="155">
        <v>0</v>
      </c>
    </row>
    <row r="2149" spans="2:21" x14ac:dyDescent="0.3">
      <c r="B2149" s="47"/>
      <c r="C2149" s="24"/>
      <c r="D2149" s="312"/>
      <c r="E2149" s="312"/>
      <c r="G2149" s="47"/>
      <c r="H2149" s="24"/>
      <c r="I2149" s="312"/>
      <c r="J2149" s="312"/>
      <c r="L2149" s="47"/>
      <c r="M2149" s="24"/>
      <c r="N2149" s="312"/>
      <c r="O2149" s="312"/>
      <c r="Q2149" s="47"/>
      <c r="R2149" s="136" t="s">
        <v>2223</v>
      </c>
      <c r="S2149" s="25" t="s">
        <v>2224</v>
      </c>
      <c r="T2149" s="155">
        <v>8239</v>
      </c>
      <c r="U2149" s="155">
        <v>0</v>
      </c>
    </row>
    <row r="2150" spans="2:21" x14ac:dyDescent="0.3">
      <c r="B2150" s="47"/>
      <c r="C2150" s="24"/>
      <c r="D2150" s="312"/>
      <c r="E2150" s="312"/>
      <c r="G2150" s="47"/>
      <c r="H2150" s="24"/>
      <c r="I2150" s="312"/>
      <c r="J2150" s="312"/>
      <c r="L2150" s="47"/>
      <c r="M2150" s="24"/>
      <c r="N2150" s="312"/>
      <c r="O2150" s="312"/>
      <c r="Q2150" s="47"/>
      <c r="R2150" s="136" t="s">
        <v>2226</v>
      </c>
      <c r="S2150" s="25" t="s">
        <v>2227</v>
      </c>
      <c r="T2150" s="155">
        <v>15108</v>
      </c>
      <c r="U2150" s="155">
        <v>0</v>
      </c>
    </row>
    <row r="2151" spans="2:21" x14ac:dyDescent="0.3">
      <c r="B2151" s="47"/>
      <c r="C2151" s="24"/>
      <c r="D2151" s="312"/>
      <c r="E2151" s="312"/>
      <c r="G2151" s="47"/>
      <c r="H2151" s="24"/>
      <c r="I2151" s="312"/>
      <c r="J2151" s="312"/>
      <c r="L2151" s="47"/>
      <c r="M2151" s="24"/>
      <c r="N2151" s="312"/>
      <c r="O2151" s="312"/>
      <c r="Q2151" s="47"/>
      <c r="R2151" s="136" t="s">
        <v>2230</v>
      </c>
      <c r="S2151" s="25" t="s">
        <v>2231</v>
      </c>
      <c r="T2151" s="155">
        <v>10881</v>
      </c>
      <c r="U2151" s="155">
        <v>0</v>
      </c>
    </row>
    <row r="2152" spans="2:21" x14ac:dyDescent="0.3">
      <c r="B2152" s="47"/>
      <c r="C2152" s="24"/>
      <c r="D2152" s="312"/>
      <c r="E2152" s="312"/>
      <c r="G2152" s="47"/>
      <c r="H2152" s="24"/>
      <c r="I2152" s="312"/>
      <c r="J2152" s="312"/>
      <c r="L2152" s="47"/>
      <c r="M2152" s="24"/>
      <c r="N2152" s="312"/>
      <c r="O2152" s="312"/>
      <c r="Q2152" s="241">
        <v>80030002</v>
      </c>
      <c r="R2152" s="242"/>
      <c r="S2152" s="246" t="s">
        <v>1084</v>
      </c>
      <c r="T2152" s="239">
        <f>SUM(T2153:T2186)-SUM(U2153:U2186)</f>
        <v>255727</v>
      </c>
      <c r="U2152" s="240">
        <v>0</v>
      </c>
    </row>
    <row r="2153" spans="2:21" x14ac:dyDescent="0.3">
      <c r="B2153" s="47"/>
      <c r="C2153" s="24"/>
      <c r="D2153" s="312"/>
      <c r="E2153" s="312"/>
      <c r="G2153" s="47"/>
      <c r="H2153" s="24"/>
      <c r="I2153" s="312"/>
      <c r="J2153" s="312"/>
      <c r="L2153" s="47"/>
      <c r="M2153" s="24"/>
      <c r="N2153" s="312"/>
      <c r="O2153" s="312"/>
      <c r="Q2153" s="47"/>
      <c r="R2153" s="136" t="s">
        <v>1931</v>
      </c>
      <c r="S2153" s="25" t="s">
        <v>1932</v>
      </c>
      <c r="T2153" s="155">
        <v>1200</v>
      </c>
      <c r="U2153" s="155">
        <v>0</v>
      </c>
    </row>
    <row r="2154" spans="2:21" x14ac:dyDescent="0.3">
      <c r="B2154" s="47"/>
      <c r="C2154" s="24"/>
      <c r="D2154" s="312"/>
      <c r="E2154" s="312"/>
      <c r="G2154" s="47"/>
      <c r="H2154" s="24"/>
      <c r="I2154" s="312"/>
      <c r="J2154" s="312"/>
      <c r="L2154" s="47"/>
      <c r="M2154" s="24"/>
      <c r="N2154" s="312"/>
      <c r="O2154" s="312"/>
      <c r="Q2154" s="47"/>
      <c r="R2154" s="136" t="s">
        <v>1934</v>
      </c>
      <c r="S2154" s="25" t="s">
        <v>2196</v>
      </c>
      <c r="T2154" s="155">
        <v>2500</v>
      </c>
      <c r="U2154" s="155">
        <v>0</v>
      </c>
    </row>
    <row r="2155" spans="2:21" x14ac:dyDescent="0.3">
      <c r="B2155" s="47"/>
      <c r="C2155" s="24"/>
      <c r="D2155" s="312"/>
      <c r="E2155" s="312"/>
      <c r="G2155" s="47"/>
      <c r="H2155" s="24"/>
      <c r="I2155" s="312"/>
      <c r="J2155" s="312"/>
      <c r="L2155" s="47"/>
      <c r="M2155" s="24"/>
      <c r="N2155" s="312"/>
      <c r="O2155" s="312"/>
      <c r="Q2155" s="47"/>
      <c r="R2155" s="136" t="s">
        <v>2154</v>
      </c>
      <c r="S2155" s="25" t="s">
        <v>2155</v>
      </c>
      <c r="T2155" s="155">
        <v>8000</v>
      </c>
      <c r="U2155" s="155">
        <v>0</v>
      </c>
    </row>
    <row r="2156" spans="2:21" x14ac:dyDescent="0.3">
      <c r="B2156" s="47"/>
      <c r="C2156" s="24"/>
      <c r="D2156" s="312"/>
      <c r="E2156" s="312"/>
      <c r="G2156" s="47"/>
      <c r="H2156" s="24"/>
      <c r="I2156" s="312"/>
      <c r="J2156" s="312"/>
      <c r="L2156" s="47"/>
      <c r="M2156" s="24"/>
      <c r="N2156" s="312"/>
      <c r="O2156" s="312"/>
      <c r="Q2156" s="47"/>
      <c r="R2156" s="136" t="s">
        <v>2156</v>
      </c>
      <c r="S2156" s="25" t="s">
        <v>2157</v>
      </c>
      <c r="T2156" s="155">
        <v>2000</v>
      </c>
      <c r="U2156" s="155">
        <v>0</v>
      </c>
    </row>
    <row r="2157" spans="2:21" x14ac:dyDescent="0.3">
      <c r="B2157" s="47"/>
      <c r="C2157" s="24"/>
      <c r="D2157" s="312"/>
      <c r="E2157" s="312"/>
      <c r="G2157" s="47"/>
      <c r="H2157" s="24"/>
      <c r="I2157" s="312"/>
      <c r="J2157" s="312"/>
      <c r="L2157" s="47"/>
      <c r="M2157" s="24"/>
      <c r="N2157" s="312"/>
      <c r="O2157" s="312"/>
      <c r="Q2157" s="47"/>
      <c r="R2157" s="136" t="s">
        <v>2199</v>
      </c>
      <c r="S2157" s="25" t="s">
        <v>2200</v>
      </c>
      <c r="T2157" s="155">
        <v>13500</v>
      </c>
      <c r="U2157" s="155">
        <v>0</v>
      </c>
    </row>
    <row r="2158" spans="2:21" x14ac:dyDescent="0.3">
      <c r="B2158" s="47"/>
      <c r="C2158" s="24"/>
      <c r="D2158" s="312"/>
      <c r="E2158" s="312"/>
      <c r="G2158" s="47"/>
      <c r="H2158" s="24"/>
      <c r="I2158" s="312"/>
      <c r="J2158" s="312"/>
      <c r="L2158" s="47"/>
      <c r="M2158" s="24"/>
      <c r="N2158" s="312"/>
      <c r="O2158" s="312"/>
      <c r="Q2158" s="47"/>
      <c r="R2158" s="136" t="s">
        <v>2201</v>
      </c>
      <c r="S2158" s="25" t="s">
        <v>2202</v>
      </c>
      <c r="T2158" s="155">
        <v>5200</v>
      </c>
      <c r="U2158" s="155">
        <v>0</v>
      </c>
    </row>
    <row r="2159" spans="2:21" x14ac:dyDescent="0.3">
      <c r="B2159" s="47"/>
      <c r="C2159" s="24"/>
      <c r="D2159" s="312"/>
      <c r="E2159" s="312"/>
      <c r="G2159" s="47"/>
      <c r="H2159" s="24"/>
      <c r="I2159" s="312"/>
      <c r="J2159" s="312"/>
      <c r="L2159" s="47"/>
      <c r="M2159" s="24"/>
      <c r="N2159" s="312"/>
      <c r="O2159" s="312"/>
      <c r="Q2159" s="47"/>
      <c r="R2159" s="136" t="s">
        <v>2203</v>
      </c>
      <c r="S2159" s="25" t="s">
        <v>2204</v>
      </c>
      <c r="T2159" s="155">
        <v>7000</v>
      </c>
      <c r="U2159" s="155">
        <v>0</v>
      </c>
    </row>
    <row r="2160" spans="2:21" x14ac:dyDescent="0.3">
      <c r="B2160" s="47"/>
      <c r="C2160" s="24"/>
      <c r="D2160" s="312"/>
      <c r="E2160" s="312"/>
      <c r="G2160" s="47"/>
      <c r="H2160" s="24"/>
      <c r="I2160" s="312"/>
      <c r="J2160" s="312"/>
      <c r="L2160" s="47"/>
      <c r="M2160" s="24"/>
      <c r="N2160" s="312"/>
      <c r="O2160" s="312"/>
      <c r="Q2160" s="47"/>
      <c r="R2160" s="136" t="s">
        <v>2205</v>
      </c>
      <c r="S2160" s="25" t="s">
        <v>2206</v>
      </c>
      <c r="T2160" s="155">
        <v>10600</v>
      </c>
      <c r="U2160" s="155">
        <v>0</v>
      </c>
    </row>
    <row r="2161" spans="2:21" x14ac:dyDescent="0.3">
      <c r="B2161" s="47"/>
      <c r="C2161" s="24"/>
      <c r="D2161" s="312"/>
      <c r="E2161" s="312"/>
      <c r="G2161" s="47"/>
      <c r="H2161" s="24"/>
      <c r="I2161" s="312"/>
      <c r="J2161" s="312"/>
      <c r="L2161" s="47"/>
      <c r="M2161" s="24"/>
      <c r="N2161" s="312"/>
      <c r="O2161" s="312"/>
      <c r="Q2161" s="47"/>
      <c r="R2161" s="136" t="s">
        <v>2207</v>
      </c>
      <c r="S2161" s="25" t="s">
        <v>2208</v>
      </c>
      <c r="T2161" s="155">
        <v>10600</v>
      </c>
      <c r="U2161" s="155">
        <v>0</v>
      </c>
    </row>
    <row r="2162" spans="2:21" x14ac:dyDescent="0.3">
      <c r="B2162" s="47"/>
      <c r="C2162" s="24"/>
      <c r="D2162" s="312"/>
      <c r="E2162" s="312"/>
      <c r="G2162" s="47"/>
      <c r="H2162" s="24"/>
      <c r="I2162" s="312"/>
      <c r="J2162" s="312"/>
      <c r="L2162" s="47"/>
      <c r="M2162" s="24"/>
      <c r="N2162" s="312"/>
      <c r="O2162" s="312"/>
      <c r="Q2162" s="47"/>
      <c r="R2162" s="136" t="s">
        <v>2209</v>
      </c>
      <c r="S2162" s="25" t="s">
        <v>2210</v>
      </c>
      <c r="T2162" s="155">
        <v>10800</v>
      </c>
      <c r="U2162" s="155">
        <v>0</v>
      </c>
    </row>
    <row r="2163" spans="2:21" x14ac:dyDescent="0.3">
      <c r="B2163" s="47"/>
      <c r="C2163" s="24"/>
      <c r="D2163" s="312"/>
      <c r="E2163" s="312"/>
      <c r="G2163" s="47"/>
      <c r="H2163" s="24"/>
      <c r="I2163" s="312"/>
      <c r="J2163" s="312"/>
      <c r="L2163" s="47"/>
      <c r="M2163" s="24"/>
      <c r="N2163" s="312"/>
      <c r="O2163" s="312"/>
      <c r="Q2163" s="47"/>
      <c r="R2163" s="136" t="s">
        <v>2340</v>
      </c>
      <c r="S2163" s="25" t="s">
        <v>2159</v>
      </c>
      <c r="T2163" s="155">
        <v>8500</v>
      </c>
      <c r="U2163" s="155">
        <v>0</v>
      </c>
    </row>
    <row r="2164" spans="2:21" x14ac:dyDescent="0.3">
      <c r="B2164" s="47"/>
      <c r="C2164" s="24"/>
      <c r="D2164" s="312"/>
      <c r="E2164" s="312"/>
      <c r="G2164" s="47"/>
      <c r="H2164" s="24"/>
      <c r="I2164" s="312"/>
      <c r="J2164" s="312"/>
      <c r="L2164" s="47"/>
      <c r="M2164" s="24"/>
      <c r="N2164" s="312"/>
      <c r="O2164" s="312"/>
      <c r="Q2164" s="47"/>
      <c r="R2164" s="136" t="s">
        <v>2160</v>
      </c>
      <c r="S2164" s="25" t="s">
        <v>2161</v>
      </c>
      <c r="T2164" s="155">
        <v>9000</v>
      </c>
      <c r="U2164" s="155">
        <v>0</v>
      </c>
    </row>
    <row r="2165" spans="2:21" x14ac:dyDescent="0.3">
      <c r="B2165" s="47"/>
      <c r="C2165" s="24"/>
      <c r="D2165" s="312"/>
      <c r="E2165" s="312"/>
      <c r="G2165" s="47"/>
      <c r="H2165" s="24"/>
      <c r="I2165" s="312"/>
      <c r="J2165" s="312"/>
      <c r="L2165" s="47"/>
      <c r="M2165" s="24"/>
      <c r="N2165" s="312"/>
      <c r="O2165" s="312"/>
      <c r="Q2165" s="47"/>
      <c r="R2165" s="136" t="s">
        <v>2162</v>
      </c>
      <c r="S2165" s="25" t="s">
        <v>2163</v>
      </c>
      <c r="T2165" s="155">
        <v>9200</v>
      </c>
      <c r="U2165" s="155">
        <v>0</v>
      </c>
    </row>
    <row r="2166" spans="2:21" x14ac:dyDescent="0.3">
      <c r="B2166" s="47"/>
      <c r="C2166" s="24"/>
      <c r="D2166" s="312"/>
      <c r="E2166" s="312"/>
      <c r="G2166" s="47"/>
      <c r="H2166" s="24"/>
      <c r="I2166" s="312"/>
      <c r="J2166" s="312"/>
      <c r="L2166" s="47"/>
      <c r="M2166" s="24"/>
      <c r="N2166" s="312"/>
      <c r="O2166" s="312"/>
      <c r="Q2166" s="47"/>
      <c r="R2166" s="136" t="s">
        <v>2165</v>
      </c>
      <c r="S2166" s="25" t="s">
        <v>2166</v>
      </c>
      <c r="T2166" s="155">
        <v>11700</v>
      </c>
      <c r="U2166" s="155">
        <v>0</v>
      </c>
    </row>
    <row r="2167" spans="2:21" x14ac:dyDescent="0.3">
      <c r="B2167" s="47"/>
      <c r="C2167" s="24"/>
      <c r="D2167" s="312"/>
      <c r="E2167" s="312"/>
      <c r="G2167" s="47"/>
      <c r="H2167" s="24"/>
      <c r="I2167" s="312"/>
      <c r="J2167" s="312"/>
      <c r="L2167" s="47"/>
      <c r="M2167" s="24"/>
      <c r="N2167" s="312"/>
      <c r="O2167" s="312"/>
      <c r="Q2167" s="47"/>
      <c r="R2167" s="136" t="s">
        <v>2168</v>
      </c>
      <c r="S2167" s="25" t="s">
        <v>2169</v>
      </c>
      <c r="T2167" s="155">
        <v>8995</v>
      </c>
      <c r="U2167" s="155">
        <v>0</v>
      </c>
    </row>
    <row r="2168" spans="2:21" x14ac:dyDescent="0.3">
      <c r="B2168" s="47"/>
      <c r="C2168" s="24"/>
      <c r="D2168" s="312"/>
      <c r="E2168" s="312"/>
      <c r="G2168" s="47"/>
      <c r="H2168" s="24"/>
      <c r="I2168" s="312"/>
      <c r="J2168" s="312"/>
      <c r="L2168" s="47"/>
      <c r="M2168" s="24"/>
      <c r="N2168" s="312"/>
      <c r="O2168" s="312"/>
      <c r="Q2168" s="47"/>
      <c r="R2168" s="136" t="s">
        <v>2168</v>
      </c>
      <c r="S2168" s="25" t="s">
        <v>2169</v>
      </c>
      <c r="T2168" s="155">
        <v>2500</v>
      </c>
      <c r="U2168" s="155">
        <v>0</v>
      </c>
    </row>
    <row r="2169" spans="2:21" x14ac:dyDescent="0.3">
      <c r="B2169" s="47"/>
      <c r="C2169" s="24"/>
      <c r="D2169" s="312"/>
      <c r="E2169" s="312"/>
      <c r="G2169" s="47"/>
      <c r="H2169" s="24"/>
      <c r="I2169" s="312"/>
      <c r="J2169" s="312"/>
      <c r="L2169" s="47"/>
      <c r="M2169" s="24"/>
      <c r="N2169" s="312"/>
      <c r="O2169" s="312"/>
      <c r="Q2169" s="47"/>
      <c r="R2169" s="136" t="s">
        <v>3313</v>
      </c>
      <c r="S2169" s="25" t="s">
        <v>2211</v>
      </c>
      <c r="T2169" s="155">
        <v>10900</v>
      </c>
      <c r="U2169" s="155">
        <v>0</v>
      </c>
    </row>
    <row r="2170" spans="2:21" x14ac:dyDescent="0.3">
      <c r="B2170" s="47"/>
      <c r="C2170" s="24"/>
      <c r="D2170" s="312"/>
      <c r="E2170" s="312"/>
      <c r="G2170" s="47"/>
      <c r="H2170" s="24"/>
      <c r="I2170" s="312"/>
      <c r="J2170" s="312"/>
      <c r="L2170" s="47"/>
      <c r="M2170" s="24"/>
      <c r="N2170" s="312"/>
      <c r="O2170" s="312"/>
      <c r="Q2170" s="47"/>
      <c r="R2170" s="136" t="s">
        <v>2212</v>
      </c>
      <c r="S2170" s="25" t="s">
        <v>2213</v>
      </c>
      <c r="T2170" s="155">
        <v>10600</v>
      </c>
      <c r="U2170" s="155">
        <v>0</v>
      </c>
    </row>
    <row r="2171" spans="2:21" x14ac:dyDescent="0.3">
      <c r="B2171" s="47"/>
      <c r="C2171" s="24"/>
      <c r="D2171" s="312"/>
      <c r="E2171" s="312"/>
      <c r="G2171" s="47"/>
      <c r="H2171" s="24"/>
      <c r="I2171" s="312"/>
      <c r="J2171" s="312"/>
      <c r="L2171" s="47"/>
      <c r="M2171" s="24"/>
      <c r="N2171" s="312"/>
      <c r="O2171" s="312"/>
      <c r="Q2171" s="47"/>
      <c r="R2171" s="136" t="s">
        <v>2214</v>
      </c>
      <c r="S2171" s="25" t="s">
        <v>2215</v>
      </c>
      <c r="T2171" s="155">
        <v>10600</v>
      </c>
      <c r="U2171" s="155">
        <v>0</v>
      </c>
    </row>
    <row r="2172" spans="2:21" x14ac:dyDescent="0.3">
      <c r="B2172" s="47"/>
      <c r="C2172" s="24"/>
      <c r="D2172" s="312"/>
      <c r="E2172" s="312"/>
      <c r="G2172" s="47"/>
      <c r="H2172" s="24"/>
      <c r="I2172" s="312"/>
      <c r="J2172" s="312"/>
      <c r="L2172" s="47"/>
      <c r="M2172" s="24"/>
      <c r="N2172" s="312"/>
      <c r="O2172" s="312"/>
      <c r="Q2172" s="47"/>
      <c r="R2172" s="136" t="s">
        <v>2216</v>
      </c>
      <c r="S2172" s="25" t="s">
        <v>2217</v>
      </c>
      <c r="T2172" s="155">
        <v>1000</v>
      </c>
      <c r="U2172" s="155">
        <v>0</v>
      </c>
    </row>
    <row r="2173" spans="2:21" x14ac:dyDescent="0.3">
      <c r="B2173" s="47"/>
      <c r="C2173" s="24"/>
      <c r="D2173" s="312"/>
      <c r="E2173" s="312"/>
      <c r="G2173" s="47"/>
      <c r="H2173" s="24"/>
      <c r="I2173" s="312"/>
      <c r="J2173" s="312"/>
      <c r="L2173" s="47"/>
      <c r="M2173" s="24"/>
      <c r="N2173" s="312"/>
      <c r="O2173" s="312"/>
      <c r="Q2173" s="47"/>
      <c r="R2173" s="136" t="s">
        <v>1895</v>
      </c>
      <c r="S2173" s="25" t="s">
        <v>2174</v>
      </c>
      <c r="T2173" s="155">
        <v>3200</v>
      </c>
      <c r="U2173" s="155">
        <v>0</v>
      </c>
    </row>
    <row r="2174" spans="2:21" x14ac:dyDescent="0.3">
      <c r="B2174" s="47"/>
      <c r="C2174" s="24"/>
      <c r="D2174" s="312"/>
      <c r="E2174" s="312"/>
      <c r="G2174" s="47"/>
      <c r="H2174" s="24"/>
      <c r="I2174" s="312"/>
      <c r="J2174" s="312"/>
      <c r="L2174" s="47"/>
      <c r="M2174" s="24"/>
      <c r="N2174" s="312"/>
      <c r="O2174" s="312"/>
      <c r="Q2174" s="47"/>
      <c r="R2174" s="136" t="s">
        <v>2177</v>
      </c>
      <c r="S2174" s="25" t="s">
        <v>2341</v>
      </c>
      <c r="T2174" s="155">
        <v>10200</v>
      </c>
      <c r="U2174" s="155">
        <v>0</v>
      </c>
    </row>
    <row r="2175" spans="2:21" x14ac:dyDescent="0.3">
      <c r="B2175" s="47"/>
      <c r="C2175" s="24"/>
      <c r="D2175" s="312"/>
      <c r="E2175" s="312"/>
      <c r="G2175" s="47"/>
      <c r="H2175" s="24"/>
      <c r="I2175" s="312"/>
      <c r="J2175" s="312"/>
      <c r="L2175" s="47"/>
      <c r="M2175" s="24"/>
      <c r="N2175" s="312"/>
      <c r="O2175" s="312"/>
      <c r="Q2175" s="47"/>
      <c r="R2175" s="136" t="s">
        <v>2183</v>
      </c>
      <c r="S2175" s="25" t="s">
        <v>2182</v>
      </c>
      <c r="T2175" s="155">
        <v>9200</v>
      </c>
      <c r="U2175" s="155">
        <v>0</v>
      </c>
    </row>
    <row r="2176" spans="2:21" x14ac:dyDescent="0.3">
      <c r="B2176" s="47"/>
      <c r="C2176" s="24"/>
      <c r="D2176" s="312"/>
      <c r="E2176" s="312"/>
      <c r="G2176" s="47"/>
      <c r="H2176" s="24"/>
      <c r="I2176" s="312"/>
      <c r="J2176" s="312"/>
      <c r="L2176" s="47"/>
      <c r="M2176" s="24"/>
      <c r="N2176" s="312"/>
      <c r="O2176" s="312"/>
      <c r="Q2176" s="47"/>
      <c r="R2176" s="136" t="s">
        <v>2187</v>
      </c>
      <c r="S2176" s="25" t="s">
        <v>2186</v>
      </c>
      <c r="T2176" s="155">
        <v>4000</v>
      </c>
      <c r="U2176" s="155">
        <v>0</v>
      </c>
    </row>
    <row r="2177" spans="2:21" x14ac:dyDescent="0.3">
      <c r="B2177" s="47"/>
      <c r="C2177" s="24"/>
      <c r="D2177" s="312"/>
      <c r="E2177" s="312"/>
      <c r="G2177" s="47"/>
      <c r="H2177" s="24"/>
      <c r="I2177" s="312"/>
      <c r="J2177" s="312"/>
      <c r="L2177" s="47"/>
      <c r="M2177" s="24"/>
      <c r="N2177" s="312"/>
      <c r="O2177" s="312"/>
      <c r="Q2177" s="47"/>
      <c r="R2177" s="136" t="s">
        <v>2342</v>
      </c>
      <c r="S2177" s="25" t="s">
        <v>2188</v>
      </c>
      <c r="T2177" s="155">
        <v>8999</v>
      </c>
      <c r="U2177" s="155">
        <v>0</v>
      </c>
    </row>
    <row r="2178" spans="2:21" x14ac:dyDescent="0.3">
      <c r="B2178" s="47"/>
      <c r="C2178" s="24"/>
      <c r="D2178" s="312"/>
      <c r="E2178" s="312"/>
      <c r="G2178" s="47"/>
      <c r="H2178" s="24"/>
      <c r="I2178" s="312"/>
      <c r="J2178" s="312"/>
      <c r="L2178" s="47"/>
      <c r="M2178" s="24"/>
      <c r="N2178" s="312"/>
      <c r="O2178" s="312"/>
      <c r="Q2178" s="47"/>
      <c r="R2178" s="136" t="s">
        <v>2342</v>
      </c>
      <c r="S2178" s="25" t="s">
        <v>2188</v>
      </c>
      <c r="T2178" s="155">
        <v>2299</v>
      </c>
      <c r="U2178" s="155">
        <v>0</v>
      </c>
    </row>
    <row r="2179" spans="2:21" x14ac:dyDescent="0.3">
      <c r="B2179" s="47"/>
      <c r="C2179" s="24"/>
      <c r="D2179" s="312"/>
      <c r="E2179" s="312"/>
      <c r="G2179" s="47"/>
      <c r="H2179" s="24"/>
      <c r="I2179" s="312"/>
      <c r="J2179" s="312"/>
      <c r="L2179" s="47"/>
      <c r="M2179" s="24"/>
      <c r="N2179" s="312"/>
      <c r="O2179" s="312"/>
      <c r="Q2179" s="47"/>
      <c r="R2179" s="136" t="s">
        <v>2190</v>
      </c>
      <c r="S2179" s="25" t="s">
        <v>2189</v>
      </c>
      <c r="T2179" s="155">
        <v>10750</v>
      </c>
      <c r="U2179" s="155">
        <v>0</v>
      </c>
    </row>
    <row r="2180" spans="2:21" x14ac:dyDescent="0.3">
      <c r="B2180" s="47"/>
      <c r="C2180" s="24"/>
      <c r="D2180" s="312"/>
      <c r="E2180" s="312"/>
      <c r="G2180" s="47"/>
      <c r="H2180" s="24"/>
      <c r="I2180" s="312"/>
      <c r="J2180" s="312"/>
      <c r="L2180" s="47"/>
      <c r="M2180" s="24"/>
      <c r="N2180" s="312"/>
      <c r="O2180" s="312"/>
      <c r="Q2180" s="47"/>
      <c r="R2180" s="136" t="s">
        <v>1896</v>
      </c>
      <c r="S2180" s="25" t="s">
        <v>2193</v>
      </c>
      <c r="T2180" s="155">
        <v>2000</v>
      </c>
      <c r="U2180" s="155">
        <v>0</v>
      </c>
    </row>
    <row r="2181" spans="2:21" x14ac:dyDescent="0.3">
      <c r="B2181" s="47"/>
      <c r="C2181" s="24"/>
      <c r="D2181" s="312"/>
      <c r="E2181" s="312"/>
      <c r="G2181" s="47"/>
      <c r="H2181" s="24"/>
      <c r="I2181" s="312"/>
      <c r="J2181" s="312"/>
      <c r="L2181" s="47"/>
      <c r="M2181" s="24"/>
      <c r="N2181" s="312"/>
      <c r="O2181" s="312"/>
      <c r="Q2181" s="47"/>
      <c r="R2181" s="136" t="s">
        <v>3291</v>
      </c>
      <c r="S2181" s="25" t="s">
        <v>2171</v>
      </c>
      <c r="T2181" s="155">
        <v>9500</v>
      </c>
      <c r="U2181" s="155">
        <v>0</v>
      </c>
    </row>
    <row r="2182" spans="2:21" x14ac:dyDescent="0.3">
      <c r="B2182" s="47"/>
      <c r="C2182" s="24"/>
      <c r="D2182" s="312"/>
      <c r="E2182" s="312"/>
      <c r="G2182" s="47"/>
      <c r="H2182" s="24"/>
      <c r="I2182" s="312"/>
      <c r="J2182" s="312"/>
      <c r="L2182" s="47"/>
      <c r="M2182" s="24"/>
      <c r="N2182" s="312"/>
      <c r="O2182" s="312"/>
      <c r="Q2182" s="47"/>
      <c r="R2182" s="136" t="s">
        <v>1898</v>
      </c>
      <c r="S2182" s="25" t="s">
        <v>2218</v>
      </c>
      <c r="T2182" s="155">
        <v>1000</v>
      </c>
      <c r="U2182" s="155">
        <v>0</v>
      </c>
    </row>
    <row r="2183" spans="2:21" x14ac:dyDescent="0.3">
      <c r="B2183" s="47"/>
      <c r="C2183" s="24"/>
      <c r="D2183" s="312"/>
      <c r="E2183" s="312"/>
      <c r="G2183" s="47"/>
      <c r="H2183" s="24"/>
      <c r="I2183" s="312"/>
      <c r="J2183" s="312"/>
      <c r="L2183" s="47"/>
      <c r="M2183" s="24"/>
      <c r="N2183" s="312"/>
      <c r="O2183" s="312"/>
      <c r="Q2183" s="47"/>
      <c r="R2183" s="136" t="s">
        <v>2221</v>
      </c>
      <c r="S2183" s="25" t="s">
        <v>2222</v>
      </c>
      <c r="T2183" s="155">
        <v>11292</v>
      </c>
      <c r="U2183" s="155">
        <v>0</v>
      </c>
    </row>
    <row r="2184" spans="2:21" x14ac:dyDescent="0.3">
      <c r="B2184" s="47"/>
      <c r="C2184" s="24"/>
      <c r="D2184" s="312"/>
      <c r="E2184" s="312"/>
      <c r="G2184" s="47"/>
      <c r="H2184" s="24"/>
      <c r="I2184" s="312"/>
      <c r="J2184" s="312"/>
      <c r="L2184" s="47"/>
      <c r="M2184" s="24"/>
      <c r="N2184" s="312"/>
      <c r="O2184" s="312"/>
      <c r="Q2184" s="47"/>
      <c r="R2184" s="136" t="s">
        <v>2223</v>
      </c>
      <c r="S2184" s="25" t="s">
        <v>2224</v>
      </c>
      <c r="T2184" s="155">
        <v>12792</v>
      </c>
      <c r="U2184" s="155">
        <v>0</v>
      </c>
    </row>
    <row r="2185" spans="2:21" x14ac:dyDescent="0.3">
      <c r="B2185" s="47"/>
      <c r="C2185" s="24"/>
      <c r="D2185" s="312"/>
      <c r="E2185" s="312"/>
      <c r="G2185" s="47"/>
      <c r="H2185" s="24"/>
      <c r="I2185" s="312"/>
      <c r="J2185" s="312"/>
      <c r="L2185" s="47"/>
      <c r="M2185" s="24"/>
      <c r="N2185" s="312"/>
      <c r="O2185" s="312"/>
      <c r="Q2185" s="47"/>
      <c r="R2185" s="136" t="s">
        <v>2226</v>
      </c>
      <c r="S2185" s="25" t="s">
        <v>2227</v>
      </c>
      <c r="T2185" s="155">
        <v>13200</v>
      </c>
      <c r="U2185" s="155">
        <v>0</v>
      </c>
    </row>
    <row r="2186" spans="2:21" x14ac:dyDescent="0.3">
      <c r="B2186" s="47"/>
      <c r="C2186" s="24"/>
      <c r="D2186" s="312"/>
      <c r="E2186" s="312"/>
      <c r="G2186" s="47"/>
      <c r="H2186" s="24"/>
      <c r="I2186" s="312"/>
      <c r="J2186" s="312"/>
      <c r="L2186" s="47"/>
      <c r="M2186" s="24"/>
      <c r="N2186" s="312"/>
      <c r="O2186" s="312"/>
      <c r="Q2186" s="47"/>
      <c r="R2186" s="136" t="s">
        <v>2230</v>
      </c>
      <c r="S2186" s="25" t="s">
        <v>2231</v>
      </c>
      <c r="T2186" s="155">
        <v>2900</v>
      </c>
      <c r="U2186" s="155">
        <v>0</v>
      </c>
    </row>
    <row r="2187" spans="2:21" x14ac:dyDescent="0.3">
      <c r="B2187" s="47"/>
      <c r="C2187" s="24"/>
      <c r="D2187" s="312"/>
      <c r="E2187" s="312"/>
      <c r="G2187" s="47"/>
      <c r="H2187" s="24"/>
      <c r="I2187" s="312"/>
      <c r="J2187" s="312"/>
      <c r="L2187" s="47"/>
      <c r="M2187" s="24"/>
      <c r="N2187" s="312"/>
      <c r="O2187" s="312"/>
      <c r="Q2187" s="241">
        <v>80030003</v>
      </c>
      <c r="R2187" s="242"/>
      <c r="S2187" s="246" t="s">
        <v>1085</v>
      </c>
      <c r="T2187" s="239">
        <f>SUM(T2188:T2222)-SUM(U2188:U2222)</f>
        <v>1140241</v>
      </c>
      <c r="U2187" s="240">
        <v>0</v>
      </c>
    </row>
    <row r="2188" spans="2:21" x14ac:dyDescent="0.3">
      <c r="B2188" s="47"/>
      <c r="C2188" s="24"/>
      <c r="D2188" s="312"/>
      <c r="E2188" s="312"/>
      <c r="G2188" s="47"/>
      <c r="H2188" s="24"/>
      <c r="I2188" s="312"/>
      <c r="J2188" s="312"/>
      <c r="L2188" s="47"/>
      <c r="M2188" s="24"/>
      <c r="N2188" s="312"/>
      <c r="O2188" s="312"/>
      <c r="Q2188" s="47"/>
      <c r="R2188" s="136" t="s">
        <v>1931</v>
      </c>
      <c r="S2188" s="25" t="s">
        <v>1932</v>
      </c>
      <c r="T2188" s="155">
        <v>50302</v>
      </c>
      <c r="U2188" s="155">
        <v>0</v>
      </c>
    </row>
    <row r="2189" spans="2:21" x14ac:dyDescent="0.3">
      <c r="B2189" s="47"/>
      <c r="C2189" s="24"/>
      <c r="D2189" s="312"/>
      <c r="E2189" s="312"/>
      <c r="G2189" s="47"/>
      <c r="H2189" s="24"/>
      <c r="I2189" s="312"/>
      <c r="J2189" s="312"/>
      <c r="L2189" s="47"/>
      <c r="M2189" s="24"/>
      <c r="N2189" s="312"/>
      <c r="O2189" s="312"/>
      <c r="Q2189" s="47"/>
      <c r="R2189" s="136" t="s">
        <v>1934</v>
      </c>
      <c r="S2189" s="25" t="s">
        <v>2196</v>
      </c>
      <c r="T2189" s="155">
        <v>10826</v>
      </c>
      <c r="U2189" s="155">
        <v>0</v>
      </c>
    </row>
    <row r="2190" spans="2:21" x14ac:dyDescent="0.3">
      <c r="B2190" s="47"/>
      <c r="C2190" s="24"/>
      <c r="D2190" s="312"/>
      <c r="E2190" s="312"/>
      <c r="G2190" s="47"/>
      <c r="H2190" s="24"/>
      <c r="I2190" s="312"/>
      <c r="J2190" s="312"/>
      <c r="L2190" s="47"/>
      <c r="M2190" s="24"/>
      <c r="N2190" s="312"/>
      <c r="O2190" s="312"/>
      <c r="Q2190" s="47"/>
      <c r="R2190" s="136" t="s">
        <v>2138</v>
      </c>
      <c r="S2190" s="25" t="s">
        <v>7</v>
      </c>
      <c r="T2190" s="155">
        <v>2505</v>
      </c>
      <c r="U2190" s="155">
        <v>0</v>
      </c>
    </row>
    <row r="2191" spans="2:21" x14ac:dyDescent="0.3">
      <c r="B2191" s="47"/>
      <c r="C2191" s="24"/>
      <c r="D2191" s="312"/>
      <c r="E2191" s="312"/>
      <c r="G2191" s="47"/>
      <c r="H2191" s="24"/>
      <c r="I2191" s="312"/>
      <c r="J2191" s="312"/>
      <c r="L2191" s="47"/>
      <c r="M2191" s="24"/>
      <c r="N2191" s="312"/>
      <c r="O2191" s="312"/>
      <c r="Q2191" s="47"/>
      <c r="R2191" s="136" t="s">
        <v>2156</v>
      </c>
      <c r="S2191" s="25" t="s">
        <v>2157</v>
      </c>
      <c r="T2191" s="155">
        <v>101340</v>
      </c>
      <c r="U2191" s="155">
        <v>0</v>
      </c>
    </row>
    <row r="2192" spans="2:21" x14ac:dyDescent="0.3">
      <c r="B2192" s="47"/>
      <c r="C2192" s="24"/>
      <c r="D2192" s="312"/>
      <c r="E2192" s="312"/>
      <c r="G2192" s="47"/>
      <c r="H2192" s="24"/>
      <c r="I2192" s="312"/>
      <c r="J2192" s="312"/>
      <c r="L2192" s="47"/>
      <c r="M2192" s="24"/>
      <c r="N2192" s="312"/>
      <c r="O2192" s="312"/>
      <c r="Q2192" s="47"/>
      <c r="R2192" s="136" t="s">
        <v>2199</v>
      </c>
      <c r="S2192" s="25" t="s">
        <v>2200</v>
      </c>
      <c r="T2192" s="155">
        <v>20016</v>
      </c>
      <c r="U2192" s="155">
        <v>0</v>
      </c>
    </row>
    <row r="2193" spans="2:21" x14ac:dyDescent="0.3">
      <c r="B2193" s="47"/>
      <c r="C2193" s="24"/>
      <c r="D2193" s="312"/>
      <c r="E2193" s="312"/>
      <c r="G2193" s="47"/>
      <c r="H2193" s="24"/>
      <c r="I2193" s="312"/>
      <c r="J2193" s="312"/>
      <c r="L2193" s="47"/>
      <c r="M2193" s="24"/>
      <c r="N2193" s="312"/>
      <c r="O2193" s="312"/>
      <c r="Q2193" s="47"/>
      <c r="R2193" s="136" t="s">
        <v>2201</v>
      </c>
      <c r="S2193" s="25" t="s">
        <v>2202</v>
      </c>
      <c r="T2193" s="155">
        <v>48240</v>
      </c>
      <c r="U2193" s="155">
        <v>0</v>
      </c>
    </row>
    <row r="2194" spans="2:21" x14ac:dyDescent="0.3">
      <c r="B2194" s="47"/>
      <c r="C2194" s="24"/>
      <c r="D2194" s="312"/>
      <c r="E2194" s="312"/>
      <c r="G2194" s="47"/>
      <c r="H2194" s="24"/>
      <c r="I2194" s="312"/>
      <c r="J2194" s="312"/>
      <c r="L2194" s="47"/>
      <c r="M2194" s="24"/>
      <c r="N2194" s="312"/>
      <c r="O2194" s="312"/>
      <c r="Q2194" s="47"/>
      <c r="R2194" s="136" t="s">
        <v>2203</v>
      </c>
      <c r="S2194" s="25" t="s">
        <v>2204</v>
      </c>
      <c r="T2194" s="155">
        <v>25985</v>
      </c>
      <c r="U2194" s="155">
        <v>0</v>
      </c>
    </row>
    <row r="2195" spans="2:21" x14ac:dyDescent="0.3">
      <c r="B2195" s="47"/>
      <c r="C2195" s="24"/>
      <c r="D2195" s="312"/>
      <c r="E2195" s="312"/>
      <c r="G2195" s="47"/>
      <c r="H2195" s="24"/>
      <c r="I2195" s="312"/>
      <c r="J2195" s="312"/>
      <c r="L2195" s="47"/>
      <c r="M2195" s="24"/>
      <c r="N2195" s="312"/>
      <c r="O2195" s="312"/>
      <c r="Q2195" s="47"/>
      <c r="R2195" s="136" t="s">
        <v>2205</v>
      </c>
      <c r="S2195" s="25" t="s">
        <v>2206</v>
      </c>
      <c r="T2195" s="155">
        <v>26766</v>
      </c>
      <c r="U2195" s="155">
        <v>0</v>
      </c>
    </row>
    <row r="2196" spans="2:21" x14ac:dyDescent="0.3">
      <c r="B2196" s="47"/>
      <c r="C2196" s="24"/>
      <c r="D2196" s="312"/>
      <c r="E2196" s="312"/>
      <c r="G2196" s="47"/>
      <c r="H2196" s="24"/>
      <c r="I2196" s="312"/>
      <c r="J2196" s="312"/>
      <c r="L2196" s="47"/>
      <c r="M2196" s="24"/>
      <c r="N2196" s="312"/>
      <c r="O2196" s="312"/>
      <c r="Q2196" s="47"/>
      <c r="R2196" s="136" t="s">
        <v>2207</v>
      </c>
      <c r="S2196" s="25" t="s">
        <v>2208</v>
      </c>
      <c r="T2196" s="155">
        <v>38241</v>
      </c>
      <c r="U2196" s="155">
        <v>0</v>
      </c>
    </row>
    <row r="2197" spans="2:21" x14ac:dyDescent="0.3">
      <c r="B2197" s="47"/>
      <c r="C2197" s="24"/>
      <c r="D2197" s="312"/>
      <c r="E2197" s="312"/>
      <c r="G2197" s="47"/>
      <c r="H2197" s="24"/>
      <c r="I2197" s="312"/>
      <c r="J2197" s="312"/>
      <c r="L2197" s="47"/>
      <c r="M2197" s="24"/>
      <c r="N2197" s="312"/>
      <c r="O2197" s="312"/>
      <c r="Q2197" s="47"/>
      <c r="R2197" s="136" t="s">
        <v>2209</v>
      </c>
      <c r="S2197" s="25" t="s">
        <v>2210</v>
      </c>
      <c r="T2197" s="155">
        <v>27400</v>
      </c>
      <c r="U2197" s="155">
        <v>0</v>
      </c>
    </row>
    <row r="2198" spans="2:21" x14ac:dyDescent="0.3">
      <c r="B2198" s="47"/>
      <c r="C2198" s="24"/>
      <c r="D2198" s="312"/>
      <c r="E2198" s="312"/>
      <c r="G2198" s="47"/>
      <c r="H2198" s="24"/>
      <c r="I2198" s="312"/>
      <c r="J2198" s="312"/>
      <c r="L2198" s="47"/>
      <c r="M2198" s="24"/>
      <c r="N2198" s="312"/>
      <c r="O2198" s="312"/>
      <c r="Q2198" s="47"/>
      <c r="R2198" s="136" t="s">
        <v>2340</v>
      </c>
      <c r="S2198" s="25" t="s">
        <v>2159</v>
      </c>
      <c r="T2198" s="155">
        <v>20016</v>
      </c>
      <c r="U2198" s="155">
        <v>0</v>
      </c>
    </row>
    <row r="2199" spans="2:21" x14ac:dyDescent="0.3">
      <c r="B2199" s="47"/>
      <c r="C2199" s="24"/>
      <c r="D2199" s="312"/>
      <c r="E2199" s="312"/>
      <c r="G2199" s="47"/>
      <c r="H2199" s="24"/>
      <c r="I2199" s="312"/>
      <c r="J2199" s="312"/>
      <c r="L2199" s="47"/>
      <c r="M2199" s="24"/>
      <c r="N2199" s="312"/>
      <c r="O2199" s="312"/>
      <c r="Q2199" s="47"/>
      <c r="R2199" s="136" t="s">
        <v>2160</v>
      </c>
      <c r="S2199" s="25" t="s">
        <v>2161</v>
      </c>
      <c r="T2199" s="155">
        <v>47170</v>
      </c>
      <c r="U2199" s="155">
        <v>0</v>
      </c>
    </row>
    <row r="2200" spans="2:21" x14ac:dyDescent="0.3">
      <c r="B2200" s="47"/>
      <c r="C2200" s="24"/>
      <c r="D2200" s="312"/>
      <c r="E2200" s="312"/>
      <c r="G2200" s="47"/>
      <c r="H2200" s="24"/>
      <c r="I2200" s="312"/>
      <c r="J2200" s="312"/>
      <c r="L2200" s="47"/>
      <c r="M2200" s="24"/>
      <c r="N2200" s="312"/>
      <c r="O2200" s="312"/>
      <c r="Q2200" s="47"/>
      <c r="R2200" s="136" t="s">
        <v>2162</v>
      </c>
      <c r="S2200" s="25" t="s">
        <v>2163</v>
      </c>
      <c r="T2200" s="155">
        <v>22266</v>
      </c>
      <c r="U2200" s="155">
        <v>0</v>
      </c>
    </row>
    <row r="2201" spans="2:21" x14ac:dyDescent="0.3">
      <c r="B2201" s="47"/>
      <c r="C2201" s="24"/>
      <c r="D2201" s="312"/>
      <c r="E2201" s="312"/>
      <c r="G2201" s="47"/>
      <c r="H2201" s="24"/>
      <c r="I2201" s="312"/>
      <c r="J2201" s="312"/>
      <c r="L2201" s="47"/>
      <c r="M2201" s="24"/>
      <c r="N2201" s="312"/>
      <c r="O2201" s="312"/>
      <c r="Q2201" s="47"/>
      <c r="R2201" s="136" t="s">
        <v>2165</v>
      </c>
      <c r="S2201" s="25" t="s">
        <v>2166</v>
      </c>
      <c r="T2201" s="155">
        <v>31180</v>
      </c>
      <c r="U2201" s="155">
        <v>0</v>
      </c>
    </row>
    <row r="2202" spans="2:21" x14ac:dyDescent="0.3">
      <c r="B2202" s="47"/>
      <c r="C2202" s="24"/>
      <c r="D2202" s="312"/>
      <c r="E2202" s="312"/>
      <c r="G2202" s="47"/>
      <c r="H2202" s="24"/>
      <c r="I2202" s="312"/>
      <c r="J2202" s="312"/>
      <c r="L2202" s="47"/>
      <c r="M2202" s="24"/>
      <c r="N2202" s="312"/>
      <c r="O2202" s="312"/>
      <c r="Q2202" s="47"/>
      <c r="R2202" s="136" t="s">
        <v>2168</v>
      </c>
      <c r="S2202" s="25" t="s">
        <v>2169</v>
      </c>
      <c r="T2202" s="155">
        <v>7212</v>
      </c>
      <c r="U2202" s="155">
        <v>0</v>
      </c>
    </row>
    <row r="2203" spans="2:21" x14ac:dyDescent="0.3">
      <c r="B2203" s="47"/>
      <c r="C2203" s="24"/>
      <c r="D2203" s="312"/>
      <c r="E2203" s="312"/>
      <c r="G2203" s="47"/>
      <c r="H2203" s="24"/>
      <c r="I2203" s="312"/>
      <c r="J2203" s="312"/>
      <c r="L2203" s="47"/>
      <c r="M2203" s="24"/>
      <c r="N2203" s="312"/>
      <c r="O2203" s="312"/>
      <c r="Q2203" s="47"/>
      <c r="R2203" s="136" t="s">
        <v>2168</v>
      </c>
      <c r="S2203" s="25" t="s">
        <v>2169</v>
      </c>
      <c r="T2203" s="155">
        <v>23656</v>
      </c>
      <c r="U2203" s="155">
        <v>0</v>
      </c>
    </row>
    <row r="2204" spans="2:21" x14ac:dyDescent="0.3">
      <c r="B2204" s="47"/>
      <c r="C2204" s="24"/>
      <c r="D2204" s="312"/>
      <c r="E2204" s="312"/>
      <c r="G2204" s="47"/>
      <c r="H2204" s="24"/>
      <c r="I2204" s="312"/>
      <c r="J2204" s="312"/>
      <c r="L2204" s="47"/>
      <c r="M2204" s="24"/>
      <c r="N2204" s="312"/>
      <c r="O2204" s="312"/>
      <c r="Q2204" s="47"/>
      <c r="R2204" s="136" t="s">
        <v>3313</v>
      </c>
      <c r="S2204" s="25" t="s">
        <v>2211</v>
      </c>
      <c r="T2204" s="155">
        <v>20016</v>
      </c>
      <c r="U2204" s="155">
        <v>0</v>
      </c>
    </row>
    <row r="2205" spans="2:21" x14ac:dyDescent="0.3">
      <c r="B2205" s="47"/>
      <c r="C2205" s="24"/>
      <c r="D2205" s="312"/>
      <c r="E2205" s="312"/>
      <c r="G2205" s="47"/>
      <c r="H2205" s="24"/>
      <c r="I2205" s="312"/>
      <c r="J2205" s="312"/>
      <c r="L2205" s="47"/>
      <c r="M2205" s="24"/>
      <c r="N2205" s="312"/>
      <c r="O2205" s="312"/>
      <c r="Q2205" s="47"/>
      <c r="R2205" s="136" t="s">
        <v>2212</v>
      </c>
      <c r="S2205" s="25" t="s">
        <v>2213</v>
      </c>
      <c r="T2205" s="155">
        <v>22266</v>
      </c>
      <c r="U2205" s="155">
        <v>0</v>
      </c>
    </row>
    <row r="2206" spans="2:21" x14ac:dyDescent="0.3">
      <c r="B2206" s="47"/>
      <c r="C2206" s="24"/>
      <c r="D2206" s="312"/>
      <c r="E2206" s="312"/>
      <c r="G2206" s="47"/>
      <c r="H2206" s="24"/>
      <c r="I2206" s="312"/>
      <c r="J2206" s="312"/>
      <c r="L2206" s="47"/>
      <c r="M2206" s="24"/>
      <c r="N2206" s="312"/>
      <c r="O2206" s="312"/>
      <c r="Q2206" s="47"/>
      <c r="R2206" s="136" t="s">
        <v>2214</v>
      </c>
      <c r="S2206" s="25" t="s">
        <v>2215</v>
      </c>
      <c r="T2206" s="155">
        <v>38241</v>
      </c>
      <c r="U2206" s="155">
        <v>0</v>
      </c>
    </row>
    <row r="2207" spans="2:21" x14ac:dyDescent="0.3">
      <c r="B2207" s="47"/>
      <c r="C2207" s="24"/>
      <c r="D2207" s="312"/>
      <c r="E2207" s="312"/>
      <c r="G2207" s="47"/>
      <c r="H2207" s="24"/>
      <c r="I2207" s="312"/>
      <c r="J2207" s="312"/>
      <c r="L2207" s="47"/>
      <c r="M2207" s="24"/>
      <c r="N2207" s="312"/>
      <c r="O2207" s="312"/>
      <c r="Q2207" s="47"/>
      <c r="R2207" s="136" t="s">
        <v>1895</v>
      </c>
      <c r="S2207" s="25" t="s">
        <v>2174</v>
      </c>
      <c r="T2207" s="155">
        <v>44220</v>
      </c>
      <c r="U2207" s="155">
        <v>0</v>
      </c>
    </row>
    <row r="2208" spans="2:21" x14ac:dyDescent="0.3">
      <c r="B2208" s="47"/>
      <c r="C2208" s="24"/>
      <c r="D2208" s="312"/>
      <c r="E2208" s="312"/>
      <c r="G2208" s="47"/>
      <c r="H2208" s="24"/>
      <c r="I2208" s="312"/>
      <c r="J2208" s="312"/>
      <c r="L2208" s="47"/>
      <c r="M2208" s="24"/>
      <c r="N2208" s="312"/>
      <c r="O2208" s="312"/>
      <c r="Q2208" s="47"/>
      <c r="R2208" s="136" t="s">
        <v>2177</v>
      </c>
      <c r="S2208" s="25" t="s">
        <v>2341</v>
      </c>
      <c r="T2208" s="155">
        <v>20016</v>
      </c>
      <c r="U2208" s="155">
        <v>0</v>
      </c>
    </row>
    <row r="2209" spans="2:21" x14ac:dyDescent="0.3">
      <c r="B2209" s="47"/>
      <c r="C2209" s="24"/>
      <c r="D2209" s="312"/>
      <c r="E2209" s="312"/>
      <c r="G2209" s="47"/>
      <c r="H2209" s="24"/>
      <c r="I2209" s="312"/>
      <c r="J2209" s="312"/>
      <c r="L2209" s="47"/>
      <c r="M2209" s="24"/>
      <c r="N2209" s="312"/>
      <c r="O2209" s="312"/>
      <c r="Q2209" s="47"/>
      <c r="R2209" s="136" t="s">
        <v>2183</v>
      </c>
      <c r="S2209" s="25" t="s">
        <v>2182</v>
      </c>
      <c r="T2209" s="155">
        <v>80954</v>
      </c>
      <c r="U2209" s="155">
        <v>0</v>
      </c>
    </row>
    <row r="2210" spans="2:21" x14ac:dyDescent="0.3">
      <c r="B2210" s="47"/>
      <c r="C2210" s="24"/>
      <c r="D2210" s="312"/>
      <c r="E2210" s="312"/>
      <c r="G2210" s="47"/>
      <c r="H2210" s="24"/>
      <c r="I2210" s="312"/>
      <c r="J2210" s="312"/>
      <c r="L2210" s="47"/>
      <c r="M2210" s="24"/>
      <c r="N2210" s="312"/>
      <c r="O2210" s="312"/>
      <c r="Q2210" s="47"/>
      <c r="R2210" s="136" t="s">
        <v>2185</v>
      </c>
      <c r="S2210" s="25" t="s">
        <v>2184</v>
      </c>
      <c r="T2210" s="155">
        <v>58500</v>
      </c>
      <c r="U2210" s="155">
        <v>0</v>
      </c>
    </row>
    <row r="2211" spans="2:21" x14ac:dyDescent="0.3">
      <c r="B2211" s="47"/>
      <c r="C2211" s="24"/>
      <c r="D2211" s="312"/>
      <c r="E2211" s="312"/>
      <c r="G2211" s="47"/>
      <c r="H2211" s="24"/>
      <c r="I2211" s="312"/>
      <c r="J2211" s="312"/>
      <c r="L2211" s="47"/>
      <c r="M2211" s="24"/>
      <c r="N2211" s="312"/>
      <c r="O2211" s="312"/>
      <c r="Q2211" s="47"/>
      <c r="R2211" s="136" t="s">
        <v>2187</v>
      </c>
      <c r="S2211" s="25" t="s">
        <v>2186</v>
      </c>
      <c r="T2211" s="155">
        <v>42707</v>
      </c>
      <c r="U2211" s="155">
        <v>0</v>
      </c>
    </row>
    <row r="2212" spans="2:21" x14ac:dyDescent="0.3">
      <c r="B2212" s="47"/>
      <c r="C2212" s="24"/>
      <c r="D2212" s="312"/>
      <c r="E2212" s="312"/>
      <c r="G2212" s="47"/>
      <c r="H2212" s="24"/>
      <c r="I2212" s="312"/>
      <c r="J2212" s="312"/>
      <c r="L2212" s="47"/>
      <c r="M2212" s="24"/>
      <c r="N2212" s="312"/>
      <c r="O2212" s="312"/>
      <c r="Q2212" s="47"/>
      <c r="R2212" s="136" t="s">
        <v>2342</v>
      </c>
      <c r="S2212" s="25" t="s">
        <v>2188</v>
      </c>
      <c r="T2212" s="155">
        <v>23656</v>
      </c>
      <c r="U2212" s="155">
        <v>0</v>
      </c>
    </row>
    <row r="2213" spans="2:21" x14ac:dyDescent="0.3">
      <c r="B2213" s="47"/>
      <c r="C2213" s="24"/>
      <c r="D2213" s="312"/>
      <c r="E2213" s="312"/>
      <c r="G2213" s="47"/>
      <c r="H2213" s="24"/>
      <c r="I2213" s="312"/>
      <c r="J2213" s="312"/>
      <c r="L2213" s="47"/>
      <c r="M2213" s="24"/>
      <c r="N2213" s="312"/>
      <c r="O2213" s="312"/>
      <c r="Q2213" s="47"/>
      <c r="R2213" s="136" t="s">
        <v>2342</v>
      </c>
      <c r="S2213" s="25" t="s">
        <v>2188</v>
      </c>
      <c r="T2213" s="155">
        <v>7212</v>
      </c>
      <c r="U2213" s="155">
        <v>0</v>
      </c>
    </row>
    <row r="2214" spans="2:21" x14ac:dyDescent="0.3">
      <c r="B2214" s="47"/>
      <c r="C2214" s="24"/>
      <c r="D2214" s="312"/>
      <c r="E2214" s="312"/>
      <c r="G2214" s="47"/>
      <c r="H2214" s="24"/>
      <c r="I2214" s="312"/>
      <c r="J2214" s="312"/>
      <c r="L2214" s="47"/>
      <c r="M2214" s="24"/>
      <c r="N2214" s="312"/>
      <c r="O2214" s="312"/>
      <c r="Q2214" s="47"/>
      <c r="R2214" s="136" t="s">
        <v>2190</v>
      </c>
      <c r="S2214" s="25" t="s">
        <v>2189</v>
      </c>
      <c r="T2214" s="155">
        <v>27400</v>
      </c>
      <c r="U2214" s="155">
        <v>0</v>
      </c>
    </row>
    <row r="2215" spans="2:21" x14ac:dyDescent="0.3">
      <c r="B2215" s="47"/>
      <c r="C2215" s="24"/>
      <c r="D2215" s="312"/>
      <c r="E2215" s="312"/>
      <c r="G2215" s="47"/>
      <c r="H2215" s="24"/>
      <c r="I2215" s="312"/>
      <c r="J2215" s="312"/>
      <c r="L2215" s="47"/>
      <c r="M2215" s="24"/>
      <c r="N2215" s="312"/>
      <c r="O2215" s="312"/>
      <c r="Q2215" s="47"/>
      <c r="R2215" s="136" t="s">
        <v>2192</v>
      </c>
      <c r="S2215" s="25" t="s">
        <v>2191</v>
      </c>
      <c r="T2215" s="155">
        <v>29401</v>
      </c>
      <c r="U2215" s="155">
        <v>0</v>
      </c>
    </row>
    <row r="2216" spans="2:21" x14ac:dyDescent="0.3">
      <c r="B2216" s="47"/>
      <c r="C2216" s="24"/>
      <c r="D2216" s="312"/>
      <c r="E2216" s="312"/>
      <c r="G2216" s="47"/>
      <c r="H2216" s="24"/>
      <c r="I2216" s="312"/>
      <c r="J2216" s="312"/>
      <c r="L2216" s="47"/>
      <c r="M2216" s="24"/>
      <c r="N2216" s="312"/>
      <c r="O2216" s="312"/>
      <c r="Q2216" s="47"/>
      <c r="R2216" s="136" t="s">
        <v>1896</v>
      </c>
      <c r="S2216" s="25" t="s">
        <v>2193</v>
      </c>
      <c r="T2216" s="155">
        <v>17991</v>
      </c>
      <c r="U2216" s="155">
        <v>0</v>
      </c>
    </row>
    <row r="2217" spans="2:21" x14ac:dyDescent="0.3">
      <c r="B2217" s="47"/>
      <c r="C2217" s="24"/>
      <c r="D2217" s="312"/>
      <c r="E2217" s="312"/>
      <c r="G2217" s="47"/>
      <c r="H2217" s="24"/>
      <c r="I2217" s="312"/>
      <c r="J2217" s="312"/>
      <c r="L2217" s="47"/>
      <c r="M2217" s="24"/>
      <c r="N2217" s="312"/>
      <c r="O2217" s="312"/>
      <c r="Q2217" s="47"/>
      <c r="R2217" s="136" t="s">
        <v>3291</v>
      </c>
      <c r="S2217" s="25" t="s">
        <v>2171</v>
      </c>
      <c r="T2217" s="155">
        <v>51358</v>
      </c>
      <c r="U2217" s="155">
        <v>0</v>
      </c>
    </row>
    <row r="2218" spans="2:21" x14ac:dyDescent="0.3">
      <c r="B2218" s="47"/>
      <c r="C2218" s="24"/>
      <c r="D2218" s="312"/>
      <c r="E2218" s="312"/>
      <c r="G2218" s="47"/>
      <c r="H2218" s="24"/>
      <c r="I2218" s="312"/>
      <c r="J2218" s="312"/>
      <c r="L2218" s="47"/>
      <c r="M2218" s="24"/>
      <c r="N2218" s="312"/>
      <c r="O2218" s="312"/>
      <c r="Q2218" s="47"/>
      <c r="R2218" s="136" t="s">
        <v>1898</v>
      </c>
      <c r="S2218" s="25" t="s">
        <v>2218</v>
      </c>
      <c r="T2218" s="155">
        <v>20016</v>
      </c>
      <c r="U2218" s="155">
        <v>0</v>
      </c>
    </row>
    <row r="2219" spans="2:21" x14ac:dyDescent="0.3">
      <c r="B2219" s="47"/>
      <c r="C2219" s="24"/>
      <c r="D2219" s="312"/>
      <c r="E2219" s="312"/>
      <c r="G2219" s="47"/>
      <c r="H2219" s="24"/>
      <c r="I2219" s="312"/>
      <c r="J2219" s="312"/>
      <c r="L2219" s="47"/>
      <c r="M2219" s="24"/>
      <c r="N2219" s="312"/>
      <c r="O2219" s="312"/>
      <c r="Q2219" s="47"/>
      <c r="R2219" s="136" t="s">
        <v>2219</v>
      </c>
      <c r="S2219" s="25" t="s">
        <v>2220</v>
      </c>
      <c r="T2219" s="155">
        <v>58500</v>
      </c>
      <c r="U2219" s="155">
        <v>0</v>
      </c>
    </row>
    <row r="2220" spans="2:21" x14ac:dyDescent="0.3">
      <c r="B2220" s="47"/>
      <c r="C2220" s="24"/>
      <c r="D2220" s="312"/>
      <c r="E2220" s="312"/>
      <c r="G2220" s="47"/>
      <c r="H2220" s="24"/>
      <c r="I2220" s="312"/>
      <c r="J2220" s="312"/>
      <c r="L2220" s="47"/>
      <c r="M2220" s="24"/>
      <c r="N2220" s="312"/>
      <c r="O2220" s="312"/>
      <c r="Q2220" s="47"/>
      <c r="R2220" s="136" t="s">
        <v>2221</v>
      </c>
      <c r="S2220" s="25" t="s">
        <v>2222</v>
      </c>
      <c r="T2220" s="155">
        <v>22266</v>
      </c>
      <c r="U2220" s="155">
        <v>0</v>
      </c>
    </row>
    <row r="2221" spans="2:21" x14ac:dyDescent="0.3">
      <c r="B2221" s="47"/>
      <c r="C2221" s="24"/>
      <c r="D2221" s="312"/>
      <c r="E2221" s="312"/>
      <c r="G2221" s="47"/>
      <c r="H2221" s="24"/>
      <c r="I2221" s="312"/>
      <c r="J2221" s="312"/>
      <c r="L2221" s="47"/>
      <c r="M2221" s="24"/>
      <c r="N2221" s="312"/>
      <c r="O2221" s="312"/>
      <c r="Q2221" s="47"/>
      <c r="R2221" s="136" t="s">
        <v>2223</v>
      </c>
      <c r="S2221" s="25" t="s">
        <v>2224</v>
      </c>
      <c r="T2221" s="155">
        <v>26200</v>
      </c>
      <c r="U2221" s="155">
        <v>0</v>
      </c>
    </row>
    <row r="2222" spans="2:21" x14ac:dyDescent="0.3">
      <c r="B2222" s="47"/>
      <c r="C2222" s="24"/>
      <c r="D2222" s="312"/>
      <c r="E2222" s="312"/>
      <c r="G2222" s="47"/>
      <c r="H2222" s="24"/>
      <c r="I2222" s="312"/>
      <c r="J2222" s="312"/>
      <c r="L2222" s="47"/>
      <c r="M2222" s="24"/>
      <c r="N2222" s="312"/>
      <c r="O2222" s="312"/>
      <c r="Q2222" s="47"/>
      <c r="R2222" s="136" t="s">
        <v>2226</v>
      </c>
      <c r="S2222" s="25" t="s">
        <v>2227</v>
      </c>
      <c r="T2222" s="155">
        <v>26200</v>
      </c>
      <c r="U2222" s="155">
        <v>0</v>
      </c>
    </row>
    <row r="2223" spans="2:21" x14ac:dyDescent="0.3">
      <c r="B2223" s="47"/>
      <c r="C2223" s="24"/>
      <c r="D2223" s="312"/>
      <c r="E2223" s="312"/>
      <c r="G2223" s="47"/>
      <c r="H2223" s="24"/>
      <c r="I2223" s="312"/>
      <c r="J2223" s="312"/>
      <c r="L2223" s="47"/>
      <c r="M2223" s="24"/>
      <c r="N2223" s="312"/>
      <c r="O2223" s="312"/>
      <c r="Q2223" s="241">
        <v>80030004</v>
      </c>
      <c r="R2223" s="242"/>
      <c r="S2223" s="246" t="s">
        <v>1086</v>
      </c>
      <c r="T2223" s="239">
        <f>SUM(T2224:T2264)-SUM(U2224:U2264)</f>
        <v>2762303</v>
      </c>
      <c r="U2223" s="240">
        <v>0</v>
      </c>
    </row>
    <row r="2224" spans="2:21" x14ac:dyDescent="0.3">
      <c r="B2224" s="47"/>
      <c r="C2224" s="24"/>
      <c r="D2224" s="312"/>
      <c r="E2224" s="312"/>
      <c r="G2224" s="47"/>
      <c r="H2224" s="24"/>
      <c r="I2224" s="312"/>
      <c r="J2224" s="312"/>
      <c r="L2224" s="47"/>
      <c r="M2224" s="24"/>
      <c r="N2224" s="312"/>
      <c r="O2224" s="312"/>
      <c r="Q2224" s="47"/>
      <c r="R2224" s="136" t="s">
        <v>1931</v>
      </c>
      <c r="S2224" s="25" t="s">
        <v>1932</v>
      </c>
      <c r="T2224" s="155">
        <v>3048</v>
      </c>
      <c r="U2224" s="155">
        <v>0</v>
      </c>
    </row>
    <row r="2225" spans="2:21" x14ac:dyDescent="0.3">
      <c r="B2225" s="47"/>
      <c r="C2225" s="24"/>
      <c r="D2225" s="312"/>
      <c r="E2225" s="312"/>
      <c r="G2225" s="47"/>
      <c r="H2225" s="24"/>
      <c r="I2225" s="312"/>
      <c r="J2225" s="312"/>
      <c r="L2225" s="47"/>
      <c r="M2225" s="24"/>
      <c r="N2225" s="312"/>
      <c r="O2225" s="312"/>
      <c r="Q2225" s="47"/>
      <c r="R2225" s="136" t="s">
        <v>1934</v>
      </c>
      <c r="S2225" s="25" t="s">
        <v>2196</v>
      </c>
      <c r="T2225" s="155">
        <v>1913</v>
      </c>
      <c r="U2225" s="155">
        <v>0</v>
      </c>
    </row>
    <row r="2226" spans="2:21" x14ac:dyDescent="0.3">
      <c r="B2226" s="47"/>
      <c r="C2226" s="24"/>
      <c r="D2226" s="312"/>
      <c r="E2226" s="312"/>
      <c r="G2226" s="47"/>
      <c r="H2226" s="24"/>
      <c r="I2226" s="312"/>
      <c r="J2226" s="312"/>
      <c r="L2226" s="47"/>
      <c r="M2226" s="24"/>
      <c r="N2226" s="312"/>
      <c r="O2226" s="312"/>
      <c r="Q2226" s="47"/>
      <c r="R2226" s="136" t="s">
        <v>2156</v>
      </c>
      <c r="S2226" s="25" t="s">
        <v>2157</v>
      </c>
      <c r="T2226" s="155">
        <v>86341</v>
      </c>
      <c r="U2226" s="155">
        <v>0</v>
      </c>
    </row>
    <row r="2227" spans="2:21" x14ac:dyDescent="0.3">
      <c r="B2227" s="47"/>
      <c r="C2227" s="24"/>
      <c r="D2227" s="312"/>
      <c r="E2227" s="312"/>
      <c r="G2227" s="47"/>
      <c r="H2227" s="24"/>
      <c r="I2227" s="312"/>
      <c r="J2227" s="312"/>
      <c r="L2227" s="47"/>
      <c r="M2227" s="24"/>
      <c r="N2227" s="312"/>
      <c r="O2227" s="312"/>
      <c r="Q2227" s="47"/>
      <c r="R2227" s="136" t="s">
        <v>2199</v>
      </c>
      <c r="S2227" s="25" t="s">
        <v>2200</v>
      </c>
      <c r="T2227" s="155">
        <v>50246</v>
      </c>
      <c r="U2227" s="155">
        <v>0</v>
      </c>
    </row>
    <row r="2228" spans="2:21" x14ac:dyDescent="0.3">
      <c r="B2228" s="47"/>
      <c r="C2228" s="24"/>
      <c r="D2228" s="312"/>
      <c r="E2228" s="312"/>
      <c r="G2228" s="47"/>
      <c r="H2228" s="24"/>
      <c r="I2228" s="312"/>
      <c r="J2228" s="312"/>
      <c r="L2228" s="47"/>
      <c r="M2228" s="24"/>
      <c r="N2228" s="312"/>
      <c r="O2228" s="312"/>
      <c r="Q2228" s="47"/>
      <c r="R2228" s="136" t="s">
        <v>2201</v>
      </c>
      <c r="S2228" s="25" t="s">
        <v>2202</v>
      </c>
      <c r="T2228" s="155">
        <v>46503</v>
      </c>
      <c r="U2228" s="155">
        <v>0</v>
      </c>
    </row>
    <row r="2229" spans="2:21" x14ac:dyDescent="0.3">
      <c r="B2229" s="47"/>
      <c r="C2229" s="24"/>
      <c r="D2229" s="312"/>
      <c r="E2229" s="312"/>
      <c r="G2229" s="47"/>
      <c r="H2229" s="24"/>
      <c r="I2229" s="312"/>
      <c r="J2229" s="312"/>
      <c r="L2229" s="47"/>
      <c r="M2229" s="24"/>
      <c r="N2229" s="312"/>
      <c r="O2229" s="312"/>
      <c r="Q2229" s="47"/>
      <c r="R2229" s="136" t="s">
        <v>2203</v>
      </c>
      <c r="S2229" s="25" t="s">
        <v>2204</v>
      </c>
      <c r="T2229" s="155">
        <v>97029</v>
      </c>
      <c r="U2229" s="155">
        <v>0</v>
      </c>
    </row>
    <row r="2230" spans="2:21" x14ac:dyDescent="0.3">
      <c r="B2230" s="47"/>
      <c r="C2230" s="24"/>
      <c r="D2230" s="312"/>
      <c r="E2230" s="312"/>
      <c r="G2230" s="47"/>
      <c r="H2230" s="24"/>
      <c r="I2230" s="312"/>
      <c r="J2230" s="312"/>
      <c r="L2230" s="47"/>
      <c r="M2230" s="24"/>
      <c r="N2230" s="312"/>
      <c r="O2230" s="312"/>
      <c r="Q2230" s="47"/>
      <c r="R2230" s="136" t="s">
        <v>2205</v>
      </c>
      <c r="S2230" s="25" t="s">
        <v>2206</v>
      </c>
      <c r="T2230" s="155">
        <v>154078</v>
      </c>
      <c r="U2230" s="155">
        <v>0</v>
      </c>
    </row>
    <row r="2231" spans="2:21" x14ac:dyDescent="0.3">
      <c r="B2231" s="47"/>
      <c r="C2231" s="24"/>
      <c r="D2231" s="312"/>
      <c r="E2231" s="312"/>
      <c r="G2231" s="47"/>
      <c r="H2231" s="24"/>
      <c r="I2231" s="312"/>
      <c r="J2231" s="312"/>
      <c r="L2231" s="47"/>
      <c r="M2231" s="24"/>
      <c r="N2231" s="312"/>
      <c r="O2231" s="312"/>
      <c r="Q2231" s="47"/>
      <c r="R2231" s="136" t="s">
        <v>2207</v>
      </c>
      <c r="S2231" s="25" t="s">
        <v>2208</v>
      </c>
      <c r="T2231" s="155">
        <v>76969</v>
      </c>
      <c r="U2231" s="155">
        <v>0</v>
      </c>
    </row>
    <row r="2232" spans="2:21" x14ac:dyDescent="0.3">
      <c r="B2232" s="47"/>
      <c r="C2232" s="24"/>
      <c r="D2232" s="312"/>
      <c r="E2232" s="312"/>
      <c r="G2232" s="47"/>
      <c r="H2232" s="24"/>
      <c r="I2232" s="312"/>
      <c r="J2232" s="312"/>
      <c r="L2232" s="47"/>
      <c r="M2232" s="24"/>
      <c r="N2232" s="312"/>
      <c r="O2232" s="312"/>
      <c r="Q2232" s="47"/>
      <c r="R2232" s="136" t="s">
        <v>2209</v>
      </c>
      <c r="S2232" s="25" t="s">
        <v>2210</v>
      </c>
      <c r="T2232" s="155">
        <v>58618</v>
      </c>
      <c r="U2232" s="155">
        <v>0</v>
      </c>
    </row>
    <row r="2233" spans="2:21" x14ac:dyDescent="0.3">
      <c r="B2233" s="47"/>
      <c r="C2233" s="24"/>
      <c r="D2233" s="312"/>
      <c r="E2233" s="312"/>
      <c r="G2233" s="47"/>
      <c r="H2233" s="24"/>
      <c r="I2233" s="312"/>
      <c r="J2233" s="312"/>
      <c r="L2233" s="47"/>
      <c r="M2233" s="24"/>
      <c r="N2233" s="312"/>
      <c r="O2233" s="312"/>
      <c r="Q2233" s="47"/>
      <c r="R2233" s="136" t="s">
        <v>2340</v>
      </c>
      <c r="S2233" s="25" t="s">
        <v>2159</v>
      </c>
      <c r="T2233" s="155">
        <v>58382</v>
      </c>
      <c r="U2233" s="155">
        <v>0</v>
      </c>
    </row>
    <row r="2234" spans="2:21" x14ac:dyDescent="0.3">
      <c r="B2234" s="47"/>
      <c r="C2234" s="24"/>
      <c r="D2234" s="312"/>
      <c r="E2234" s="312"/>
      <c r="G2234" s="47"/>
      <c r="H2234" s="24"/>
      <c r="I2234" s="312"/>
      <c r="J2234" s="312"/>
      <c r="L2234" s="47"/>
      <c r="M2234" s="24"/>
      <c r="N2234" s="312"/>
      <c r="O2234" s="312"/>
      <c r="Q2234" s="47"/>
      <c r="R2234" s="136" t="s">
        <v>2160</v>
      </c>
      <c r="S2234" s="25" t="s">
        <v>2161</v>
      </c>
      <c r="T2234" s="155">
        <v>87562</v>
      </c>
      <c r="U2234" s="155">
        <v>0</v>
      </c>
    </row>
    <row r="2235" spans="2:21" x14ac:dyDescent="0.3">
      <c r="B2235" s="47"/>
      <c r="C2235" s="24"/>
      <c r="D2235" s="312"/>
      <c r="E2235" s="312"/>
      <c r="G2235" s="47"/>
      <c r="H2235" s="24"/>
      <c r="I2235" s="312"/>
      <c r="J2235" s="312"/>
      <c r="L2235" s="47"/>
      <c r="M2235" s="24"/>
      <c r="N2235" s="312"/>
      <c r="O2235" s="312"/>
      <c r="Q2235" s="47"/>
      <c r="R2235" s="136" t="s">
        <v>2162</v>
      </c>
      <c r="S2235" s="25" t="s">
        <v>2163</v>
      </c>
      <c r="T2235" s="155">
        <v>97576</v>
      </c>
      <c r="U2235" s="155">
        <v>0</v>
      </c>
    </row>
    <row r="2236" spans="2:21" x14ac:dyDescent="0.3">
      <c r="B2236" s="47"/>
      <c r="C2236" s="24"/>
      <c r="D2236" s="312"/>
      <c r="E2236" s="312"/>
      <c r="G2236" s="47"/>
      <c r="H2236" s="24"/>
      <c r="I2236" s="312"/>
      <c r="J2236" s="312"/>
      <c r="L2236" s="47"/>
      <c r="M2236" s="24"/>
      <c r="N2236" s="312"/>
      <c r="O2236" s="312"/>
      <c r="Q2236" s="47"/>
      <c r="R2236" s="136" t="s">
        <v>2165</v>
      </c>
      <c r="S2236" s="25" t="s">
        <v>2166</v>
      </c>
      <c r="T2236" s="155">
        <v>65632</v>
      </c>
      <c r="U2236" s="155">
        <v>0</v>
      </c>
    </row>
    <row r="2237" spans="2:21" x14ac:dyDescent="0.3">
      <c r="B2237" s="47"/>
      <c r="C2237" s="24"/>
      <c r="D2237" s="312"/>
      <c r="E2237" s="312"/>
      <c r="G2237" s="47"/>
      <c r="H2237" s="24"/>
      <c r="I2237" s="312"/>
      <c r="J2237" s="312"/>
      <c r="L2237" s="47"/>
      <c r="M2237" s="24"/>
      <c r="N2237" s="312"/>
      <c r="O2237" s="312"/>
      <c r="Q2237" s="47"/>
      <c r="R2237" s="136" t="s">
        <v>2168</v>
      </c>
      <c r="S2237" s="25" t="s">
        <v>2169</v>
      </c>
      <c r="T2237" s="155">
        <v>56402</v>
      </c>
      <c r="U2237" s="155">
        <v>0</v>
      </c>
    </row>
    <row r="2238" spans="2:21" x14ac:dyDescent="0.3">
      <c r="B2238" s="47"/>
      <c r="C2238" s="24"/>
      <c r="D2238" s="312"/>
      <c r="E2238" s="312"/>
      <c r="G2238" s="47"/>
      <c r="H2238" s="24"/>
      <c r="I2238" s="312"/>
      <c r="J2238" s="312"/>
      <c r="L2238" s="47"/>
      <c r="M2238" s="24"/>
      <c r="N2238" s="312"/>
      <c r="O2238" s="312"/>
      <c r="Q2238" s="47"/>
      <c r="R2238" s="136" t="s">
        <v>2168</v>
      </c>
      <c r="S2238" s="25" t="s">
        <v>2169</v>
      </c>
      <c r="T2238" s="155">
        <v>9593</v>
      </c>
      <c r="U2238" s="155">
        <v>0</v>
      </c>
    </row>
    <row r="2239" spans="2:21" x14ac:dyDescent="0.3">
      <c r="B2239" s="47"/>
      <c r="C2239" s="24"/>
      <c r="D2239" s="312"/>
      <c r="E2239" s="312"/>
      <c r="G2239" s="47"/>
      <c r="H2239" s="24"/>
      <c r="I2239" s="312"/>
      <c r="J2239" s="312"/>
      <c r="L2239" s="47"/>
      <c r="M2239" s="24"/>
      <c r="N2239" s="312"/>
      <c r="O2239" s="312"/>
      <c r="Q2239" s="47"/>
      <c r="R2239" s="136" t="s">
        <v>3313</v>
      </c>
      <c r="S2239" s="25" t="s">
        <v>2211</v>
      </c>
      <c r="T2239" s="155">
        <v>36766</v>
      </c>
      <c r="U2239" s="155">
        <v>0</v>
      </c>
    </row>
    <row r="2240" spans="2:21" x14ac:dyDescent="0.3">
      <c r="B2240" s="47"/>
      <c r="C2240" s="24"/>
      <c r="D2240" s="312"/>
      <c r="E2240" s="312"/>
      <c r="G2240" s="47"/>
      <c r="H2240" s="24"/>
      <c r="I2240" s="312"/>
      <c r="J2240" s="312"/>
      <c r="L2240" s="47"/>
      <c r="M2240" s="24"/>
      <c r="N2240" s="312"/>
      <c r="O2240" s="312"/>
      <c r="Q2240" s="47"/>
      <c r="R2240" s="136" t="s">
        <v>2212</v>
      </c>
      <c r="S2240" s="25" t="s">
        <v>2213</v>
      </c>
      <c r="T2240" s="155">
        <v>194010</v>
      </c>
      <c r="U2240" s="155">
        <v>0</v>
      </c>
    </row>
    <row r="2241" spans="2:21" x14ac:dyDescent="0.3">
      <c r="B2241" s="47"/>
      <c r="C2241" s="24"/>
      <c r="D2241" s="312"/>
      <c r="E2241" s="312"/>
      <c r="G2241" s="47"/>
      <c r="H2241" s="24"/>
      <c r="I2241" s="312"/>
      <c r="J2241" s="312"/>
      <c r="L2241" s="47"/>
      <c r="M2241" s="24"/>
      <c r="N2241" s="312"/>
      <c r="O2241" s="312"/>
      <c r="Q2241" s="47"/>
      <c r="R2241" s="136" t="s">
        <v>2214</v>
      </c>
      <c r="S2241" s="25" t="s">
        <v>2215</v>
      </c>
      <c r="T2241" s="155">
        <v>80360</v>
      </c>
      <c r="U2241" s="155">
        <v>0</v>
      </c>
    </row>
    <row r="2242" spans="2:21" x14ac:dyDescent="0.3">
      <c r="B2242" s="47"/>
      <c r="C2242" s="24"/>
      <c r="D2242" s="312"/>
      <c r="E2242" s="312"/>
      <c r="G2242" s="47"/>
      <c r="H2242" s="24"/>
      <c r="I2242" s="312"/>
      <c r="J2242" s="312"/>
      <c r="L2242" s="47"/>
      <c r="M2242" s="24"/>
      <c r="N2242" s="312"/>
      <c r="O2242" s="312"/>
      <c r="Q2242" s="47"/>
      <c r="R2242" s="136" t="s">
        <v>1985</v>
      </c>
      <c r="S2242" s="25" t="s">
        <v>2197</v>
      </c>
      <c r="T2242" s="155">
        <v>295</v>
      </c>
      <c r="U2242" s="155">
        <v>0</v>
      </c>
    </row>
    <row r="2243" spans="2:21" x14ac:dyDescent="0.3">
      <c r="B2243" s="47"/>
      <c r="C2243" s="24"/>
      <c r="D2243" s="312"/>
      <c r="E2243" s="312"/>
      <c r="G2243" s="47"/>
      <c r="H2243" s="24"/>
      <c r="I2243" s="312"/>
      <c r="J2243" s="312"/>
      <c r="L2243" s="47"/>
      <c r="M2243" s="24"/>
      <c r="N2243" s="312"/>
      <c r="O2243" s="312"/>
      <c r="Q2243" s="47"/>
      <c r="R2243" s="136" t="s">
        <v>1895</v>
      </c>
      <c r="S2243" s="25" t="s">
        <v>2174</v>
      </c>
      <c r="T2243" s="155">
        <v>44142</v>
      </c>
      <c r="U2243" s="155">
        <v>0</v>
      </c>
    </row>
    <row r="2244" spans="2:21" x14ac:dyDescent="0.3">
      <c r="B2244" s="47"/>
      <c r="C2244" s="24"/>
      <c r="D2244" s="312"/>
      <c r="E2244" s="312"/>
      <c r="G2244" s="47"/>
      <c r="H2244" s="24"/>
      <c r="I2244" s="312"/>
      <c r="J2244" s="312"/>
      <c r="L2244" s="47"/>
      <c r="M2244" s="24"/>
      <c r="N2244" s="312"/>
      <c r="O2244" s="312"/>
      <c r="Q2244" s="47"/>
      <c r="R2244" s="136" t="s">
        <v>2177</v>
      </c>
      <c r="S2244" s="25" t="s">
        <v>2341</v>
      </c>
      <c r="T2244" s="155">
        <v>56671</v>
      </c>
      <c r="U2244" s="155">
        <v>0</v>
      </c>
    </row>
    <row r="2245" spans="2:21" x14ac:dyDescent="0.3">
      <c r="B2245" s="47"/>
      <c r="C2245" s="24"/>
      <c r="D2245" s="312"/>
      <c r="E2245" s="312"/>
      <c r="G2245" s="47"/>
      <c r="H2245" s="24"/>
      <c r="I2245" s="312"/>
      <c r="J2245" s="312"/>
      <c r="L2245" s="47"/>
      <c r="M2245" s="24"/>
      <c r="N2245" s="312"/>
      <c r="O2245" s="312"/>
      <c r="Q2245" s="47"/>
      <c r="R2245" s="136" t="s">
        <v>2183</v>
      </c>
      <c r="S2245" s="25" t="s">
        <v>2182</v>
      </c>
      <c r="T2245" s="155">
        <v>187054</v>
      </c>
      <c r="U2245" s="155">
        <v>0</v>
      </c>
    </row>
    <row r="2246" spans="2:21" x14ac:dyDescent="0.3">
      <c r="B2246" s="47"/>
      <c r="C2246" s="24"/>
      <c r="D2246" s="312"/>
      <c r="E2246" s="312"/>
      <c r="G2246" s="47"/>
      <c r="H2246" s="24"/>
      <c r="I2246" s="312"/>
      <c r="J2246" s="312"/>
      <c r="L2246" s="47"/>
      <c r="M2246" s="24"/>
      <c r="N2246" s="312"/>
      <c r="O2246" s="312"/>
      <c r="Q2246" s="47"/>
      <c r="R2246" s="136" t="s">
        <v>2185</v>
      </c>
      <c r="S2246" s="25" t="s">
        <v>2184</v>
      </c>
      <c r="T2246" s="155">
        <v>212089</v>
      </c>
      <c r="U2246" s="155">
        <v>0</v>
      </c>
    </row>
    <row r="2247" spans="2:21" x14ac:dyDescent="0.3">
      <c r="B2247" s="47"/>
      <c r="C2247" s="24"/>
      <c r="D2247" s="312"/>
      <c r="E2247" s="312"/>
      <c r="G2247" s="47"/>
      <c r="H2247" s="24"/>
      <c r="I2247" s="312"/>
      <c r="J2247" s="312"/>
      <c r="L2247" s="47"/>
      <c r="M2247" s="24"/>
      <c r="N2247" s="312"/>
      <c r="O2247" s="312"/>
      <c r="Q2247" s="47"/>
      <c r="R2247" s="136" t="s">
        <v>2187</v>
      </c>
      <c r="S2247" s="25" t="s">
        <v>2186</v>
      </c>
      <c r="T2247" s="155">
        <v>224409</v>
      </c>
      <c r="U2247" s="155">
        <v>0</v>
      </c>
    </row>
    <row r="2248" spans="2:21" x14ac:dyDescent="0.3">
      <c r="B2248" s="47"/>
      <c r="C2248" s="24"/>
      <c r="D2248" s="312"/>
      <c r="E2248" s="312"/>
      <c r="G2248" s="47"/>
      <c r="H2248" s="24"/>
      <c r="I2248" s="312"/>
      <c r="J2248" s="312"/>
      <c r="L2248" s="47"/>
      <c r="M2248" s="24"/>
      <c r="N2248" s="312"/>
      <c r="O2248" s="312"/>
      <c r="Q2248" s="47"/>
      <c r="R2248" s="136" t="s">
        <v>2342</v>
      </c>
      <c r="S2248" s="25" t="s">
        <v>2188</v>
      </c>
      <c r="T2248" s="155">
        <v>34840</v>
      </c>
      <c r="U2248" s="155">
        <v>0</v>
      </c>
    </row>
    <row r="2249" spans="2:21" x14ac:dyDescent="0.3">
      <c r="B2249" s="47"/>
      <c r="C2249" s="24"/>
      <c r="D2249" s="312"/>
      <c r="E2249" s="312"/>
      <c r="G2249" s="47"/>
      <c r="H2249" s="24"/>
      <c r="I2249" s="312"/>
      <c r="J2249" s="312"/>
      <c r="L2249" s="47"/>
      <c r="M2249" s="24"/>
      <c r="N2249" s="312"/>
      <c r="O2249" s="312"/>
      <c r="Q2249" s="47"/>
      <c r="R2249" s="136" t="s">
        <v>2342</v>
      </c>
      <c r="S2249" s="25" t="s">
        <v>2188</v>
      </c>
      <c r="T2249" s="155">
        <v>18141</v>
      </c>
      <c r="U2249" s="155">
        <v>0</v>
      </c>
    </row>
    <row r="2250" spans="2:21" x14ac:dyDescent="0.3">
      <c r="B2250" s="47"/>
      <c r="C2250" s="24"/>
      <c r="D2250" s="312"/>
      <c r="E2250" s="312"/>
      <c r="G2250" s="47"/>
      <c r="H2250" s="24"/>
      <c r="I2250" s="312"/>
      <c r="J2250" s="312"/>
      <c r="L2250" s="47"/>
      <c r="M2250" s="24"/>
      <c r="N2250" s="312"/>
      <c r="O2250" s="312"/>
      <c r="Q2250" s="47"/>
      <c r="R2250" s="136" t="s">
        <v>2190</v>
      </c>
      <c r="S2250" s="25" t="s">
        <v>2189</v>
      </c>
      <c r="T2250" s="155">
        <v>281220</v>
      </c>
      <c r="U2250" s="155">
        <v>0</v>
      </c>
    </row>
    <row r="2251" spans="2:21" x14ac:dyDescent="0.3">
      <c r="B2251" s="47"/>
      <c r="C2251" s="24"/>
      <c r="D2251" s="312"/>
      <c r="E2251" s="312"/>
      <c r="G2251" s="47"/>
      <c r="H2251" s="24"/>
      <c r="I2251" s="312"/>
      <c r="J2251" s="312"/>
      <c r="L2251" s="47"/>
      <c r="M2251" s="24"/>
      <c r="N2251" s="312"/>
      <c r="O2251" s="312"/>
      <c r="Q2251" s="47"/>
      <c r="R2251" s="136" t="s">
        <v>2192</v>
      </c>
      <c r="S2251" s="25" t="s">
        <v>2191</v>
      </c>
      <c r="T2251" s="155">
        <v>40655</v>
      </c>
      <c r="U2251" s="155">
        <v>0</v>
      </c>
    </row>
    <row r="2252" spans="2:21" x14ac:dyDescent="0.3">
      <c r="B2252" s="47"/>
      <c r="C2252" s="24"/>
      <c r="D2252" s="312"/>
      <c r="E2252" s="312"/>
      <c r="G2252" s="47"/>
      <c r="H2252" s="24"/>
      <c r="I2252" s="312"/>
      <c r="J2252" s="312"/>
      <c r="L2252" s="47"/>
      <c r="M2252" s="24"/>
      <c r="N2252" s="312"/>
      <c r="O2252" s="312"/>
      <c r="Q2252" s="47"/>
      <c r="R2252" s="136" t="s">
        <v>1896</v>
      </c>
      <c r="S2252" s="25" t="s">
        <v>2193</v>
      </c>
      <c r="T2252" s="155">
        <v>135939</v>
      </c>
      <c r="U2252" s="155">
        <v>0</v>
      </c>
    </row>
    <row r="2253" spans="2:21" x14ac:dyDescent="0.3">
      <c r="B2253" s="47"/>
      <c r="C2253" s="24"/>
      <c r="D2253" s="312"/>
      <c r="E2253" s="312"/>
      <c r="G2253" s="47"/>
      <c r="H2253" s="24"/>
      <c r="I2253" s="312"/>
      <c r="J2253" s="312"/>
      <c r="L2253" s="47"/>
      <c r="M2253" s="24"/>
      <c r="N2253" s="312"/>
      <c r="O2253" s="312"/>
      <c r="Q2253" s="47"/>
      <c r="R2253" s="136" t="s">
        <v>3291</v>
      </c>
      <c r="S2253" s="25" t="s">
        <v>2171</v>
      </c>
      <c r="T2253" s="155">
        <v>33323</v>
      </c>
      <c r="U2253" s="155">
        <v>0</v>
      </c>
    </row>
    <row r="2254" spans="2:21" x14ac:dyDescent="0.3">
      <c r="B2254" s="47"/>
      <c r="C2254" s="24"/>
      <c r="D2254" s="312"/>
      <c r="E2254" s="312"/>
      <c r="G2254" s="47"/>
      <c r="H2254" s="24"/>
      <c r="I2254" s="312"/>
      <c r="J2254" s="312"/>
      <c r="L2254" s="47"/>
      <c r="M2254" s="24"/>
      <c r="N2254" s="312"/>
      <c r="O2254" s="312"/>
      <c r="Q2254" s="47"/>
      <c r="R2254" s="136" t="s">
        <v>1898</v>
      </c>
      <c r="S2254" s="25" t="s">
        <v>2218</v>
      </c>
      <c r="T2254" s="155">
        <v>2250</v>
      </c>
      <c r="U2254" s="155">
        <v>0</v>
      </c>
    </row>
    <row r="2255" spans="2:21" x14ac:dyDescent="0.3">
      <c r="B2255" s="47"/>
      <c r="C2255" s="24"/>
      <c r="D2255" s="312"/>
      <c r="E2255" s="312"/>
      <c r="G2255" s="47"/>
      <c r="H2255" s="24"/>
      <c r="I2255" s="312"/>
      <c r="J2255" s="312"/>
      <c r="L2255" s="47"/>
      <c r="M2255" s="24"/>
      <c r="N2255" s="312"/>
      <c r="O2255" s="312"/>
      <c r="Q2255" s="47"/>
      <c r="R2255" s="136" t="s">
        <v>2219</v>
      </c>
      <c r="S2255" s="25" t="s">
        <v>2220</v>
      </c>
      <c r="T2255" s="155">
        <v>18757</v>
      </c>
      <c r="U2255" s="155">
        <v>0</v>
      </c>
    </row>
    <row r="2256" spans="2:21" x14ac:dyDescent="0.3">
      <c r="B2256" s="47"/>
      <c r="C2256" s="24"/>
      <c r="D2256" s="312"/>
      <c r="E2256" s="312"/>
      <c r="G2256" s="47"/>
      <c r="H2256" s="24"/>
      <c r="I2256" s="312"/>
      <c r="J2256" s="312"/>
      <c r="L2256" s="47"/>
      <c r="M2256" s="24"/>
      <c r="N2256" s="312"/>
      <c r="O2256" s="312"/>
      <c r="Q2256" s="47"/>
      <c r="R2256" s="136" t="s">
        <v>2221</v>
      </c>
      <c r="S2256" s="25" t="s">
        <v>2222</v>
      </c>
      <c r="T2256" s="155">
        <v>59554</v>
      </c>
      <c r="U2256" s="155">
        <v>0</v>
      </c>
    </row>
    <row r="2257" spans="2:21" x14ac:dyDescent="0.3">
      <c r="B2257" s="47"/>
      <c r="C2257" s="24"/>
      <c r="D2257" s="312"/>
      <c r="E2257" s="312"/>
      <c r="G2257" s="47"/>
      <c r="H2257" s="24"/>
      <c r="I2257" s="312"/>
      <c r="J2257" s="312"/>
      <c r="L2257" s="47"/>
      <c r="M2257" s="24"/>
      <c r="N2257" s="312"/>
      <c r="O2257" s="312"/>
      <c r="Q2257" s="47"/>
      <c r="R2257" s="136" t="s">
        <v>2223</v>
      </c>
      <c r="S2257" s="25" t="s">
        <v>2224</v>
      </c>
      <c r="T2257" s="155">
        <v>32160</v>
      </c>
      <c r="U2257" s="155">
        <v>0</v>
      </c>
    </row>
    <row r="2258" spans="2:21" x14ac:dyDescent="0.3">
      <c r="B2258" s="47"/>
      <c r="C2258" s="24"/>
      <c r="D2258" s="312"/>
      <c r="E2258" s="312"/>
      <c r="G2258" s="47"/>
      <c r="H2258" s="24"/>
      <c r="I2258" s="312"/>
      <c r="J2258" s="312"/>
      <c r="L2258" s="47"/>
      <c r="M2258" s="24"/>
      <c r="N2258" s="312"/>
      <c r="O2258" s="312"/>
      <c r="Q2258" s="47"/>
      <c r="R2258" s="136" t="s">
        <v>2226</v>
      </c>
      <c r="S2258" s="25" t="s">
        <v>2227</v>
      </c>
      <c r="T2258" s="155">
        <v>51608</v>
      </c>
      <c r="U2258" s="155">
        <v>0</v>
      </c>
    </row>
    <row r="2259" spans="2:21" x14ac:dyDescent="0.3">
      <c r="B2259" s="47"/>
      <c r="C2259" s="24"/>
      <c r="D2259" s="312"/>
      <c r="E2259" s="312"/>
      <c r="G2259" s="47"/>
      <c r="H2259" s="24"/>
      <c r="I2259" s="312"/>
      <c r="J2259" s="312"/>
      <c r="L2259" s="47"/>
      <c r="M2259" s="24"/>
      <c r="N2259" s="312"/>
      <c r="O2259" s="312"/>
      <c r="Q2259" s="47"/>
      <c r="R2259" s="136" t="s">
        <v>2228</v>
      </c>
      <c r="S2259" s="25" t="s">
        <v>1990</v>
      </c>
      <c r="T2259" s="155">
        <v>5294</v>
      </c>
      <c r="U2259" s="155">
        <v>0</v>
      </c>
    </row>
    <row r="2260" spans="2:21" x14ac:dyDescent="0.3">
      <c r="B2260" s="47"/>
      <c r="C2260" s="24"/>
      <c r="D2260" s="312"/>
      <c r="E2260" s="312"/>
      <c r="G2260" s="47"/>
      <c r="H2260" s="24"/>
      <c r="I2260" s="312"/>
      <c r="J2260" s="312"/>
      <c r="L2260" s="47"/>
      <c r="M2260" s="24"/>
      <c r="N2260" s="312"/>
      <c r="O2260" s="312"/>
      <c r="Q2260" s="47"/>
      <c r="R2260" s="136" t="s">
        <v>2229</v>
      </c>
      <c r="S2260" s="25" t="s">
        <v>1987</v>
      </c>
      <c r="T2260" s="155">
        <v>2252</v>
      </c>
      <c r="U2260" s="155">
        <v>0</v>
      </c>
    </row>
    <row r="2261" spans="2:21" x14ac:dyDescent="0.3">
      <c r="B2261" s="47"/>
      <c r="C2261" s="24"/>
      <c r="D2261" s="312"/>
      <c r="E2261" s="312"/>
      <c r="G2261" s="47"/>
      <c r="H2261" s="24"/>
      <c r="I2261" s="312"/>
      <c r="J2261" s="312"/>
      <c r="L2261" s="47"/>
      <c r="M2261" s="24"/>
      <c r="N2261" s="312"/>
      <c r="O2261" s="312"/>
      <c r="Q2261" s="47"/>
      <c r="R2261" s="136" t="s">
        <v>2230</v>
      </c>
      <c r="S2261" s="25" t="s">
        <v>2231</v>
      </c>
      <c r="T2261" s="155">
        <v>30942</v>
      </c>
      <c r="U2261" s="155">
        <v>0</v>
      </c>
    </row>
    <row r="2262" spans="2:21" x14ac:dyDescent="0.3">
      <c r="B2262" s="47"/>
      <c r="C2262" s="24"/>
      <c r="D2262" s="312"/>
      <c r="E2262" s="312"/>
      <c r="G2262" s="47"/>
      <c r="H2262" s="24"/>
      <c r="I2262" s="312"/>
      <c r="J2262" s="312"/>
      <c r="L2262" s="47"/>
      <c r="M2262" s="24"/>
      <c r="N2262" s="312"/>
      <c r="O2262" s="312"/>
      <c r="Q2262" s="47"/>
      <c r="R2262" s="136" t="s">
        <v>2232</v>
      </c>
      <c r="S2262" s="25" t="s">
        <v>1988</v>
      </c>
      <c r="T2262" s="155">
        <v>18078</v>
      </c>
      <c r="U2262" s="155">
        <v>0</v>
      </c>
    </row>
    <row r="2263" spans="2:21" x14ac:dyDescent="0.3">
      <c r="B2263" s="47"/>
      <c r="C2263" s="24"/>
      <c r="D2263" s="312"/>
      <c r="E2263" s="312"/>
      <c r="G2263" s="47"/>
      <c r="H2263" s="24"/>
      <c r="I2263" s="312"/>
      <c r="J2263" s="312"/>
      <c r="L2263" s="47"/>
      <c r="M2263" s="24"/>
      <c r="N2263" s="312"/>
      <c r="O2263" s="312"/>
      <c r="Q2263" s="47"/>
      <c r="R2263" s="136" t="s">
        <v>2233</v>
      </c>
      <c r="S2263" s="25" t="s">
        <v>1989</v>
      </c>
      <c r="T2263" s="155">
        <v>5705</v>
      </c>
      <c r="U2263" s="155">
        <v>0</v>
      </c>
    </row>
    <row r="2264" spans="2:21" x14ac:dyDescent="0.3">
      <c r="B2264" s="47"/>
      <c r="C2264" s="24"/>
      <c r="D2264" s="312"/>
      <c r="E2264" s="312"/>
      <c r="G2264" s="47"/>
      <c r="H2264" s="24"/>
      <c r="I2264" s="312"/>
      <c r="J2264" s="312"/>
      <c r="L2264" s="47"/>
      <c r="M2264" s="24"/>
      <c r="N2264" s="312"/>
      <c r="O2264" s="312"/>
      <c r="Q2264" s="47"/>
      <c r="R2264" s="136" t="s">
        <v>2234</v>
      </c>
      <c r="S2264" s="25" t="s">
        <v>2235</v>
      </c>
      <c r="T2264" s="155">
        <v>5897</v>
      </c>
      <c r="U2264" s="155">
        <v>0</v>
      </c>
    </row>
    <row r="2265" spans="2:21" x14ac:dyDescent="0.3">
      <c r="B2265" s="47"/>
      <c r="C2265" s="24"/>
      <c r="D2265" s="312"/>
      <c r="E2265" s="312"/>
      <c r="G2265" s="47"/>
      <c r="H2265" s="24"/>
      <c r="I2265" s="312"/>
      <c r="J2265" s="312"/>
      <c r="L2265" s="47"/>
      <c r="M2265" s="24"/>
      <c r="N2265" s="312"/>
      <c r="O2265" s="312"/>
      <c r="Q2265" s="47"/>
      <c r="R2265" s="136"/>
      <c r="S2265" s="24"/>
      <c r="T2265" s="155"/>
      <c r="U2265" s="155"/>
    </row>
    <row r="2266" spans="2:21" x14ac:dyDescent="0.3">
      <c r="B2266" s="47"/>
      <c r="C2266" s="24"/>
      <c r="D2266" s="312"/>
      <c r="E2266" s="312"/>
      <c r="G2266" s="47"/>
      <c r="H2266" s="24"/>
      <c r="I2266" s="312"/>
      <c r="J2266" s="312"/>
      <c r="K2266">
        <v>8004</v>
      </c>
      <c r="L2266" s="241">
        <v>8004</v>
      </c>
      <c r="M2266" s="243" t="s">
        <v>909</v>
      </c>
      <c r="N2266" s="314">
        <f>T2266+T2304+T2323+T2324+T2360</f>
        <v>60303663</v>
      </c>
      <c r="O2266" s="314">
        <v>0</v>
      </c>
      <c r="Q2266" s="241">
        <v>80040001</v>
      </c>
      <c r="R2266" s="242"/>
      <c r="S2266" s="246" t="s">
        <v>1087</v>
      </c>
      <c r="T2266" s="239">
        <f>SUM(T2267:T2303)-SUM(U2267:U2303)</f>
        <v>30869425</v>
      </c>
      <c r="U2266" s="240">
        <v>0</v>
      </c>
    </row>
    <row r="2267" spans="2:21" x14ac:dyDescent="0.3">
      <c r="B2267" s="47"/>
      <c r="C2267" s="24"/>
      <c r="D2267" s="312"/>
      <c r="E2267" s="312"/>
      <c r="G2267" s="47"/>
      <c r="H2267" s="24"/>
      <c r="I2267" s="312"/>
      <c r="J2267" s="312"/>
      <c r="L2267" s="47"/>
      <c r="M2267" s="24"/>
      <c r="N2267" s="312"/>
      <c r="O2267" s="312"/>
      <c r="Q2267" s="47"/>
      <c r="R2267" s="136" t="s">
        <v>1931</v>
      </c>
      <c r="S2267" s="25" t="s">
        <v>1932</v>
      </c>
      <c r="T2267" s="155">
        <v>420000</v>
      </c>
      <c r="U2267" s="155">
        <v>0</v>
      </c>
    </row>
    <row r="2268" spans="2:21" x14ac:dyDescent="0.3">
      <c r="B2268" s="47"/>
      <c r="C2268" s="24"/>
      <c r="D2268" s="312"/>
      <c r="E2268" s="312"/>
      <c r="G2268" s="47"/>
      <c r="H2268" s="24"/>
      <c r="I2268" s="312"/>
      <c r="J2268" s="312"/>
      <c r="L2268" s="47"/>
      <c r="M2268" s="24"/>
      <c r="N2268" s="312"/>
      <c r="O2268" s="312"/>
      <c r="Q2268" s="47"/>
      <c r="R2268" s="136" t="s">
        <v>1933</v>
      </c>
      <c r="S2268" s="25" t="s">
        <v>2195</v>
      </c>
      <c r="T2268" s="155">
        <v>101700</v>
      </c>
      <c r="U2268" s="155">
        <v>0</v>
      </c>
    </row>
    <row r="2269" spans="2:21" x14ac:dyDescent="0.3">
      <c r="B2269" s="47"/>
      <c r="C2269" s="24"/>
      <c r="D2269" s="312"/>
      <c r="E2269" s="312"/>
      <c r="G2269" s="47"/>
      <c r="H2269" s="24"/>
      <c r="I2269" s="312"/>
      <c r="J2269" s="312"/>
      <c r="L2269" s="47"/>
      <c r="M2269" s="24"/>
      <c r="N2269" s="312"/>
      <c r="O2269" s="312"/>
      <c r="Q2269" s="47"/>
      <c r="R2269" s="136" t="s">
        <v>1934</v>
      </c>
      <c r="S2269" s="25" t="s">
        <v>2196</v>
      </c>
      <c r="T2269" s="155">
        <v>152567</v>
      </c>
      <c r="U2269" s="155">
        <v>0</v>
      </c>
    </row>
    <row r="2270" spans="2:21" x14ac:dyDescent="0.3">
      <c r="B2270" s="47"/>
      <c r="C2270" s="24"/>
      <c r="D2270" s="312"/>
      <c r="E2270" s="312"/>
      <c r="G2270" s="47"/>
      <c r="H2270" s="24"/>
      <c r="I2270" s="312"/>
      <c r="J2270" s="312"/>
      <c r="L2270" s="47"/>
      <c r="M2270" s="24"/>
      <c r="N2270" s="312"/>
      <c r="O2270" s="312"/>
      <c r="Q2270" s="47"/>
      <c r="R2270" s="136" t="s">
        <v>2156</v>
      </c>
      <c r="S2270" s="25" t="s">
        <v>2157</v>
      </c>
      <c r="T2270" s="155">
        <v>834527</v>
      </c>
      <c r="U2270" s="155">
        <v>0</v>
      </c>
    </row>
    <row r="2271" spans="2:21" x14ac:dyDescent="0.3">
      <c r="B2271" s="47"/>
      <c r="C2271" s="24"/>
      <c r="D2271" s="312"/>
      <c r="E2271" s="312"/>
      <c r="G2271" s="47"/>
      <c r="H2271" s="24"/>
      <c r="I2271" s="312"/>
      <c r="J2271" s="312"/>
      <c r="L2271" s="47"/>
      <c r="M2271" s="24"/>
      <c r="N2271" s="312"/>
      <c r="O2271" s="312"/>
      <c r="Q2271" s="47"/>
      <c r="R2271" s="136" t="s">
        <v>2199</v>
      </c>
      <c r="S2271" s="25" t="s">
        <v>2200</v>
      </c>
      <c r="T2271" s="155">
        <v>1103993</v>
      </c>
      <c r="U2271" s="155">
        <v>0</v>
      </c>
    </row>
    <row r="2272" spans="2:21" x14ac:dyDescent="0.3">
      <c r="B2272" s="47"/>
      <c r="C2272" s="24"/>
      <c r="D2272" s="312"/>
      <c r="E2272" s="312"/>
      <c r="G2272" s="47"/>
      <c r="H2272" s="24"/>
      <c r="I2272" s="312"/>
      <c r="J2272" s="312"/>
      <c r="L2272" s="47"/>
      <c r="M2272" s="24"/>
      <c r="N2272" s="312"/>
      <c r="O2272" s="312"/>
      <c r="Q2272" s="47"/>
      <c r="R2272" s="136" t="s">
        <v>2201</v>
      </c>
      <c r="S2272" s="25" t="s">
        <v>2202</v>
      </c>
      <c r="T2272" s="155">
        <v>1080000</v>
      </c>
      <c r="U2272" s="155">
        <v>0</v>
      </c>
    </row>
    <row r="2273" spans="2:21" x14ac:dyDescent="0.3">
      <c r="B2273" s="47"/>
      <c r="C2273" s="24"/>
      <c r="D2273" s="312"/>
      <c r="E2273" s="312"/>
      <c r="G2273" s="47"/>
      <c r="H2273" s="24"/>
      <c r="I2273" s="312"/>
      <c r="J2273" s="312"/>
      <c r="L2273" s="47"/>
      <c r="M2273" s="24"/>
      <c r="N2273" s="312"/>
      <c r="O2273" s="312"/>
      <c r="Q2273" s="47"/>
      <c r="R2273" s="136" t="s">
        <v>2203</v>
      </c>
      <c r="S2273" s="25" t="s">
        <v>2204</v>
      </c>
      <c r="T2273" s="155">
        <v>169958</v>
      </c>
      <c r="U2273" s="155">
        <v>0</v>
      </c>
    </row>
    <row r="2274" spans="2:21" x14ac:dyDescent="0.3">
      <c r="B2274" s="47"/>
      <c r="C2274" s="24"/>
      <c r="D2274" s="312"/>
      <c r="E2274" s="312"/>
      <c r="G2274" s="47"/>
      <c r="H2274" s="24"/>
      <c r="I2274" s="312"/>
      <c r="J2274" s="312"/>
      <c r="L2274" s="47"/>
      <c r="M2274" s="24"/>
      <c r="N2274" s="312"/>
      <c r="O2274" s="312"/>
      <c r="Q2274" s="47"/>
      <c r="R2274" s="136" t="s">
        <v>2205</v>
      </c>
      <c r="S2274" s="25" t="s">
        <v>2206</v>
      </c>
      <c r="T2274" s="155">
        <v>1084334</v>
      </c>
      <c r="U2274" s="155">
        <v>0</v>
      </c>
    </row>
    <row r="2275" spans="2:21" x14ac:dyDescent="0.3">
      <c r="B2275" s="47"/>
      <c r="C2275" s="24"/>
      <c r="D2275" s="312"/>
      <c r="E2275" s="312"/>
      <c r="G2275" s="47"/>
      <c r="H2275" s="24"/>
      <c r="I2275" s="312"/>
      <c r="J2275" s="312"/>
      <c r="L2275" s="47"/>
      <c r="M2275" s="24"/>
      <c r="N2275" s="312"/>
      <c r="O2275" s="312"/>
      <c r="Q2275" s="47"/>
      <c r="R2275" s="136" t="s">
        <v>2207</v>
      </c>
      <c r="S2275" s="25" t="s">
        <v>2208</v>
      </c>
      <c r="T2275" s="155">
        <v>1631893</v>
      </c>
      <c r="U2275" s="155">
        <v>0</v>
      </c>
    </row>
    <row r="2276" spans="2:21" x14ac:dyDescent="0.3">
      <c r="B2276" s="47"/>
      <c r="C2276" s="24"/>
      <c r="D2276" s="312"/>
      <c r="E2276" s="312"/>
      <c r="G2276" s="47"/>
      <c r="H2276" s="24"/>
      <c r="I2276" s="312"/>
      <c r="J2276" s="312"/>
      <c r="L2276" s="47"/>
      <c r="M2276" s="24"/>
      <c r="N2276" s="312"/>
      <c r="O2276" s="312"/>
      <c r="Q2276" s="47"/>
      <c r="R2276" s="136" t="s">
        <v>2209</v>
      </c>
      <c r="S2276" s="25" t="s">
        <v>2210</v>
      </c>
      <c r="T2276" s="155">
        <v>1617985</v>
      </c>
      <c r="U2276" s="155">
        <v>0</v>
      </c>
    </row>
    <row r="2277" spans="2:21" x14ac:dyDescent="0.3">
      <c r="B2277" s="47"/>
      <c r="C2277" s="24"/>
      <c r="D2277" s="312"/>
      <c r="E2277" s="312"/>
      <c r="G2277" s="47"/>
      <c r="H2277" s="24"/>
      <c r="I2277" s="312"/>
      <c r="J2277" s="312"/>
      <c r="L2277" s="47"/>
      <c r="M2277" s="24"/>
      <c r="N2277" s="312"/>
      <c r="O2277" s="312"/>
      <c r="Q2277" s="47"/>
      <c r="R2277" s="136" t="s">
        <v>2340</v>
      </c>
      <c r="S2277" s="25" t="s">
        <v>2159</v>
      </c>
      <c r="T2277" s="155">
        <v>1165315</v>
      </c>
      <c r="U2277" s="155">
        <v>0</v>
      </c>
    </row>
    <row r="2278" spans="2:21" x14ac:dyDescent="0.3">
      <c r="B2278" s="47"/>
      <c r="C2278" s="24"/>
      <c r="D2278" s="312"/>
      <c r="E2278" s="312"/>
      <c r="G2278" s="47"/>
      <c r="H2278" s="24"/>
      <c r="I2278" s="312"/>
      <c r="J2278" s="312"/>
      <c r="L2278" s="47"/>
      <c r="M2278" s="24"/>
      <c r="N2278" s="312"/>
      <c r="O2278" s="312"/>
      <c r="Q2278" s="47"/>
      <c r="R2278" s="136" t="s">
        <v>2160</v>
      </c>
      <c r="S2278" s="25" t="s">
        <v>2161</v>
      </c>
      <c r="T2278" s="155">
        <v>979607</v>
      </c>
      <c r="U2278" s="155">
        <v>0</v>
      </c>
    </row>
    <row r="2279" spans="2:21" x14ac:dyDescent="0.3">
      <c r="B2279" s="47"/>
      <c r="C2279" s="24"/>
      <c r="D2279" s="312"/>
      <c r="E2279" s="312"/>
      <c r="G2279" s="47"/>
      <c r="H2279" s="24"/>
      <c r="I2279" s="312"/>
      <c r="J2279" s="312"/>
      <c r="L2279" s="47"/>
      <c r="M2279" s="24"/>
      <c r="N2279" s="312"/>
      <c r="O2279" s="312"/>
      <c r="Q2279" s="47"/>
      <c r="R2279" s="136" t="s">
        <v>2162</v>
      </c>
      <c r="S2279" s="25" t="s">
        <v>2163</v>
      </c>
      <c r="T2279" s="155">
        <v>816260</v>
      </c>
      <c r="U2279" s="155">
        <v>0</v>
      </c>
    </row>
    <row r="2280" spans="2:21" x14ac:dyDescent="0.3">
      <c r="B2280" s="47"/>
      <c r="C2280" s="24"/>
      <c r="D2280" s="312"/>
      <c r="E2280" s="312"/>
      <c r="G2280" s="47"/>
      <c r="H2280" s="24"/>
      <c r="I2280" s="312"/>
      <c r="J2280" s="312"/>
      <c r="L2280" s="47"/>
      <c r="M2280" s="24"/>
      <c r="N2280" s="312"/>
      <c r="O2280" s="312"/>
      <c r="Q2280" s="47"/>
      <c r="R2280" s="136" t="s">
        <v>2165</v>
      </c>
      <c r="S2280" s="25" t="s">
        <v>2166</v>
      </c>
      <c r="T2280" s="155">
        <v>586985</v>
      </c>
      <c r="U2280" s="155">
        <v>0</v>
      </c>
    </row>
    <row r="2281" spans="2:21" x14ac:dyDescent="0.3">
      <c r="B2281" s="47"/>
      <c r="C2281" s="24"/>
      <c r="D2281" s="312"/>
      <c r="E2281" s="312"/>
      <c r="G2281" s="47"/>
      <c r="H2281" s="24"/>
      <c r="I2281" s="312"/>
      <c r="J2281" s="312"/>
      <c r="L2281" s="47"/>
      <c r="M2281" s="24"/>
      <c r="N2281" s="312"/>
      <c r="O2281" s="312"/>
      <c r="Q2281" s="47"/>
      <c r="R2281" s="136" t="s">
        <v>2168</v>
      </c>
      <c r="S2281" s="25" t="s">
        <v>2169</v>
      </c>
      <c r="T2281" s="155">
        <v>399347</v>
      </c>
      <c r="U2281" s="155">
        <v>0</v>
      </c>
    </row>
    <row r="2282" spans="2:21" x14ac:dyDescent="0.3">
      <c r="B2282" s="47"/>
      <c r="C2282" s="24"/>
      <c r="D2282" s="312"/>
      <c r="E2282" s="312"/>
      <c r="G2282" s="47"/>
      <c r="H2282" s="24"/>
      <c r="I2282" s="312"/>
      <c r="J2282" s="312"/>
      <c r="L2282" s="47"/>
      <c r="M2282" s="24"/>
      <c r="N2282" s="312"/>
      <c r="O2282" s="312"/>
      <c r="Q2282" s="47"/>
      <c r="R2282" s="136" t="s">
        <v>2168</v>
      </c>
      <c r="S2282" s="25" t="s">
        <v>2169</v>
      </c>
      <c r="T2282" s="155">
        <v>118354</v>
      </c>
      <c r="U2282" s="155">
        <v>0</v>
      </c>
    </row>
    <row r="2283" spans="2:21" x14ac:dyDescent="0.3">
      <c r="B2283" s="47"/>
      <c r="C2283" s="24"/>
      <c r="D2283" s="312"/>
      <c r="E2283" s="312"/>
      <c r="G2283" s="47"/>
      <c r="H2283" s="24"/>
      <c r="I2283" s="312"/>
      <c r="J2283" s="312"/>
      <c r="L2283" s="47"/>
      <c r="M2283" s="24"/>
      <c r="N2283" s="312"/>
      <c r="O2283" s="312"/>
      <c r="Q2283" s="47"/>
      <c r="R2283" s="136" t="s">
        <v>3313</v>
      </c>
      <c r="S2283" s="25" t="s">
        <v>2211</v>
      </c>
      <c r="T2283" s="155">
        <v>707923</v>
      </c>
      <c r="U2283" s="155">
        <v>0</v>
      </c>
    </row>
    <row r="2284" spans="2:21" x14ac:dyDescent="0.3">
      <c r="B2284" s="47"/>
      <c r="C2284" s="24"/>
      <c r="D2284" s="312"/>
      <c r="E2284" s="312"/>
      <c r="G2284" s="47"/>
      <c r="H2284" s="24"/>
      <c r="I2284" s="312"/>
      <c r="J2284" s="312"/>
      <c r="L2284" s="47"/>
      <c r="M2284" s="24"/>
      <c r="N2284" s="312"/>
      <c r="O2284" s="312"/>
      <c r="Q2284" s="47"/>
      <c r="R2284" s="136" t="s">
        <v>2212</v>
      </c>
      <c r="S2284" s="25" t="s">
        <v>2213</v>
      </c>
      <c r="T2284" s="155">
        <v>1187249</v>
      </c>
      <c r="U2284" s="155">
        <v>0</v>
      </c>
    </row>
    <row r="2285" spans="2:21" x14ac:dyDescent="0.3">
      <c r="B2285" s="47"/>
      <c r="C2285" s="24"/>
      <c r="D2285" s="312"/>
      <c r="E2285" s="312"/>
      <c r="G2285" s="47"/>
      <c r="H2285" s="24"/>
      <c r="I2285" s="312"/>
      <c r="J2285" s="312"/>
      <c r="L2285" s="47"/>
      <c r="M2285" s="24"/>
      <c r="N2285" s="312"/>
      <c r="O2285" s="312"/>
      <c r="Q2285" s="47"/>
      <c r="R2285" s="136" t="s">
        <v>2214</v>
      </c>
      <c r="S2285" s="25" t="s">
        <v>2215</v>
      </c>
      <c r="T2285" s="155">
        <v>771720</v>
      </c>
      <c r="U2285" s="155">
        <v>0</v>
      </c>
    </row>
    <row r="2286" spans="2:21" x14ac:dyDescent="0.3">
      <c r="B2286" s="47"/>
      <c r="C2286" s="24"/>
      <c r="D2286" s="312"/>
      <c r="E2286" s="312"/>
      <c r="G2286" s="47"/>
      <c r="H2286" s="24"/>
      <c r="I2286" s="312"/>
      <c r="J2286" s="312"/>
      <c r="L2286" s="47"/>
      <c r="M2286" s="24"/>
      <c r="N2286" s="312"/>
      <c r="O2286" s="312"/>
      <c r="Q2286" s="47"/>
      <c r="R2286" s="136" t="s">
        <v>1985</v>
      </c>
      <c r="S2286" s="25" t="s">
        <v>2197</v>
      </c>
      <c r="T2286" s="155">
        <v>136044</v>
      </c>
      <c r="U2286" s="155">
        <v>0</v>
      </c>
    </row>
    <row r="2287" spans="2:21" x14ac:dyDescent="0.3">
      <c r="B2287" s="47"/>
      <c r="C2287" s="24"/>
      <c r="D2287" s="312"/>
      <c r="E2287" s="312"/>
      <c r="G2287" s="47"/>
      <c r="H2287" s="24"/>
      <c r="I2287" s="312"/>
      <c r="J2287" s="312"/>
      <c r="L2287" s="47"/>
      <c r="M2287" s="24"/>
      <c r="N2287" s="312"/>
      <c r="O2287" s="312"/>
      <c r="Q2287" s="47"/>
      <c r="R2287" s="136" t="s">
        <v>1895</v>
      </c>
      <c r="S2287" s="25" t="s">
        <v>2174</v>
      </c>
      <c r="T2287" s="155">
        <v>1080000</v>
      </c>
      <c r="U2287" s="155">
        <v>0</v>
      </c>
    </row>
    <row r="2288" spans="2:21" x14ac:dyDescent="0.3">
      <c r="B2288" s="47"/>
      <c r="C2288" s="24"/>
      <c r="D2288" s="312"/>
      <c r="E2288" s="312"/>
      <c r="G2288" s="47"/>
      <c r="H2288" s="24"/>
      <c r="I2288" s="312"/>
      <c r="J2288" s="312"/>
      <c r="L2288" s="47"/>
      <c r="M2288" s="24"/>
      <c r="N2288" s="312"/>
      <c r="O2288" s="312"/>
      <c r="Q2288" s="47"/>
      <c r="R2288" s="136" t="s">
        <v>2177</v>
      </c>
      <c r="S2288" s="25" t="s">
        <v>2341</v>
      </c>
      <c r="T2288" s="155">
        <v>1161570</v>
      </c>
      <c r="U2288" s="155">
        <v>0</v>
      </c>
    </row>
    <row r="2289" spans="2:21" x14ac:dyDescent="0.3">
      <c r="B2289" s="47"/>
      <c r="C2289" s="24"/>
      <c r="D2289" s="312"/>
      <c r="E2289" s="312"/>
      <c r="G2289" s="47"/>
      <c r="H2289" s="24"/>
      <c r="I2289" s="312"/>
      <c r="J2289" s="312"/>
      <c r="L2289" s="47"/>
      <c r="M2289" s="24"/>
      <c r="N2289" s="312"/>
      <c r="O2289" s="312"/>
      <c r="Q2289" s="47"/>
      <c r="R2289" s="136" t="s">
        <v>2183</v>
      </c>
      <c r="S2289" s="25" t="s">
        <v>2182</v>
      </c>
      <c r="T2289" s="155">
        <v>3030560</v>
      </c>
      <c r="U2289" s="155">
        <v>0</v>
      </c>
    </row>
    <row r="2290" spans="2:21" x14ac:dyDescent="0.3">
      <c r="B2290" s="47"/>
      <c r="C2290" s="24"/>
      <c r="D2290" s="312"/>
      <c r="E2290" s="312"/>
      <c r="G2290" s="47"/>
      <c r="H2290" s="24"/>
      <c r="I2290" s="312"/>
      <c r="J2290" s="312"/>
      <c r="L2290" s="47"/>
      <c r="M2290" s="24"/>
      <c r="N2290" s="312"/>
      <c r="O2290" s="312"/>
      <c r="Q2290" s="47"/>
      <c r="R2290" s="136" t="s">
        <v>2185</v>
      </c>
      <c r="S2290" s="25" t="s">
        <v>2184</v>
      </c>
      <c r="T2290" s="155">
        <v>602697</v>
      </c>
      <c r="U2290" s="155">
        <v>0</v>
      </c>
    </row>
    <row r="2291" spans="2:21" x14ac:dyDescent="0.3">
      <c r="B2291" s="47"/>
      <c r="C2291" s="24"/>
      <c r="D2291" s="312"/>
      <c r="E2291" s="312"/>
      <c r="G2291" s="47"/>
      <c r="H2291" s="24"/>
      <c r="I2291" s="312"/>
      <c r="J2291" s="312"/>
      <c r="L2291" s="47"/>
      <c r="M2291" s="24"/>
      <c r="N2291" s="312"/>
      <c r="O2291" s="312"/>
      <c r="Q2291" s="47"/>
      <c r="R2291" s="136" t="s">
        <v>2187</v>
      </c>
      <c r="S2291" s="25" t="s">
        <v>2186</v>
      </c>
      <c r="T2291" s="155">
        <v>2239147</v>
      </c>
      <c r="U2291" s="155">
        <v>0</v>
      </c>
    </row>
    <row r="2292" spans="2:21" x14ac:dyDescent="0.3">
      <c r="B2292" s="47"/>
      <c r="C2292" s="24"/>
      <c r="D2292" s="312"/>
      <c r="E2292" s="312"/>
      <c r="G2292" s="47"/>
      <c r="H2292" s="24"/>
      <c r="I2292" s="312"/>
      <c r="J2292" s="312"/>
      <c r="L2292" s="47"/>
      <c r="M2292" s="24"/>
      <c r="N2292" s="312"/>
      <c r="O2292" s="312"/>
      <c r="Q2292" s="47"/>
      <c r="R2292" s="136" t="s">
        <v>2342</v>
      </c>
      <c r="S2292" s="25" t="s">
        <v>2188</v>
      </c>
      <c r="T2292" s="155">
        <v>428653</v>
      </c>
      <c r="U2292" s="155">
        <v>0</v>
      </c>
    </row>
    <row r="2293" spans="2:21" x14ac:dyDescent="0.3">
      <c r="B2293" s="47"/>
      <c r="C2293" s="24"/>
      <c r="D2293" s="312"/>
      <c r="E2293" s="312"/>
      <c r="G2293" s="47"/>
      <c r="H2293" s="24"/>
      <c r="I2293" s="312"/>
      <c r="J2293" s="312"/>
      <c r="L2293" s="47"/>
      <c r="M2293" s="24"/>
      <c r="N2293" s="312"/>
      <c r="O2293" s="312"/>
      <c r="Q2293" s="47"/>
      <c r="R2293" s="136" t="s">
        <v>2342</v>
      </c>
      <c r="S2293" s="25" t="s">
        <v>2188</v>
      </c>
      <c r="T2293" s="155">
        <v>178682</v>
      </c>
      <c r="U2293" s="155">
        <v>0</v>
      </c>
    </row>
    <row r="2294" spans="2:21" x14ac:dyDescent="0.3">
      <c r="B2294" s="47"/>
      <c r="C2294" s="24"/>
      <c r="D2294" s="312"/>
      <c r="E2294" s="312"/>
      <c r="G2294" s="47"/>
      <c r="H2294" s="24"/>
      <c r="I2294" s="312"/>
      <c r="J2294" s="312"/>
      <c r="L2294" s="47"/>
      <c r="M2294" s="24"/>
      <c r="N2294" s="312"/>
      <c r="O2294" s="312"/>
      <c r="Q2294" s="47"/>
      <c r="R2294" s="136" t="s">
        <v>2190</v>
      </c>
      <c r="S2294" s="25" t="s">
        <v>2189</v>
      </c>
      <c r="T2294" s="155">
        <v>495924</v>
      </c>
      <c r="U2294" s="155">
        <v>0</v>
      </c>
    </row>
    <row r="2295" spans="2:21" x14ac:dyDescent="0.3">
      <c r="B2295" s="47"/>
      <c r="C2295" s="24"/>
      <c r="D2295" s="312"/>
      <c r="E2295" s="312"/>
      <c r="G2295" s="47"/>
      <c r="H2295" s="24"/>
      <c r="I2295" s="312"/>
      <c r="J2295" s="312"/>
      <c r="L2295" s="47"/>
      <c r="M2295" s="24"/>
      <c r="N2295" s="312"/>
      <c r="O2295" s="312"/>
      <c r="Q2295" s="47"/>
      <c r="R2295" s="136" t="s">
        <v>2192</v>
      </c>
      <c r="S2295" s="25" t="s">
        <v>2191</v>
      </c>
      <c r="T2295" s="155">
        <v>964522</v>
      </c>
      <c r="U2295" s="155">
        <v>0</v>
      </c>
    </row>
    <row r="2296" spans="2:21" x14ac:dyDescent="0.3">
      <c r="B2296" s="47"/>
      <c r="C2296" s="24"/>
      <c r="D2296" s="312"/>
      <c r="E2296" s="312"/>
      <c r="G2296" s="47"/>
      <c r="H2296" s="24"/>
      <c r="I2296" s="312"/>
      <c r="J2296" s="312"/>
      <c r="L2296" s="47"/>
      <c r="M2296" s="24"/>
      <c r="N2296" s="312"/>
      <c r="O2296" s="312"/>
      <c r="Q2296" s="47"/>
      <c r="R2296" s="136" t="s">
        <v>1896</v>
      </c>
      <c r="S2296" s="25" t="s">
        <v>2193</v>
      </c>
      <c r="T2296" s="155">
        <v>1191269</v>
      </c>
      <c r="U2296" s="155">
        <v>0</v>
      </c>
    </row>
    <row r="2297" spans="2:21" x14ac:dyDescent="0.3">
      <c r="B2297" s="47"/>
      <c r="C2297" s="24"/>
      <c r="D2297" s="312"/>
      <c r="E2297" s="312"/>
      <c r="G2297" s="47"/>
      <c r="H2297" s="24"/>
      <c r="I2297" s="312"/>
      <c r="J2297" s="312"/>
      <c r="L2297" s="47"/>
      <c r="M2297" s="24"/>
      <c r="N2297" s="312"/>
      <c r="O2297" s="312"/>
      <c r="Q2297" s="47"/>
      <c r="R2297" s="136" t="s">
        <v>3291</v>
      </c>
      <c r="S2297" s="25" t="s">
        <v>2171</v>
      </c>
      <c r="T2297" s="155">
        <v>2751090</v>
      </c>
      <c r="U2297" s="155">
        <v>0</v>
      </c>
    </row>
    <row r="2298" spans="2:21" x14ac:dyDescent="0.3">
      <c r="B2298" s="47"/>
      <c r="C2298" s="24"/>
      <c r="D2298" s="312"/>
      <c r="E2298" s="312"/>
      <c r="G2298" s="47"/>
      <c r="H2298" s="24"/>
      <c r="I2298" s="312"/>
      <c r="J2298" s="312"/>
      <c r="L2298" s="47"/>
      <c r="M2298" s="24"/>
      <c r="N2298" s="312"/>
      <c r="O2298" s="312"/>
      <c r="Q2298" s="47"/>
      <c r="R2298" s="136" t="s">
        <v>1898</v>
      </c>
      <c r="S2298" s="25" t="s">
        <v>2218</v>
      </c>
      <c r="T2298" s="155">
        <v>341676</v>
      </c>
      <c r="U2298" s="155">
        <v>0</v>
      </c>
    </row>
    <row r="2299" spans="2:21" x14ac:dyDescent="0.3">
      <c r="B2299" s="47"/>
      <c r="C2299" s="24"/>
      <c r="D2299" s="312"/>
      <c r="E2299" s="312"/>
      <c r="G2299" s="47"/>
      <c r="H2299" s="24"/>
      <c r="I2299" s="312"/>
      <c r="J2299" s="312"/>
      <c r="L2299" s="47"/>
      <c r="M2299" s="24"/>
      <c r="N2299" s="312"/>
      <c r="O2299" s="312"/>
      <c r="Q2299" s="47"/>
      <c r="R2299" s="136" t="s">
        <v>2219</v>
      </c>
      <c r="S2299" s="25" t="s">
        <v>2220</v>
      </c>
      <c r="T2299" s="155">
        <v>236207</v>
      </c>
      <c r="U2299" s="155">
        <v>0</v>
      </c>
    </row>
    <row r="2300" spans="2:21" x14ac:dyDescent="0.3">
      <c r="B2300" s="47"/>
      <c r="C2300" s="24"/>
      <c r="D2300" s="312"/>
      <c r="E2300" s="312"/>
      <c r="G2300" s="47"/>
      <c r="H2300" s="24"/>
      <c r="I2300" s="312"/>
      <c r="J2300" s="312"/>
      <c r="L2300" s="47"/>
      <c r="M2300" s="24"/>
      <c r="N2300" s="312"/>
      <c r="O2300" s="312"/>
      <c r="Q2300" s="47"/>
      <c r="R2300" s="136" t="s">
        <v>2221</v>
      </c>
      <c r="S2300" s="25" t="s">
        <v>2222</v>
      </c>
      <c r="T2300" s="155">
        <v>462991</v>
      </c>
      <c r="U2300" s="155">
        <v>0</v>
      </c>
    </row>
    <row r="2301" spans="2:21" x14ac:dyDescent="0.3">
      <c r="B2301" s="47"/>
      <c r="C2301" s="24"/>
      <c r="D2301" s="312"/>
      <c r="E2301" s="312"/>
      <c r="G2301" s="47"/>
      <c r="H2301" s="24"/>
      <c r="I2301" s="312"/>
      <c r="J2301" s="312"/>
      <c r="L2301" s="47"/>
      <c r="M2301" s="24"/>
      <c r="N2301" s="312"/>
      <c r="O2301" s="312"/>
      <c r="Q2301" s="47"/>
      <c r="R2301" s="136" t="s">
        <v>2223</v>
      </c>
      <c r="S2301" s="25" t="s">
        <v>2224</v>
      </c>
      <c r="T2301" s="155">
        <v>376675</v>
      </c>
      <c r="U2301" s="155">
        <v>0</v>
      </c>
    </row>
    <row r="2302" spans="2:21" x14ac:dyDescent="0.3">
      <c r="B2302" s="47"/>
      <c r="C2302" s="24"/>
      <c r="D2302" s="312"/>
      <c r="E2302" s="312"/>
      <c r="G2302" s="47"/>
      <c r="H2302" s="24"/>
      <c r="I2302" s="312"/>
      <c r="J2302" s="312"/>
      <c r="L2302" s="47"/>
      <c r="M2302" s="24"/>
      <c r="N2302" s="312"/>
      <c r="O2302" s="312"/>
      <c r="Q2302" s="47"/>
      <c r="R2302" s="136" t="s">
        <v>2226</v>
      </c>
      <c r="S2302" s="25" t="s">
        <v>2227</v>
      </c>
      <c r="T2302" s="155">
        <v>237001</v>
      </c>
      <c r="U2302" s="155">
        <v>0</v>
      </c>
    </row>
    <row r="2303" spans="2:21" x14ac:dyDescent="0.3">
      <c r="B2303" s="47"/>
      <c r="C2303" s="24"/>
      <c r="D2303" s="312"/>
      <c r="E2303" s="312"/>
      <c r="G2303" s="47"/>
      <c r="H2303" s="24"/>
      <c r="I2303" s="312"/>
      <c r="J2303" s="312"/>
      <c r="L2303" s="47"/>
      <c r="M2303" s="24"/>
      <c r="N2303" s="312"/>
      <c r="O2303" s="312"/>
      <c r="Q2303" s="47"/>
      <c r="R2303" s="136" t="s">
        <v>2230</v>
      </c>
      <c r="S2303" s="25" t="s">
        <v>2231</v>
      </c>
      <c r="T2303" s="155">
        <v>25000</v>
      </c>
      <c r="U2303" s="155">
        <v>0</v>
      </c>
    </row>
    <row r="2304" spans="2:21" x14ac:dyDescent="0.3">
      <c r="B2304" s="47"/>
      <c r="C2304" s="24"/>
      <c r="D2304" s="312"/>
      <c r="E2304" s="312"/>
      <c r="G2304" s="47"/>
      <c r="H2304" s="24"/>
      <c r="I2304" s="312"/>
      <c r="J2304" s="312"/>
      <c r="L2304" s="47"/>
      <c r="M2304" s="24"/>
      <c r="N2304" s="312"/>
      <c r="O2304" s="312"/>
      <c r="Q2304" s="241">
        <v>80040002</v>
      </c>
      <c r="R2304" s="242"/>
      <c r="S2304" s="246" t="s">
        <v>1088</v>
      </c>
      <c r="T2304" s="239">
        <f>SUM(T2305:T2322)-SUM(U2305:U2322)</f>
        <v>2868797</v>
      </c>
      <c r="U2304" s="240">
        <v>0</v>
      </c>
    </row>
    <row r="2305" spans="2:21" x14ac:dyDescent="0.3">
      <c r="B2305" s="47"/>
      <c r="C2305" s="24"/>
      <c r="D2305" s="312"/>
      <c r="E2305" s="312"/>
      <c r="G2305" s="47"/>
      <c r="H2305" s="24"/>
      <c r="I2305" s="312"/>
      <c r="J2305" s="312"/>
      <c r="L2305" s="47"/>
      <c r="M2305" s="24"/>
      <c r="N2305" s="312"/>
      <c r="O2305" s="312"/>
      <c r="Q2305" s="47"/>
      <c r="R2305" s="136" t="s">
        <v>1934</v>
      </c>
      <c r="S2305" s="25" t="s">
        <v>2196</v>
      </c>
      <c r="T2305" s="155">
        <v>9721</v>
      </c>
      <c r="U2305" s="155">
        <v>0</v>
      </c>
    </row>
    <row r="2306" spans="2:21" x14ac:dyDescent="0.3">
      <c r="B2306" s="47"/>
      <c r="C2306" s="24"/>
      <c r="D2306" s="312"/>
      <c r="E2306" s="312"/>
      <c r="G2306" s="47"/>
      <c r="H2306" s="24"/>
      <c r="I2306" s="312"/>
      <c r="J2306" s="312"/>
      <c r="L2306" s="47"/>
      <c r="M2306" s="24"/>
      <c r="N2306" s="312"/>
      <c r="O2306" s="312"/>
      <c r="Q2306" s="47"/>
      <c r="R2306" s="136" t="s">
        <v>2156</v>
      </c>
      <c r="S2306" s="25" t="s">
        <v>2157</v>
      </c>
      <c r="T2306" s="155">
        <v>137520</v>
      </c>
      <c r="U2306" s="155">
        <v>0</v>
      </c>
    </row>
    <row r="2307" spans="2:21" x14ac:dyDescent="0.3">
      <c r="B2307" s="47"/>
      <c r="C2307" s="24"/>
      <c r="D2307" s="312"/>
      <c r="E2307" s="312"/>
      <c r="G2307" s="47"/>
      <c r="H2307" s="24"/>
      <c r="I2307" s="312"/>
      <c r="J2307" s="312"/>
      <c r="L2307" s="47"/>
      <c r="M2307" s="24"/>
      <c r="N2307" s="312"/>
      <c r="O2307" s="312"/>
      <c r="Q2307" s="47"/>
      <c r="R2307" s="136" t="s">
        <v>2199</v>
      </c>
      <c r="S2307" s="25" t="s">
        <v>2200</v>
      </c>
      <c r="T2307" s="155">
        <v>18720</v>
      </c>
      <c r="U2307" s="155">
        <v>0</v>
      </c>
    </row>
    <row r="2308" spans="2:21" x14ac:dyDescent="0.3">
      <c r="B2308" s="47"/>
      <c r="C2308" s="24"/>
      <c r="D2308" s="312"/>
      <c r="E2308" s="312"/>
      <c r="G2308" s="47"/>
      <c r="H2308" s="24"/>
      <c r="I2308" s="312"/>
      <c r="J2308" s="312"/>
      <c r="L2308" s="47"/>
      <c r="M2308" s="24"/>
      <c r="N2308" s="312"/>
      <c r="O2308" s="312"/>
      <c r="Q2308" s="47"/>
      <c r="R2308" s="136" t="s">
        <v>2203</v>
      </c>
      <c r="S2308" s="25" t="s">
        <v>2204</v>
      </c>
      <c r="T2308" s="155">
        <v>375890</v>
      </c>
      <c r="U2308" s="155">
        <v>0</v>
      </c>
    </row>
    <row r="2309" spans="2:21" x14ac:dyDescent="0.3">
      <c r="B2309" s="47"/>
      <c r="C2309" s="24"/>
      <c r="D2309" s="312"/>
      <c r="E2309" s="312"/>
      <c r="G2309" s="47"/>
      <c r="H2309" s="24"/>
      <c r="I2309" s="312"/>
      <c r="J2309" s="312"/>
      <c r="L2309" s="47"/>
      <c r="M2309" s="24"/>
      <c r="N2309" s="312"/>
      <c r="O2309" s="312"/>
      <c r="Q2309" s="47"/>
      <c r="R2309" s="136" t="s">
        <v>2209</v>
      </c>
      <c r="S2309" s="25" t="s">
        <v>2210</v>
      </c>
      <c r="T2309" s="155">
        <v>25454</v>
      </c>
      <c r="U2309" s="155">
        <v>0</v>
      </c>
    </row>
    <row r="2310" spans="2:21" x14ac:dyDescent="0.3">
      <c r="B2310" s="47"/>
      <c r="C2310" s="24"/>
      <c r="D2310" s="312"/>
      <c r="E2310" s="312"/>
      <c r="G2310" s="47"/>
      <c r="H2310" s="24"/>
      <c r="I2310" s="312"/>
      <c r="J2310" s="312"/>
      <c r="L2310" s="47"/>
      <c r="M2310" s="24"/>
      <c r="N2310" s="312"/>
      <c r="O2310" s="312"/>
      <c r="Q2310" s="47"/>
      <c r="R2310" s="136" t="s">
        <v>2340</v>
      </c>
      <c r="S2310" s="25" t="s">
        <v>2159</v>
      </c>
      <c r="T2310" s="155">
        <v>17710</v>
      </c>
      <c r="U2310" s="155">
        <v>0</v>
      </c>
    </row>
    <row r="2311" spans="2:21" x14ac:dyDescent="0.3">
      <c r="B2311" s="47"/>
      <c r="C2311" s="24"/>
      <c r="D2311" s="312"/>
      <c r="E2311" s="312"/>
      <c r="G2311" s="47"/>
      <c r="H2311" s="24"/>
      <c r="I2311" s="312"/>
      <c r="J2311" s="312"/>
      <c r="L2311" s="47"/>
      <c r="M2311" s="24"/>
      <c r="N2311" s="312"/>
      <c r="O2311" s="312"/>
      <c r="Q2311" s="47"/>
      <c r="R2311" s="136" t="s">
        <v>2160</v>
      </c>
      <c r="S2311" s="25" t="s">
        <v>2161</v>
      </c>
      <c r="T2311" s="155">
        <v>534545</v>
      </c>
      <c r="U2311" s="155">
        <v>0</v>
      </c>
    </row>
    <row r="2312" spans="2:21" x14ac:dyDescent="0.3">
      <c r="B2312" s="47"/>
      <c r="C2312" s="24"/>
      <c r="D2312" s="312"/>
      <c r="E2312" s="312"/>
      <c r="G2312" s="47"/>
      <c r="H2312" s="24"/>
      <c r="I2312" s="312"/>
      <c r="J2312" s="312"/>
      <c r="L2312" s="47"/>
      <c r="M2312" s="24"/>
      <c r="N2312" s="312"/>
      <c r="O2312" s="312"/>
      <c r="Q2312" s="47"/>
      <c r="R2312" s="136" t="s">
        <v>2165</v>
      </c>
      <c r="S2312" s="25" t="s">
        <v>2166</v>
      </c>
      <c r="T2312" s="155">
        <v>15589</v>
      </c>
      <c r="U2312" s="155">
        <v>0</v>
      </c>
    </row>
    <row r="2313" spans="2:21" x14ac:dyDescent="0.3">
      <c r="B2313" s="47"/>
      <c r="C2313" s="24"/>
      <c r="D2313" s="312"/>
      <c r="E2313" s="312"/>
      <c r="G2313" s="47"/>
      <c r="H2313" s="24"/>
      <c r="I2313" s="312"/>
      <c r="J2313" s="312"/>
      <c r="L2313" s="47"/>
      <c r="M2313" s="24"/>
      <c r="N2313" s="312"/>
      <c r="O2313" s="312"/>
      <c r="Q2313" s="47"/>
      <c r="R2313" s="136" t="s">
        <v>2168</v>
      </c>
      <c r="S2313" s="25" t="s">
        <v>2169</v>
      </c>
      <c r="T2313" s="155">
        <v>161240</v>
      </c>
      <c r="U2313" s="155">
        <v>0</v>
      </c>
    </row>
    <row r="2314" spans="2:21" x14ac:dyDescent="0.3">
      <c r="B2314" s="47"/>
      <c r="C2314" s="24"/>
      <c r="D2314" s="312"/>
      <c r="E2314" s="312"/>
      <c r="G2314" s="47"/>
      <c r="H2314" s="24"/>
      <c r="I2314" s="312"/>
      <c r="J2314" s="312"/>
      <c r="L2314" s="47"/>
      <c r="M2314" s="24"/>
      <c r="N2314" s="312"/>
      <c r="O2314" s="312"/>
      <c r="Q2314" s="47"/>
      <c r="R2314" s="136" t="s">
        <v>2168</v>
      </c>
      <c r="S2314" s="25" t="s">
        <v>2169</v>
      </c>
      <c r="T2314" s="155">
        <v>46400</v>
      </c>
      <c r="U2314" s="155">
        <v>0</v>
      </c>
    </row>
    <row r="2315" spans="2:21" x14ac:dyDescent="0.3">
      <c r="B2315" s="47"/>
      <c r="C2315" s="24"/>
      <c r="D2315" s="312"/>
      <c r="E2315" s="312"/>
      <c r="G2315" s="47"/>
      <c r="H2315" s="24"/>
      <c r="I2315" s="312"/>
      <c r="J2315" s="312"/>
      <c r="L2315" s="47"/>
      <c r="M2315" s="24"/>
      <c r="N2315" s="312"/>
      <c r="O2315" s="312"/>
      <c r="Q2315" s="47"/>
      <c r="R2315" s="136" t="s">
        <v>3313</v>
      </c>
      <c r="S2315" s="25" t="s">
        <v>2211</v>
      </c>
      <c r="T2315" s="155">
        <v>12480</v>
      </c>
      <c r="U2315" s="155">
        <v>0</v>
      </c>
    </row>
    <row r="2316" spans="2:21" x14ac:dyDescent="0.3">
      <c r="B2316" s="47"/>
      <c r="C2316" s="24"/>
      <c r="D2316" s="312"/>
      <c r="E2316" s="312"/>
      <c r="G2316" s="47"/>
      <c r="H2316" s="24"/>
      <c r="I2316" s="312"/>
      <c r="J2316" s="312"/>
      <c r="L2316" s="47"/>
      <c r="M2316" s="24"/>
      <c r="N2316" s="312"/>
      <c r="O2316" s="312"/>
      <c r="Q2316" s="47"/>
      <c r="R2316" s="136" t="s">
        <v>2177</v>
      </c>
      <c r="S2316" s="25" t="s">
        <v>2341</v>
      </c>
      <c r="T2316" s="155">
        <v>18940</v>
      </c>
      <c r="U2316" s="155">
        <v>0</v>
      </c>
    </row>
    <row r="2317" spans="2:21" x14ac:dyDescent="0.3">
      <c r="B2317" s="47"/>
      <c r="C2317" s="24"/>
      <c r="D2317" s="312"/>
      <c r="E2317" s="312"/>
      <c r="G2317" s="47"/>
      <c r="H2317" s="24"/>
      <c r="I2317" s="312"/>
      <c r="J2317" s="312"/>
      <c r="L2317" s="47"/>
      <c r="M2317" s="24"/>
      <c r="N2317" s="312"/>
      <c r="O2317" s="312"/>
      <c r="Q2317" s="47"/>
      <c r="R2317" s="136" t="s">
        <v>2185</v>
      </c>
      <c r="S2317" s="25" t="s">
        <v>2184</v>
      </c>
      <c r="T2317" s="155">
        <v>637800</v>
      </c>
      <c r="U2317" s="155">
        <v>0</v>
      </c>
    </row>
    <row r="2318" spans="2:21" x14ac:dyDescent="0.3">
      <c r="B2318" s="47"/>
      <c r="C2318" s="24"/>
      <c r="D2318" s="312"/>
      <c r="E2318" s="312"/>
      <c r="G2318" s="47"/>
      <c r="H2318" s="24"/>
      <c r="I2318" s="312"/>
      <c r="J2318" s="312"/>
      <c r="L2318" s="47"/>
      <c r="M2318" s="24"/>
      <c r="N2318" s="312"/>
      <c r="O2318" s="312"/>
      <c r="Q2318" s="47"/>
      <c r="R2318" s="136" t="s">
        <v>2342</v>
      </c>
      <c r="S2318" s="25" t="s">
        <v>2188</v>
      </c>
      <c r="T2318" s="155">
        <v>175200</v>
      </c>
      <c r="U2318" s="155">
        <v>0</v>
      </c>
    </row>
    <row r="2319" spans="2:21" x14ac:dyDescent="0.3">
      <c r="B2319" s="47"/>
      <c r="C2319" s="24"/>
      <c r="D2319" s="312"/>
      <c r="E2319" s="312"/>
      <c r="G2319" s="47"/>
      <c r="H2319" s="24"/>
      <c r="I2319" s="312"/>
      <c r="J2319" s="312"/>
      <c r="L2319" s="47"/>
      <c r="M2319" s="24"/>
      <c r="N2319" s="312"/>
      <c r="O2319" s="312"/>
      <c r="Q2319" s="47"/>
      <c r="R2319" s="136" t="s">
        <v>2342</v>
      </c>
      <c r="S2319" s="25" t="s">
        <v>2188</v>
      </c>
      <c r="T2319" s="155">
        <v>69540</v>
      </c>
      <c r="U2319" s="155">
        <v>0</v>
      </c>
    </row>
    <row r="2320" spans="2:21" x14ac:dyDescent="0.3">
      <c r="B2320" s="47"/>
      <c r="C2320" s="24"/>
      <c r="D2320" s="312"/>
      <c r="E2320" s="312"/>
      <c r="G2320" s="47"/>
      <c r="H2320" s="24"/>
      <c r="I2320" s="312"/>
      <c r="J2320" s="312"/>
      <c r="L2320" s="47"/>
      <c r="M2320" s="24"/>
      <c r="N2320" s="312"/>
      <c r="O2320" s="312"/>
      <c r="Q2320" s="47"/>
      <c r="R2320" s="136" t="s">
        <v>1898</v>
      </c>
      <c r="S2320" s="25" t="s">
        <v>2218</v>
      </c>
      <c r="T2320" s="155">
        <v>5910</v>
      </c>
      <c r="U2320" s="155">
        <v>0</v>
      </c>
    </row>
    <row r="2321" spans="2:21" x14ac:dyDescent="0.3">
      <c r="B2321" s="47"/>
      <c r="C2321" s="24"/>
      <c r="D2321" s="312"/>
      <c r="E2321" s="312"/>
      <c r="G2321" s="47"/>
      <c r="H2321" s="24"/>
      <c r="I2321" s="312"/>
      <c r="J2321" s="312"/>
      <c r="L2321" s="47"/>
      <c r="M2321" s="24"/>
      <c r="N2321" s="312"/>
      <c r="O2321" s="312"/>
      <c r="Q2321" s="47"/>
      <c r="R2321" s="136" t="s">
        <v>2219</v>
      </c>
      <c r="S2321" s="25" t="s">
        <v>2220</v>
      </c>
      <c r="T2321" s="155">
        <v>453318</v>
      </c>
      <c r="U2321" s="155">
        <v>0</v>
      </c>
    </row>
    <row r="2322" spans="2:21" x14ac:dyDescent="0.3">
      <c r="B2322" s="47"/>
      <c r="C2322" s="24"/>
      <c r="D2322" s="312"/>
      <c r="E2322" s="312"/>
      <c r="G2322" s="47"/>
      <c r="H2322" s="24"/>
      <c r="I2322" s="312"/>
      <c r="J2322" s="312"/>
      <c r="L2322" s="47"/>
      <c r="M2322" s="24"/>
      <c r="N2322" s="312"/>
      <c r="O2322" s="312"/>
      <c r="Q2322" s="47"/>
      <c r="R2322" s="136" t="s">
        <v>2223</v>
      </c>
      <c r="S2322" s="25" t="s">
        <v>2224</v>
      </c>
      <c r="T2322" s="155">
        <v>152820</v>
      </c>
      <c r="U2322" s="155">
        <v>0</v>
      </c>
    </row>
    <row r="2323" spans="2:21" x14ac:dyDescent="0.3">
      <c r="B2323" s="47"/>
      <c r="C2323" s="24"/>
      <c r="D2323" s="312"/>
      <c r="E2323" s="312"/>
      <c r="G2323" s="47"/>
      <c r="H2323" s="24"/>
      <c r="I2323" s="312"/>
      <c r="J2323" s="312"/>
      <c r="L2323" s="47"/>
      <c r="M2323" s="24"/>
      <c r="N2323" s="312"/>
      <c r="O2323" s="312"/>
      <c r="Q2323" s="241">
        <v>80040003</v>
      </c>
      <c r="R2323" s="242"/>
      <c r="S2323" s="246" t="s">
        <v>1089</v>
      </c>
      <c r="T2323" s="240">
        <v>0</v>
      </c>
      <c r="U2323" s="240">
        <v>0</v>
      </c>
    </row>
    <row r="2324" spans="2:21" x14ac:dyDescent="0.3">
      <c r="B2324" s="47"/>
      <c r="C2324" s="24"/>
      <c r="D2324" s="312"/>
      <c r="E2324" s="312"/>
      <c r="G2324" s="47"/>
      <c r="H2324" s="24"/>
      <c r="I2324" s="312"/>
      <c r="J2324" s="312"/>
      <c r="L2324" s="47"/>
      <c r="M2324" s="24"/>
      <c r="N2324" s="312"/>
      <c r="O2324" s="312"/>
      <c r="Q2324" s="241">
        <v>80040004</v>
      </c>
      <c r="R2324" s="242"/>
      <c r="S2324" s="246" t="s">
        <v>1090</v>
      </c>
      <c r="T2324" s="239">
        <f>SUM(T2325:T2359)-SUM(U2325:U2359)</f>
        <v>883163</v>
      </c>
      <c r="U2324" s="240">
        <v>0</v>
      </c>
    </row>
    <row r="2325" spans="2:21" x14ac:dyDescent="0.3">
      <c r="B2325" s="47"/>
      <c r="C2325" s="24"/>
      <c r="D2325" s="312"/>
      <c r="E2325" s="312"/>
      <c r="G2325" s="47"/>
      <c r="H2325" s="24"/>
      <c r="I2325" s="312"/>
      <c r="J2325" s="312"/>
      <c r="L2325" s="47"/>
      <c r="M2325" s="24"/>
      <c r="N2325" s="312"/>
      <c r="O2325" s="312"/>
      <c r="Q2325" s="47"/>
      <c r="R2325" s="136" t="s">
        <v>1931</v>
      </c>
      <c r="S2325" s="25" t="s">
        <v>1932</v>
      </c>
      <c r="T2325" s="155">
        <v>2500</v>
      </c>
      <c r="U2325" s="155">
        <v>0</v>
      </c>
    </row>
    <row r="2326" spans="2:21" x14ac:dyDescent="0.3">
      <c r="B2326" s="47"/>
      <c r="C2326" s="24"/>
      <c r="D2326" s="312"/>
      <c r="E2326" s="312"/>
      <c r="G2326" s="47"/>
      <c r="H2326" s="24"/>
      <c r="I2326" s="312"/>
      <c r="J2326" s="312"/>
      <c r="L2326" s="47"/>
      <c r="M2326" s="24"/>
      <c r="N2326" s="312"/>
      <c r="O2326" s="312"/>
      <c r="Q2326" s="47"/>
      <c r="R2326" s="136" t="s">
        <v>1934</v>
      </c>
      <c r="S2326" s="25" t="s">
        <v>2196</v>
      </c>
      <c r="T2326" s="155">
        <v>1600</v>
      </c>
      <c r="U2326" s="155">
        <v>0</v>
      </c>
    </row>
    <row r="2327" spans="2:21" x14ac:dyDescent="0.3">
      <c r="B2327" s="47"/>
      <c r="C2327" s="24"/>
      <c r="D2327" s="312"/>
      <c r="E2327" s="312"/>
      <c r="G2327" s="47"/>
      <c r="H2327" s="24"/>
      <c r="I2327" s="312"/>
      <c r="J2327" s="312"/>
      <c r="L2327" s="47"/>
      <c r="M2327" s="24"/>
      <c r="N2327" s="312"/>
      <c r="O2327" s="312"/>
      <c r="Q2327" s="47"/>
      <c r="R2327" s="136" t="s">
        <v>2156</v>
      </c>
      <c r="S2327" s="25" t="s">
        <v>2157</v>
      </c>
      <c r="T2327" s="155">
        <v>335285</v>
      </c>
      <c r="U2327" s="155">
        <v>0</v>
      </c>
    </row>
    <row r="2328" spans="2:21" x14ac:dyDescent="0.3">
      <c r="B2328" s="47"/>
      <c r="C2328" s="24"/>
      <c r="D2328" s="312"/>
      <c r="E2328" s="312"/>
      <c r="G2328" s="47"/>
      <c r="H2328" s="24"/>
      <c r="I2328" s="312"/>
      <c r="J2328" s="312"/>
      <c r="L2328" s="47"/>
      <c r="M2328" s="24"/>
      <c r="N2328" s="312"/>
      <c r="O2328" s="312"/>
      <c r="Q2328" s="47"/>
      <c r="R2328" s="136" t="s">
        <v>2199</v>
      </c>
      <c r="S2328" s="25" t="s">
        <v>2200</v>
      </c>
      <c r="T2328" s="155">
        <v>23200</v>
      </c>
      <c r="U2328" s="155">
        <v>0</v>
      </c>
    </row>
    <row r="2329" spans="2:21" x14ac:dyDescent="0.3">
      <c r="B2329" s="47"/>
      <c r="C2329" s="24"/>
      <c r="D2329" s="312"/>
      <c r="E2329" s="312"/>
      <c r="G2329" s="47"/>
      <c r="H2329" s="24"/>
      <c r="I2329" s="312"/>
      <c r="J2329" s="312"/>
      <c r="L2329" s="47"/>
      <c r="M2329" s="24"/>
      <c r="N2329" s="312"/>
      <c r="O2329" s="312"/>
      <c r="Q2329" s="47"/>
      <c r="R2329" s="136" t="s">
        <v>2201</v>
      </c>
      <c r="S2329" s="25" t="s">
        <v>2202</v>
      </c>
      <c r="T2329" s="155">
        <v>2250</v>
      </c>
      <c r="U2329" s="155">
        <v>0</v>
      </c>
    </row>
    <row r="2330" spans="2:21" x14ac:dyDescent="0.3">
      <c r="B2330" s="47"/>
      <c r="C2330" s="24"/>
      <c r="D2330" s="312"/>
      <c r="E2330" s="312"/>
      <c r="G2330" s="47"/>
      <c r="H2330" s="24"/>
      <c r="I2330" s="312"/>
      <c r="J2330" s="312"/>
      <c r="L2330" s="47"/>
      <c r="M2330" s="24"/>
      <c r="N2330" s="312"/>
      <c r="O2330" s="312"/>
      <c r="Q2330" s="47"/>
      <c r="R2330" s="136" t="s">
        <v>2203</v>
      </c>
      <c r="S2330" s="25" t="s">
        <v>2204</v>
      </c>
      <c r="T2330" s="155">
        <v>19460</v>
      </c>
      <c r="U2330" s="155">
        <v>0</v>
      </c>
    </row>
    <row r="2331" spans="2:21" x14ac:dyDescent="0.3">
      <c r="B2331" s="47"/>
      <c r="C2331" s="24"/>
      <c r="D2331" s="312"/>
      <c r="E2331" s="312"/>
      <c r="G2331" s="47"/>
      <c r="H2331" s="24"/>
      <c r="I2331" s="312"/>
      <c r="J2331" s="312"/>
      <c r="L2331" s="47"/>
      <c r="M2331" s="24"/>
      <c r="N2331" s="312"/>
      <c r="O2331" s="312"/>
      <c r="Q2331" s="47"/>
      <c r="R2331" s="136" t="s">
        <v>2205</v>
      </c>
      <c r="S2331" s="25" t="s">
        <v>2206</v>
      </c>
      <c r="T2331" s="155">
        <v>15850</v>
      </c>
      <c r="U2331" s="155">
        <v>0</v>
      </c>
    </row>
    <row r="2332" spans="2:21" x14ac:dyDescent="0.3">
      <c r="B2332" s="47"/>
      <c r="C2332" s="24"/>
      <c r="D2332" s="312"/>
      <c r="E2332" s="312"/>
      <c r="G2332" s="47"/>
      <c r="H2332" s="24"/>
      <c r="I2332" s="312"/>
      <c r="J2332" s="312"/>
      <c r="L2332" s="47"/>
      <c r="M2332" s="24"/>
      <c r="N2332" s="312"/>
      <c r="O2332" s="312"/>
      <c r="Q2332" s="47"/>
      <c r="R2332" s="136" t="s">
        <v>2207</v>
      </c>
      <c r="S2332" s="25" t="s">
        <v>2208</v>
      </c>
      <c r="T2332" s="155">
        <v>19340</v>
      </c>
      <c r="U2332" s="155">
        <v>0</v>
      </c>
    </row>
    <row r="2333" spans="2:21" x14ac:dyDescent="0.3">
      <c r="B2333" s="47"/>
      <c r="C2333" s="24"/>
      <c r="D2333" s="312"/>
      <c r="E2333" s="312"/>
      <c r="G2333" s="47"/>
      <c r="H2333" s="24"/>
      <c r="I2333" s="312"/>
      <c r="J2333" s="312"/>
      <c r="L2333" s="47"/>
      <c r="M2333" s="24"/>
      <c r="N2333" s="312"/>
      <c r="O2333" s="312"/>
      <c r="Q2333" s="47"/>
      <c r="R2333" s="136" t="s">
        <v>2209</v>
      </c>
      <c r="S2333" s="25" t="s">
        <v>2210</v>
      </c>
      <c r="T2333" s="155">
        <v>18170</v>
      </c>
      <c r="U2333" s="155">
        <v>0</v>
      </c>
    </row>
    <row r="2334" spans="2:21" x14ac:dyDescent="0.3">
      <c r="B2334" s="47"/>
      <c r="C2334" s="24"/>
      <c r="D2334" s="312"/>
      <c r="E2334" s="312"/>
      <c r="G2334" s="47"/>
      <c r="H2334" s="24"/>
      <c r="I2334" s="312"/>
      <c r="J2334" s="312"/>
      <c r="L2334" s="47"/>
      <c r="M2334" s="24"/>
      <c r="N2334" s="312"/>
      <c r="O2334" s="312"/>
      <c r="Q2334" s="47"/>
      <c r="R2334" s="136" t="s">
        <v>2340</v>
      </c>
      <c r="S2334" s="25" t="s">
        <v>2159</v>
      </c>
      <c r="T2334" s="155">
        <v>34850</v>
      </c>
      <c r="U2334" s="155">
        <v>0</v>
      </c>
    </row>
    <row r="2335" spans="2:21" x14ac:dyDescent="0.3">
      <c r="B2335" s="47"/>
      <c r="C2335" s="24"/>
      <c r="D2335" s="312"/>
      <c r="E2335" s="312"/>
      <c r="G2335" s="47"/>
      <c r="H2335" s="24"/>
      <c r="I2335" s="312"/>
      <c r="J2335" s="312"/>
      <c r="L2335" s="47"/>
      <c r="M2335" s="24"/>
      <c r="N2335" s="312"/>
      <c r="O2335" s="312"/>
      <c r="Q2335" s="47"/>
      <c r="R2335" s="136" t="s">
        <v>2160</v>
      </c>
      <c r="S2335" s="25" t="s">
        <v>2161</v>
      </c>
      <c r="T2335" s="155">
        <v>15910</v>
      </c>
      <c r="U2335" s="155">
        <v>0</v>
      </c>
    </row>
    <row r="2336" spans="2:21" x14ac:dyDescent="0.3">
      <c r="B2336" s="47"/>
      <c r="C2336" s="24"/>
      <c r="D2336" s="312"/>
      <c r="E2336" s="312"/>
      <c r="G2336" s="47"/>
      <c r="H2336" s="24"/>
      <c r="I2336" s="312"/>
      <c r="J2336" s="312"/>
      <c r="L2336" s="47"/>
      <c r="M2336" s="24"/>
      <c r="N2336" s="312"/>
      <c r="O2336" s="312"/>
      <c r="Q2336" s="47"/>
      <c r="R2336" s="136" t="s">
        <v>2162</v>
      </c>
      <c r="S2336" s="25" t="s">
        <v>2163</v>
      </c>
      <c r="T2336" s="155">
        <v>14660</v>
      </c>
      <c r="U2336" s="155">
        <v>0</v>
      </c>
    </row>
    <row r="2337" spans="2:21" x14ac:dyDescent="0.3">
      <c r="B2337" s="47"/>
      <c r="C2337" s="24"/>
      <c r="D2337" s="312"/>
      <c r="E2337" s="312"/>
      <c r="G2337" s="47"/>
      <c r="H2337" s="24"/>
      <c r="I2337" s="312"/>
      <c r="J2337" s="312"/>
      <c r="L2337" s="47"/>
      <c r="M2337" s="24"/>
      <c r="N2337" s="312"/>
      <c r="O2337" s="312"/>
      <c r="Q2337" s="47"/>
      <c r="R2337" s="136" t="s">
        <v>2165</v>
      </c>
      <c r="S2337" s="25" t="s">
        <v>2166</v>
      </c>
      <c r="T2337" s="155">
        <v>10630</v>
      </c>
      <c r="U2337" s="155">
        <v>0</v>
      </c>
    </row>
    <row r="2338" spans="2:21" x14ac:dyDescent="0.3">
      <c r="B2338" s="47"/>
      <c r="C2338" s="24"/>
      <c r="D2338" s="312"/>
      <c r="E2338" s="312"/>
      <c r="G2338" s="47"/>
      <c r="H2338" s="24"/>
      <c r="I2338" s="312"/>
      <c r="J2338" s="312"/>
      <c r="L2338" s="47"/>
      <c r="M2338" s="24"/>
      <c r="N2338" s="312"/>
      <c r="O2338" s="312"/>
      <c r="Q2338" s="47"/>
      <c r="R2338" s="136" t="s">
        <v>2168</v>
      </c>
      <c r="S2338" s="25" t="s">
        <v>2169</v>
      </c>
      <c r="T2338" s="155">
        <v>10800</v>
      </c>
      <c r="U2338" s="155">
        <v>0</v>
      </c>
    </row>
    <row r="2339" spans="2:21" x14ac:dyDescent="0.3">
      <c r="B2339" s="47"/>
      <c r="C2339" s="24"/>
      <c r="D2339" s="312"/>
      <c r="E2339" s="312"/>
      <c r="G2339" s="47"/>
      <c r="H2339" s="24"/>
      <c r="I2339" s="312"/>
      <c r="J2339" s="312"/>
      <c r="L2339" s="47"/>
      <c r="M2339" s="24"/>
      <c r="N2339" s="312"/>
      <c r="O2339" s="312"/>
      <c r="Q2339" s="47"/>
      <c r="R2339" s="136" t="s">
        <v>2168</v>
      </c>
      <c r="S2339" s="25" t="s">
        <v>2169</v>
      </c>
      <c r="T2339" s="155">
        <v>2125</v>
      </c>
      <c r="U2339" s="155">
        <v>0</v>
      </c>
    </row>
    <row r="2340" spans="2:21" x14ac:dyDescent="0.3">
      <c r="B2340" s="47"/>
      <c r="C2340" s="24"/>
      <c r="D2340" s="312"/>
      <c r="E2340" s="312"/>
      <c r="G2340" s="47"/>
      <c r="H2340" s="24"/>
      <c r="I2340" s="312"/>
      <c r="J2340" s="312"/>
      <c r="L2340" s="47"/>
      <c r="M2340" s="24"/>
      <c r="N2340" s="312"/>
      <c r="O2340" s="312"/>
      <c r="Q2340" s="47"/>
      <c r="R2340" s="136" t="s">
        <v>3313</v>
      </c>
      <c r="S2340" s="25" t="s">
        <v>2211</v>
      </c>
      <c r="T2340" s="155">
        <v>10890</v>
      </c>
      <c r="U2340" s="155">
        <v>0</v>
      </c>
    </row>
    <row r="2341" spans="2:21" x14ac:dyDescent="0.3">
      <c r="B2341" s="47"/>
      <c r="C2341" s="24"/>
      <c r="D2341" s="312"/>
      <c r="E2341" s="312"/>
      <c r="G2341" s="47"/>
      <c r="H2341" s="24"/>
      <c r="I2341" s="312"/>
      <c r="J2341" s="312"/>
      <c r="L2341" s="47"/>
      <c r="M2341" s="24"/>
      <c r="N2341" s="312"/>
      <c r="O2341" s="312"/>
      <c r="Q2341" s="47"/>
      <c r="R2341" s="136" t="s">
        <v>2212</v>
      </c>
      <c r="S2341" s="25" t="s">
        <v>2213</v>
      </c>
      <c r="T2341" s="155">
        <v>9560</v>
      </c>
      <c r="U2341" s="155">
        <v>0</v>
      </c>
    </row>
    <row r="2342" spans="2:21" x14ac:dyDescent="0.3">
      <c r="B2342" s="47"/>
      <c r="C2342" s="24"/>
      <c r="D2342" s="312"/>
      <c r="E2342" s="312"/>
      <c r="G2342" s="47"/>
      <c r="H2342" s="24"/>
      <c r="I2342" s="312"/>
      <c r="J2342" s="312"/>
      <c r="L2342" s="47"/>
      <c r="M2342" s="24"/>
      <c r="N2342" s="312"/>
      <c r="O2342" s="312"/>
      <c r="Q2342" s="47"/>
      <c r="R2342" s="136" t="s">
        <v>2214</v>
      </c>
      <c r="S2342" s="25" t="s">
        <v>2215</v>
      </c>
      <c r="T2342" s="155">
        <v>24030</v>
      </c>
      <c r="U2342" s="155">
        <v>0</v>
      </c>
    </row>
    <row r="2343" spans="2:21" x14ac:dyDescent="0.3">
      <c r="B2343" s="47"/>
      <c r="C2343" s="24"/>
      <c r="D2343" s="312"/>
      <c r="E2343" s="312"/>
      <c r="G2343" s="47"/>
      <c r="H2343" s="24"/>
      <c r="I2343" s="312"/>
      <c r="J2343" s="312"/>
      <c r="L2343" s="47"/>
      <c r="M2343" s="24"/>
      <c r="N2343" s="312"/>
      <c r="O2343" s="312"/>
      <c r="Q2343" s="47"/>
      <c r="R2343" s="136" t="s">
        <v>1985</v>
      </c>
      <c r="S2343" s="25" t="s">
        <v>2197</v>
      </c>
      <c r="T2343" s="155">
        <v>3910</v>
      </c>
      <c r="U2343" s="155">
        <v>0</v>
      </c>
    </row>
    <row r="2344" spans="2:21" x14ac:dyDescent="0.3">
      <c r="B2344" s="47"/>
      <c r="C2344" s="24"/>
      <c r="D2344" s="312"/>
      <c r="E2344" s="312"/>
      <c r="G2344" s="47"/>
      <c r="H2344" s="24"/>
      <c r="I2344" s="312"/>
      <c r="J2344" s="312"/>
      <c r="L2344" s="47"/>
      <c r="M2344" s="24"/>
      <c r="N2344" s="312"/>
      <c r="O2344" s="312"/>
      <c r="Q2344" s="47"/>
      <c r="R2344" s="136" t="s">
        <v>1895</v>
      </c>
      <c r="S2344" s="25" t="s">
        <v>2174</v>
      </c>
      <c r="T2344" s="155">
        <v>4500</v>
      </c>
      <c r="U2344" s="155">
        <v>0</v>
      </c>
    </row>
    <row r="2345" spans="2:21" x14ac:dyDescent="0.3">
      <c r="B2345" s="47"/>
      <c r="C2345" s="24"/>
      <c r="D2345" s="312"/>
      <c r="E2345" s="312"/>
      <c r="G2345" s="47"/>
      <c r="H2345" s="24"/>
      <c r="I2345" s="312"/>
      <c r="J2345" s="312"/>
      <c r="L2345" s="47"/>
      <c r="M2345" s="24"/>
      <c r="N2345" s="312"/>
      <c r="O2345" s="312"/>
      <c r="Q2345" s="47"/>
      <c r="R2345" s="136" t="s">
        <v>2177</v>
      </c>
      <c r="S2345" s="25" t="s">
        <v>2341</v>
      </c>
      <c r="T2345" s="155">
        <v>37510</v>
      </c>
      <c r="U2345" s="155">
        <v>0</v>
      </c>
    </row>
    <row r="2346" spans="2:21" x14ac:dyDescent="0.3">
      <c r="B2346" s="47"/>
      <c r="C2346" s="24"/>
      <c r="D2346" s="312"/>
      <c r="E2346" s="312"/>
      <c r="G2346" s="47"/>
      <c r="H2346" s="24"/>
      <c r="I2346" s="312"/>
      <c r="J2346" s="312"/>
      <c r="L2346" s="47"/>
      <c r="M2346" s="24"/>
      <c r="N2346" s="312"/>
      <c r="O2346" s="312"/>
      <c r="Q2346" s="47"/>
      <c r="R2346" s="136" t="s">
        <v>2183</v>
      </c>
      <c r="S2346" s="25" t="s">
        <v>2182</v>
      </c>
      <c r="T2346" s="155">
        <v>41360</v>
      </c>
      <c r="U2346" s="155">
        <v>0</v>
      </c>
    </row>
    <row r="2347" spans="2:21" x14ac:dyDescent="0.3">
      <c r="B2347" s="47"/>
      <c r="C2347" s="24"/>
      <c r="D2347" s="312"/>
      <c r="E2347" s="312"/>
      <c r="G2347" s="47"/>
      <c r="H2347" s="24"/>
      <c r="I2347" s="312"/>
      <c r="J2347" s="312"/>
      <c r="L2347" s="47"/>
      <c r="M2347" s="24"/>
      <c r="N2347" s="312"/>
      <c r="O2347" s="312"/>
      <c r="Q2347" s="47"/>
      <c r="R2347" s="136" t="s">
        <v>2185</v>
      </c>
      <c r="S2347" s="25" t="s">
        <v>2184</v>
      </c>
      <c r="T2347" s="155">
        <v>30530</v>
      </c>
      <c r="U2347" s="155">
        <v>0</v>
      </c>
    </row>
    <row r="2348" spans="2:21" x14ac:dyDescent="0.3">
      <c r="B2348" s="47"/>
      <c r="C2348" s="24"/>
      <c r="D2348" s="312"/>
      <c r="E2348" s="312"/>
      <c r="G2348" s="47"/>
      <c r="H2348" s="24"/>
      <c r="I2348" s="312"/>
      <c r="J2348" s="312"/>
      <c r="L2348" s="47"/>
      <c r="M2348" s="24"/>
      <c r="N2348" s="312"/>
      <c r="O2348" s="312"/>
      <c r="Q2348" s="47"/>
      <c r="R2348" s="136" t="s">
        <v>2187</v>
      </c>
      <c r="S2348" s="25" t="s">
        <v>2186</v>
      </c>
      <c r="T2348" s="155">
        <v>30760</v>
      </c>
      <c r="U2348" s="155">
        <v>0</v>
      </c>
    </row>
    <row r="2349" spans="2:21" x14ac:dyDescent="0.3">
      <c r="B2349" s="47"/>
      <c r="C2349" s="24"/>
      <c r="D2349" s="312"/>
      <c r="E2349" s="312"/>
      <c r="G2349" s="47"/>
      <c r="H2349" s="24"/>
      <c r="I2349" s="312"/>
      <c r="J2349" s="312"/>
      <c r="L2349" s="47"/>
      <c r="M2349" s="24"/>
      <c r="N2349" s="312"/>
      <c r="O2349" s="312"/>
      <c r="Q2349" s="47"/>
      <c r="R2349" s="136" t="s">
        <v>2342</v>
      </c>
      <c r="S2349" s="25" t="s">
        <v>2188</v>
      </c>
      <c r="T2349" s="155">
        <v>7550</v>
      </c>
      <c r="U2349" s="155">
        <v>0</v>
      </c>
    </row>
    <row r="2350" spans="2:21" x14ac:dyDescent="0.3">
      <c r="B2350" s="47"/>
      <c r="C2350" s="24"/>
      <c r="D2350" s="312"/>
      <c r="E2350" s="312"/>
      <c r="G2350" s="47"/>
      <c r="H2350" s="24"/>
      <c r="I2350" s="312"/>
      <c r="J2350" s="312"/>
      <c r="L2350" s="47"/>
      <c r="M2350" s="24"/>
      <c r="N2350" s="312"/>
      <c r="O2350" s="312"/>
      <c r="Q2350" s="47"/>
      <c r="R2350" s="136" t="s">
        <v>2342</v>
      </c>
      <c r="S2350" s="25" t="s">
        <v>2188</v>
      </c>
      <c r="T2350" s="155">
        <v>2125</v>
      </c>
      <c r="U2350" s="155">
        <v>0</v>
      </c>
    </row>
    <row r="2351" spans="2:21" x14ac:dyDescent="0.3">
      <c r="B2351" s="47"/>
      <c r="C2351" s="24"/>
      <c r="D2351" s="312"/>
      <c r="E2351" s="312"/>
      <c r="G2351" s="47"/>
      <c r="H2351" s="24"/>
      <c r="I2351" s="312"/>
      <c r="J2351" s="312"/>
      <c r="L2351" s="47"/>
      <c r="M2351" s="24"/>
      <c r="N2351" s="312"/>
      <c r="O2351" s="312"/>
      <c r="Q2351" s="47"/>
      <c r="R2351" s="136" t="s">
        <v>2190</v>
      </c>
      <c r="S2351" s="25" t="s">
        <v>2189</v>
      </c>
      <c r="T2351" s="155">
        <v>18800</v>
      </c>
      <c r="U2351" s="155">
        <v>0</v>
      </c>
    </row>
    <row r="2352" spans="2:21" x14ac:dyDescent="0.3">
      <c r="B2352" s="47"/>
      <c r="C2352" s="24"/>
      <c r="D2352" s="312"/>
      <c r="E2352" s="312"/>
      <c r="G2352" s="47"/>
      <c r="H2352" s="24"/>
      <c r="I2352" s="312"/>
      <c r="J2352" s="312"/>
      <c r="L2352" s="47"/>
      <c r="M2352" s="24"/>
      <c r="N2352" s="312"/>
      <c r="O2352" s="312"/>
      <c r="Q2352" s="47"/>
      <c r="R2352" s="136" t="s">
        <v>2192</v>
      </c>
      <c r="S2352" s="25" t="s">
        <v>2191</v>
      </c>
      <c r="T2352" s="155">
        <v>15130</v>
      </c>
      <c r="U2352" s="155">
        <v>0</v>
      </c>
    </row>
    <row r="2353" spans="2:21" x14ac:dyDescent="0.3">
      <c r="B2353" s="47"/>
      <c r="C2353" s="24"/>
      <c r="D2353" s="312"/>
      <c r="E2353" s="312"/>
      <c r="G2353" s="47"/>
      <c r="H2353" s="24"/>
      <c r="I2353" s="312"/>
      <c r="J2353" s="312"/>
      <c r="L2353" s="47"/>
      <c r="M2353" s="24"/>
      <c r="N2353" s="312"/>
      <c r="O2353" s="312"/>
      <c r="Q2353" s="47"/>
      <c r="R2353" s="136" t="s">
        <v>1896</v>
      </c>
      <c r="S2353" s="25" t="s">
        <v>2193</v>
      </c>
      <c r="T2353" s="155">
        <v>18550</v>
      </c>
      <c r="U2353" s="155">
        <v>0</v>
      </c>
    </row>
    <row r="2354" spans="2:21" x14ac:dyDescent="0.3">
      <c r="B2354" s="47"/>
      <c r="C2354" s="24"/>
      <c r="D2354" s="312"/>
      <c r="E2354" s="312"/>
      <c r="G2354" s="47"/>
      <c r="H2354" s="24"/>
      <c r="I2354" s="312"/>
      <c r="J2354" s="312"/>
      <c r="L2354" s="47"/>
      <c r="M2354" s="24"/>
      <c r="N2354" s="312"/>
      <c r="O2354" s="312"/>
      <c r="Q2354" s="47"/>
      <c r="R2354" s="136" t="s">
        <v>3291</v>
      </c>
      <c r="S2354" s="25" t="s">
        <v>2171</v>
      </c>
      <c r="T2354" s="155">
        <v>52018</v>
      </c>
      <c r="U2354" s="155">
        <v>0</v>
      </c>
    </row>
    <row r="2355" spans="2:21" x14ac:dyDescent="0.3">
      <c r="B2355" s="47"/>
      <c r="C2355" s="24"/>
      <c r="D2355" s="312"/>
      <c r="E2355" s="312"/>
      <c r="G2355" s="47"/>
      <c r="H2355" s="24"/>
      <c r="I2355" s="312"/>
      <c r="J2355" s="312"/>
      <c r="L2355" s="47"/>
      <c r="M2355" s="24"/>
      <c r="N2355" s="312"/>
      <c r="O2355" s="312"/>
      <c r="Q2355" s="47"/>
      <c r="R2355" s="136" t="s">
        <v>1898</v>
      </c>
      <c r="S2355" s="25" t="s">
        <v>2218</v>
      </c>
      <c r="T2355" s="155">
        <v>1250</v>
      </c>
      <c r="U2355" s="155">
        <v>0</v>
      </c>
    </row>
    <row r="2356" spans="2:21" x14ac:dyDescent="0.3">
      <c r="B2356" s="47"/>
      <c r="C2356" s="24"/>
      <c r="D2356" s="312"/>
      <c r="E2356" s="312"/>
      <c r="G2356" s="47"/>
      <c r="H2356" s="24"/>
      <c r="I2356" s="312"/>
      <c r="J2356" s="312"/>
      <c r="L2356" s="47"/>
      <c r="M2356" s="24"/>
      <c r="N2356" s="312"/>
      <c r="O2356" s="312"/>
      <c r="Q2356" s="47"/>
      <c r="R2356" s="136" t="s">
        <v>2219</v>
      </c>
      <c r="S2356" s="25" t="s">
        <v>2220</v>
      </c>
      <c r="T2356" s="155">
        <v>8390</v>
      </c>
      <c r="U2356" s="155">
        <v>0</v>
      </c>
    </row>
    <row r="2357" spans="2:21" x14ac:dyDescent="0.3">
      <c r="B2357" s="47"/>
      <c r="C2357" s="24"/>
      <c r="D2357" s="312"/>
      <c r="E2357" s="312"/>
      <c r="G2357" s="47"/>
      <c r="H2357" s="24"/>
      <c r="I2357" s="312"/>
      <c r="J2357" s="312"/>
      <c r="L2357" s="47"/>
      <c r="M2357" s="24"/>
      <c r="N2357" s="312"/>
      <c r="O2357" s="312"/>
      <c r="Q2357" s="47"/>
      <c r="R2357" s="136" t="s">
        <v>2221</v>
      </c>
      <c r="S2357" s="25" t="s">
        <v>2222</v>
      </c>
      <c r="T2357" s="155">
        <v>5670</v>
      </c>
      <c r="U2357" s="155">
        <v>0</v>
      </c>
    </row>
    <row r="2358" spans="2:21" x14ac:dyDescent="0.3">
      <c r="B2358" s="47"/>
      <c r="C2358" s="24"/>
      <c r="D2358" s="312"/>
      <c r="E2358" s="312"/>
      <c r="G2358" s="47"/>
      <c r="H2358" s="24"/>
      <c r="I2358" s="312"/>
      <c r="J2358" s="312"/>
      <c r="L2358" s="47"/>
      <c r="M2358" s="24"/>
      <c r="N2358" s="312"/>
      <c r="O2358" s="312"/>
      <c r="Q2358" s="47"/>
      <c r="R2358" s="136" t="s">
        <v>2223</v>
      </c>
      <c r="S2358" s="25" t="s">
        <v>2224</v>
      </c>
      <c r="T2358" s="155">
        <v>19500</v>
      </c>
      <c r="U2358" s="155">
        <v>0</v>
      </c>
    </row>
    <row r="2359" spans="2:21" x14ac:dyDescent="0.3">
      <c r="B2359" s="47"/>
      <c r="C2359" s="24"/>
      <c r="D2359" s="312"/>
      <c r="E2359" s="312"/>
      <c r="G2359" s="47"/>
      <c r="H2359" s="24"/>
      <c r="I2359" s="312"/>
      <c r="J2359" s="312"/>
      <c r="L2359" s="47"/>
      <c r="M2359" s="24"/>
      <c r="N2359" s="312"/>
      <c r="O2359" s="312"/>
      <c r="Q2359" s="47"/>
      <c r="R2359" s="136" t="s">
        <v>2226</v>
      </c>
      <c r="S2359" s="25" t="s">
        <v>2227</v>
      </c>
      <c r="T2359" s="155">
        <v>14500</v>
      </c>
      <c r="U2359" s="155">
        <v>0</v>
      </c>
    </row>
    <row r="2360" spans="2:21" x14ac:dyDescent="0.3">
      <c r="B2360" s="47"/>
      <c r="C2360" s="24"/>
      <c r="D2360" s="312"/>
      <c r="E2360" s="312"/>
      <c r="G2360" s="47"/>
      <c r="H2360" s="24"/>
      <c r="I2360" s="312"/>
      <c r="J2360" s="312"/>
      <c r="L2360" s="47"/>
      <c r="M2360" s="24"/>
      <c r="N2360" s="312"/>
      <c r="O2360" s="312"/>
      <c r="Q2360" s="241">
        <v>80040005</v>
      </c>
      <c r="R2360" s="242"/>
      <c r="S2360" s="246" t="s">
        <v>1091</v>
      </c>
      <c r="T2360" s="239">
        <f>SUM(T2361:T2382)-SUM(U2361:U2382)</f>
        <v>25682278</v>
      </c>
      <c r="U2360" s="240">
        <v>0</v>
      </c>
    </row>
    <row r="2361" spans="2:21" x14ac:dyDescent="0.3">
      <c r="B2361" s="47"/>
      <c r="C2361" s="24"/>
      <c r="D2361" s="312"/>
      <c r="E2361" s="312"/>
      <c r="G2361" s="47"/>
      <c r="H2361" s="24"/>
      <c r="I2361" s="312"/>
      <c r="J2361" s="312"/>
      <c r="L2361" s="47"/>
      <c r="M2361" s="24"/>
      <c r="N2361" s="312"/>
      <c r="O2361" s="312"/>
      <c r="Q2361" s="47"/>
      <c r="R2361" s="136" t="s">
        <v>1931</v>
      </c>
      <c r="S2361" s="25" t="s">
        <v>1932</v>
      </c>
      <c r="T2361" s="155">
        <v>584701</v>
      </c>
      <c r="U2361" s="155">
        <v>0</v>
      </c>
    </row>
    <row r="2362" spans="2:21" x14ac:dyDescent="0.3">
      <c r="B2362" s="47"/>
      <c r="C2362" s="24"/>
      <c r="D2362" s="312"/>
      <c r="E2362" s="312"/>
      <c r="G2362" s="47"/>
      <c r="H2362" s="24"/>
      <c r="I2362" s="312"/>
      <c r="J2362" s="312"/>
      <c r="L2362" s="47"/>
      <c r="M2362" s="24"/>
      <c r="N2362" s="312"/>
      <c r="O2362" s="312"/>
      <c r="Q2362" s="47"/>
      <c r="R2362" s="136" t="s">
        <v>1933</v>
      </c>
      <c r="S2362" s="25" t="s">
        <v>2195</v>
      </c>
      <c r="T2362" s="155">
        <v>630000</v>
      </c>
      <c r="U2362" s="155">
        <v>0</v>
      </c>
    </row>
    <row r="2363" spans="2:21" x14ac:dyDescent="0.3">
      <c r="B2363" s="47"/>
      <c r="C2363" s="24"/>
      <c r="D2363" s="312"/>
      <c r="E2363" s="312"/>
      <c r="G2363" s="47"/>
      <c r="H2363" s="24"/>
      <c r="I2363" s="312"/>
      <c r="J2363" s="312"/>
      <c r="L2363" s="47"/>
      <c r="M2363" s="24"/>
      <c r="N2363" s="312"/>
      <c r="O2363" s="312"/>
      <c r="Q2363" s="47"/>
      <c r="R2363" s="136" t="s">
        <v>2199</v>
      </c>
      <c r="S2363" s="25" t="s">
        <v>2200</v>
      </c>
      <c r="T2363" s="155">
        <v>2019600</v>
      </c>
      <c r="U2363" s="155">
        <v>0</v>
      </c>
    </row>
    <row r="2364" spans="2:21" x14ac:dyDescent="0.3">
      <c r="B2364" s="47"/>
      <c r="C2364" s="24"/>
      <c r="D2364" s="312"/>
      <c r="E2364" s="312"/>
      <c r="G2364" s="47"/>
      <c r="H2364" s="24"/>
      <c r="I2364" s="312"/>
      <c r="J2364" s="312"/>
      <c r="L2364" s="47"/>
      <c r="M2364" s="24"/>
      <c r="N2364" s="312"/>
      <c r="O2364" s="312"/>
      <c r="Q2364" s="47"/>
      <c r="R2364" s="136" t="s">
        <v>2201</v>
      </c>
      <c r="S2364" s="25" t="s">
        <v>2202</v>
      </c>
      <c r="T2364" s="155">
        <v>1120165</v>
      </c>
      <c r="U2364" s="155">
        <v>0</v>
      </c>
    </row>
    <row r="2365" spans="2:21" x14ac:dyDescent="0.3">
      <c r="B2365" s="47"/>
      <c r="C2365" s="24"/>
      <c r="D2365" s="312"/>
      <c r="E2365" s="312"/>
      <c r="G2365" s="47"/>
      <c r="H2365" s="24"/>
      <c r="I2365" s="312"/>
      <c r="J2365" s="312"/>
      <c r="L2365" s="47"/>
      <c r="M2365" s="24"/>
      <c r="N2365" s="312"/>
      <c r="O2365" s="312"/>
      <c r="Q2365" s="47"/>
      <c r="R2365" s="136" t="s">
        <v>2205</v>
      </c>
      <c r="S2365" s="25" t="s">
        <v>2206</v>
      </c>
      <c r="T2365" s="155">
        <v>1562436</v>
      </c>
      <c r="U2365" s="155">
        <v>0</v>
      </c>
    </row>
    <row r="2366" spans="2:21" x14ac:dyDescent="0.3">
      <c r="B2366" s="47"/>
      <c r="C2366" s="24"/>
      <c r="D2366" s="312"/>
      <c r="E2366" s="312"/>
      <c r="G2366" s="47"/>
      <c r="H2366" s="24"/>
      <c r="I2366" s="312"/>
      <c r="J2366" s="312"/>
      <c r="L2366" s="47"/>
      <c r="M2366" s="24"/>
      <c r="N2366" s="312"/>
      <c r="O2366" s="312"/>
      <c r="Q2366" s="47"/>
      <c r="R2366" s="136" t="s">
        <v>2207</v>
      </c>
      <c r="S2366" s="25" t="s">
        <v>2208</v>
      </c>
      <c r="T2366" s="155">
        <v>1211625</v>
      </c>
      <c r="U2366" s="155">
        <v>0</v>
      </c>
    </row>
    <row r="2367" spans="2:21" x14ac:dyDescent="0.3">
      <c r="B2367" s="47"/>
      <c r="C2367" s="24"/>
      <c r="D2367" s="312"/>
      <c r="E2367" s="312"/>
      <c r="G2367" s="47"/>
      <c r="H2367" s="24"/>
      <c r="I2367" s="312"/>
      <c r="J2367" s="312"/>
      <c r="L2367" s="47"/>
      <c r="M2367" s="24"/>
      <c r="N2367" s="312"/>
      <c r="O2367" s="312"/>
      <c r="Q2367" s="47"/>
      <c r="R2367" s="136" t="s">
        <v>2209</v>
      </c>
      <c r="S2367" s="25" t="s">
        <v>2210</v>
      </c>
      <c r="T2367" s="155">
        <v>744994</v>
      </c>
      <c r="U2367" s="155">
        <v>0</v>
      </c>
    </row>
    <row r="2368" spans="2:21" x14ac:dyDescent="0.3">
      <c r="B2368" s="47"/>
      <c r="C2368" s="24"/>
      <c r="D2368" s="312"/>
      <c r="E2368" s="312"/>
      <c r="G2368" s="47"/>
      <c r="H2368" s="24"/>
      <c r="I2368" s="312"/>
      <c r="J2368" s="312"/>
      <c r="L2368" s="47"/>
      <c r="M2368" s="24"/>
      <c r="N2368" s="312"/>
      <c r="O2368" s="312"/>
      <c r="Q2368" s="47"/>
      <c r="R2368" s="136" t="s">
        <v>2340</v>
      </c>
      <c r="S2368" s="25" t="s">
        <v>2159</v>
      </c>
      <c r="T2368" s="155">
        <v>2018610</v>
      </c>
      <c r="U2368" s="155">
        <v>0</v>
      </c>
    </row>
    <row r="2369" spans="2:21" x14ac:dyDescent="0.3">
      <c r="B2369" s="47"/>
      <c r="C2369" s="24"/>
      <c r="D2369" s="312"/>
      <c r="E2369" s="312"/>
      <c r="G2369" s="47"/>
      <c r="H2369" s="24"/>
      <c r="I2369" s="312"/>
      <c r="J2369" s="312"/>
      <c r="L2369" s="47"/>
      <c r="M2369" s="24"/>
      <c r="N2369" s="312"/>
      <c r="O2369" s="312"/>
      <c r="Q2369" s="47"/>
      <c r="R2369" s="136" t="s">
        <v>2160</v>
      </c>
      <c r="S2369" s="25" t="s">
        <v>2161</v>
      </c>
      <c r="T2369" s="155">
        <v>1962760</v>
      </c>
      <c r="U2369" s="155">
        <v>0</v>
      </c>
    </row>
    <row r="2370" spans="2:21" x14ac:dyDescent="0.3">
      <c r="B2370" s="47"/>
      <c r="C2370" s="24"/>
      <c r="D2370" s="312"/>
      <c r="E2370" s="312"/>
      <c r="G2370" s="47"/>
      <c r="H2370" s="24"/>
      <c r="I2370" s="312"/>
      <c r="J2370" s="312"/>
      <c r="L2370" s="47"/>
      <c r="M2370" s="24"/>
      <c r="N2370" s="312"/>
      <c r="O2370" s="312"/>
      <c r="Q2370" s="47"/>
      <c r="R2370" s="136" t="s">
        <v>2162</v>
      </c>
      <c r="S2370" s="25" t="s">
        <v>2163</v>
      </c>
      <c r="T2370" s="155">
        <v>1548352</v>
      </c>
      <c r="U2370" s="155">
        <v>0</v>
      </c>
    </row>
    <row r="2371" spans="2:21" x14ac:dyDescent="0.3">
      <c r="B2371" s="47"/>
      <c r="C2371" s="24"/>
      <c r="D2371" s="312"/>
      <c r="E2371" s="312"/>
      <c r="G2371" s="47"/>
      <c r="H2371" s="24"/>
      <c r="I2371" s="312"/>
      <c r="J2371" s="312"/>
      <c r="L2371" s="47"/>
      <c r="M2371" s="24"/>
      <c r="N2371" s="312"/>
      <c r="O2371" s="312"/>
      <c r="Q2371" s="47"/>
      <c r="R2371" s="136" t="s">
        <v>2165</v>
      </c>
      <c r="S2371" s="25" t="s">
        <v>2166</v>
      </c>
      <c r="T2371" s="155">
        <v>656651</v>
      </c>
      <c r="U2371" s="155">
        <v>0</v>
      </c>
    </row>
    <row r="2372" spans="2:21" x14ac:dyDescent="0.3">
      <c r="B2372" s="47"/>
      <c r="C2372" s="24"/>
      <c r="D2372" s="312"/>
      <c r="E2372" s="312"/>
      <c r="G2372" s="47"/>
      <c r="H2372" s="24"/>
      <c r="I2372" s="312"/>
      <c r="J2372" s="312"/>
      <c r="L2372" s="47"/>
      <c r="M2372" s="24"/>
      <c r="N2372" s="312"/>
      <c r="O2372" s="312"/>
      <c r="Q2372" s="47"/>
      <c r="R2372" s="136" t="s">
        <v>3313</v>
      </c>
      <c r="S2372" s="25" t="s">
        <v>2211</v>
      </c>
      <c r="T2372" s="155">
        <v>790020</v>
      </c>
      <c r="U2372" s="155">
        <v>0</v>
      </c>
    </row>
    <row r="2373" spans="2:21" x14ac:dyDescent="0.3">
      <c r="B2373" s="47"/>
      <c r="C2373" s="24"/>
      <c r="D2373" s="312"/>
      <c r="E2373" s="312"/>
      <c r="G2373" s="47"/>
      <c r="H2373" s="24"/>
      <c r="I2373" s="312"/>
      <c r="J2373" s="312"/>
      <c r="L2373" s="47"/>
      <c r="M2373" s="24"/>
      <c r="N2373" s="312"/>
      <c r="O2373" s="312"/>
      <c r="Q2373" s="47"/>
      <c r="R2373" s="136" t="s">
        <v>2212</v>
      </c>
      <c r="S2373" s="25" t="s">
        <v>2213</v>
      </c>
      <c r="T2373" s="155">
        <v>1018526</v>
      </c>
      <c r="U2373" s="155">
        <v>0</v>
      </c>
    </row>
    <row r="2374" spans="2:21" x14ac:dyDescent="0.3">
      <c r="B2374" s="47"/>
      <c r="C2374" s="24"/>
      <c r="D2374" s="312"/>
      <c r="E2374" s="312"/>
      <c r="G2374" s="47"/>
      <c r="H2374" s="24"/>
      <c r="I2374" s="312"/>
      <c r="J2374" s="312"/>
      <c r="L2374" s="47"/>
      <c r="M2374" s="24"/>
      <c r="N2374" s="312"/>
      <c r="O2374" s="312"/>
      <c r="Q2374" s="47"/>
      <c r="R2374" s="136" t="s">
        <v>2214</v>
      </c>
      <c r="S2374" s="25" t="s">
        <v>2215</v>
      </c>
      <c r="T2374" s="155">
        <v>872775</v>
      </c>
      <c r="U2374" s="155">
        <v>0</v>
      </c>
    </row>
    <row r="2375" spans="2:21" x14ac:dyDescent="0.3">
      <c r="B2375" s="47"/>
      <c r="C2375" s="24"/>
      <c r="D2375" s="312"/>
      <c r="E2375" s="312"/>
      <c r="G2375" s="47"/>
      <c r="H2375" s="24"/>
      <c r="I2375" s="312"/>
      <c r="J2375" s="312"/>
      <c r="L2375" s="47"/>
      <c r="M2375" s="24"/>
      <c r="N2375" s="312"/>
      <c r="O2375" s="312"/>
      <c r="Q2375" s="47"/>
      <c r="R2375" s="136" t="s">
        <v>1985</v>
      </c>
      <c r="S2375" s="25" t="s">
        <v>2197</v>
      </c>
      <c r="T2375" s="155">
        <v>649500</v>
      </c>
      <c r="U2375" s="155">
        <v>0</v>
      </c>
    </row>
    <row r="2376" spans="2:21" x14ac:dyDescent="0.3">
      <c r="B2376" s="47"/>
      <c r="C2376" s="24"/>
      <c r="D2376" s="312"/>
      <c r="E2376" s="312"/>
      <c r="G2376" s="47"/>
      <c r="H2376" s="24"/>
      <c r="I2376" s="312"/>
      <c r="J2376" s="312"/>
      <c r="L2376" s="47"/>
      <c r="M2376" s="24"/>
      <c r="N2376" s="312"/>
      <c r="O2376" s="312"/>
      <c r="Q2376" s="47"/>
      <c r="R2376" s="136" t="s">
        <v>1895</v>
      </c>
      <c r="S2376" s="25" t="s">
        <v>2174</v>
      </c>
      <c r="T2376" s="155">
        <v>1522861</v>
      </c>
      <c r="U2376" s="155">
        <v>0</v>
      </c>
    </row>
    <row r="2377" spans="2:21" x14ac:dyDescent="0.3">
      <c r="B2377" s="47"/>
      <c r="C2377" s="24"/>
      <c r="D2377" s="312"/>
      <c r="E2377" s="312"/>
      <c r="G2377" s="47"/>
      <c r="H2377" s="24"/>
      <c r="I2377" s="312"/>
      <c r="J2377" s="312"/>
      <c r="L2377" s="47"/>
      <c r="M2377" s="24"/>
      <c r="N2377" s="312"/>
      <c r="O2377" s="312"/>
      <c r="Q2377" s="47"/>
      <c r="R2377" s="136" t="s">
        <v>2177</v>
      </c>
      <c r="S2377" s="25" t="s">
        <v>2341</v>
      </c>
      <c r="T2377" s="155">
        <v>1934460</v>
      </c>
      <c r="U2377" s="155">
        <v>0</v>
      </c>
    </row>
    <row r="2378" spans="2:21" x14ac:dyDescent="0.3">
      <c r="B2378" s="47"/>
      <c r="C2378" s="24"/>
      <c r="D2378" s="312"/>
      <c r="E2378" s="312"/>
      <c r="G2378" s="47"/>
      <c r="H2378" s="24"/>
      <c r="I2378" s="312"/>
      <c r="J2378" s="312"/>
      <c r="L2378" s="47"/>
      <c r="M2378" s="24"/>
      <c r="N2378" s="312"/>
      <c r="O2378" s="312"/>
      <c r="Q2378" s="47"/>
      <c r="R2378" s="136" t="s">
        <v>2187</v>
      </c>
      <c r="S2378" s="25" t="s">
        <v>2186</v>
      </c>
      <c r="T2378" s="155">
        <v>2399625</v>
      </c>
      <c r="U2378" s="155">
        <v>0</v>
      </c>
    </row>
    <row r="2379" spans="2:21" x14ac:dyDescent="0.3">
      <c r="B2379" s="47"/>
      <c r="C2379" s="24"/>
      <c r="D2379" s="312"/>
      <c r="E2379" s="312"/>
      <c r="G2379" s="47"/>
      <c r="H2379" s="24"/>
      <c r="I2379" s="312"/>
      <c r="J2379" s="312"/>
      <c r="L2379" s="47"/>
      <c r="M2379" s="24"/>
      <c r="N2379" s="312"/>
      <c r="O2379" s="312"/>
      <c r="Q2379" s="47"/>
      <c r="R2379" s="136" t="s">
        <v>2190</v>
      </c>
      <c r="S2379" s="25" t="s">
        <v>2189</v>
      </c>
      <c r="T2379" s="155">
        <v>1270350</v>
      </c>
      <c r="U2379" s="155">
        <v>0</v>
      </c>
    </row>
    <row r="2380" spans="2:21" x14ac:dyDescent="0.3">
      <c r="B2380" s="47"/>
      <c r="C2380" s="24"/>
      <c r="D2380" s="312"/>
      <c r="E2380" s="312"/>
      <c r="G2380" s="47"/>
      <c r="H2380" s="24"/>
      <c r="I2380" s="312"/>
      <c r="J2380" s="312"/>
      <c r="L2380" s="47"/>
      <c r="M2380" s="24"/>
      <c r="N2380" s="312"/>
      <c r="O2380" s="312"/>
      <c r="Q2380" s="47"/>
      <c r="R2380" s="136" t="s">
        <v>1898</v>
      </c>
      <c r="S2380" s="25" t="s">
        <v>2218</v>
      </c>
      <c r="T2380" s="155">
        <v>497970</v>
      </c>
      <c r="U2380" s="155">
        <v>0</v>
      </c>
    </row>
    <row r="2381" spans="2:21" x14ac:dyDescent="0.3">
      <c r="B2381" s="47"/>
      <c r="C2381" s="24"/>
      <c r="D2381" s="312"/>
      <c r="E2381" s="312"/>
      <c r="G2381" s="47"/>
      <c r="H2381" s="24"/>
      <c r="I2381" s="312"/>
      <c r="J2381" s="312"/>
      <c r="L2381" s="47"/>
      <c r="M2381" s="24"/>
      <c r="N2381" s="312"/>
      <c r="O2381" s="312"/>
      <c r="Q2381" s="47"/>
      <c r="R2381" s="136" t="s">
        <v>2221</v>
      </c>
      <c r="S2381" s="25" t="s">
        <v>2222</v>
      </c>
      <c r="T2381" s="155">
        <v>427347</v>
      </c>
      <c r="U2381" s="155">
        <v>0</v>
      </c>
    </row>
    <row r="2382" spans="2:21" x14ac:dyDescent="0.3">
      <c r="B2382" s="47"/>
      <c r="C2382" s="24"/>
      <c r="D2382" s="312"/>
      <c r="E2382" s="312"/>
      <c r="G2382" s="47"/>
      <c r="H2382" s="24"/>
      <c r="I2382" s="312"/>
      <c r="J2382" s="312"/>
      <c r="L2382" s="47"/>
      <c r="M2382" s="24"/>
      <c r="N2382" s="312"/>
      <c r="O2382" s="312"/>
      <c r="Q2382" s="47"/>
      <c r="R2382" s="136" t="s">
        <v>2226</v>
      </c>
      <c r="S2382" s="25" t="s">
        <v>2227</v>
      </c>
      <c r="T2382" s="155">
        <v>238950</v>
      </c>
      <c r="U2382" s="155">
        <v>0</v>
      </c>
    </row>
    <row r="2383" spans="2:21" x14ac:dyDescent="0.3">
      <c r="B2383" s="47"/>
      <c r="C2383" s="24"/>
      <c r="D2383" s="312"/>
      <c r="E2383" s="312"/>
      <c r="G2383" s="47"/>
      <c r="H2383" s="24"/>
      <c r="I2383" s="312"/>
      <c r="J2383" s="312"/>
      <c r="L2383" s="47"/>
      <c r="M2383" s="24"/>
      <c r="N2383" s="312"/>
      <c r="O2383" s="312"/>
      <c r="Q2383" s="47"/>
      <c r="R2383" s="136"/>
      <c r="S2383" s="24"/>
      <c r="T2383" s="155"/>
      <c r="U2383" s="155"/>
    </row>
    <row r="2384" spans="2:21" x14ac:dyDescent="0.3">
      <c r="B2384" s="47"/>
      <c r="C2384" s="24"/>
      <c r="D2384" s="312"/>
      <c r="E2384" s="312"/>
      <c r="G2384" s="47"/>
      <c r="H2384" s="24"/>
      <c r="I2384" s="312"/>
      <c r="J2384" s="312"/>
      <c r="K2384">
        <v>8005</v>
      </c>
      <c r="L2384" s="241">
        <v>8005</v>
      </c>
      <c r="M2384" s="243" t="s">
        <v>2072</v>
      </c>
      <c r="N2384" s="314">
        <f>T2384+T2385+T2386+T2387+T2418+T2457+T2468</f>
        <v>3425329</v>
      </c>
      <c r="O2384" s="314">
        <v>0</v>
      </c>
      <c r="Q2384" s="241">
        <v>80050001</v>
      </c>
      <c r="R2384" s="242"/>
      <c r="S2384" s="246" t="s">
        <v>2068</v>
      </c>
      <c r="T2384" s="240">
        <v>0</v>
      </c>
      <c r="U2384" s="240">
        <v>0</v>
      </c>
    </row>
    <row r="2385" spans="2:21" x14ac:dyDescent="0.3">
      <c r="B2385" s="47"/>
      <c r="C2385" s="24"/>
      <c r="D2385" s="312"/>
      <c r="E2385" s="312"/>
      <c r="G2385" s="47"/>
      <c r="H2385" s="24"/>
      <c r="I2385" s="312"/>
      <c r="J2385" s="312"/>
      <c r="L2385" s="47"/>
      <c r="M2385" s="24"/>
      <c r="N2385" s="312"/>
      <c r="O2385" s="312"/>
      <c r="Q2385" s="244">
        <v>80050002</v>
      </c>
      <c r="R2385" s="245"/>
      <c r="S2385" s="246" t="s">
        <v>1092</v>
      </c>
      <c r="T2385" s="247">
        <v>0</v>
      </c>
      <c r="U2385" s="247">
        <v>0</v>
      </c>
    </row>
    <row r="2386" spans="2:21" x14ac:dyDescent="0.3">
      <c r="B2386" s="47"/>
      <c r="C2386" s="24"/>
      <c r="D2386" s="312"/>
      <c r="E2386" s="312"/>
      <c r="G2386" s="47"/>
      <c r="H2386" s="24"/>
      <c r="I2386" s="312"/>
      <c r="J2386" s="312"/>
      <c r="L2386" s="47"/>
      <c r="M2386" s="24"/>
      <c r="N2386" s="312"/>
      <c r="O2386" s="312"/>
      <c r="Q2386" s="244">
        <v>80050003</v>
      </c>
      <c r="R2386" s="245"/>
      <c r="S2386" s="246" t="s">
        <v>2069</v>
      </c>
      <c r="T2386" s="247">
        <v>0</v>
      </c>
      <c r="U2386" s="247">
        <v>0</v>
      </c>
    </row>
    <row r="2387" spans="2:21" x14ac:dyDescent="0.3">
      <c r="B2387" s="47"/>
      <c r="C2387" s="24"/>
      <c r="D2387" s="312"/>
      <c r="E2387" s="312"/>
      <c r="G2387" s="47"/>
      <c r="H2387" s="24"/>
      <c r="I2387" s="312"/>
      <c r="J2387" s="312"/>
      <c r="L2387" s="47"/>
      <c r="M2387" s="24"/>
      <c r="N2387" s="312"/>
      <c r="O2387" s="312"/>
      <c r="Q2387" s="241">
        <v>80050004</v>
      </c>
      <c r="R2387" s="242"/>
      <c r="S2387" s="246" t="s">
        <v>2070</v>
      </c>
      <c r="T2387" s="239">
        <f>SUM(T2388:T2417)-SUM(U2388:U2417)</f>
        <v>355692</v>
      </c>
      <c r="U2387" s="240">
        <v>0</v>
      </c>
    </row>
    <row r="2388" spans="2:21" x14ac:dyDescent="0.3">
      <c r="B2388" s="47"/>
      <c r="C2388" s="24"/>
      <c r="D2388" s="312"/>
      <c r="E2388" s="312"/>
      <c r="G2388" s="47"/>
      <c r="H2388" s="24"/>
      <c r="I2388" s="312"/>
      <c r="J2388" s="312"/>
      <c r="L2388" s="47"/>
      <c r="M2388" s="24"/>
      <c r="N2388" s="312"/>
      <c r="O2388" s="312"/>
      <c r="Q2388" s="47"/>
      <c r="R2388" s="136" t="s">
        <v>1931</v>
      </c>
      <c r="S2388" s="25" t="s">
        <v>1932</v>
      </c>
      <c r="T2388" s="155">
        <v>3750</v>
      </c>
      <c r="U2388" s="155">
        <v>0</v>
      </c>
    </row>
    <row r="2389" spans="2:21" x14ac:dyDescent="0.3">
      <c r="B2389" s="47"/>
      <c r="C2389" s="24"/>
      <c r="D2389" s="312"/>
      <c r="E2389" s="312"/>
      <c r="G2389" s="47"/>
      <c r="H2389" s="24"/>
      <c r="I2389" s="312"/>
      <c r="J2389" s="312"/>
      <c r="L2389" s="47"/>
      <c r="M2389" s="24"/>
      <c r="N2389" s="312"/>
      <c r="O2389" s="312"/>
      <c r="Q2389" s="47"/>
      <c r="R2389" s="136" t="s">
        <v>1934</v>
      </c>
      <c r="S2389" s="25" t="s">
        <v>2196</v>
      </c>
      <c r="T2389" s="155">
        <v>1250</v>
      </c>
      <c r="U2389" s="155">
        <v>0</v>
      </c>
    </row>
    <row r="2390" spans="2:21" x14ac:dyDescent="0.3">
      <c r="B2390" s="47"/>
      <c r="C2390" s="24"/>
      <c r="D2390" s="312"/>
      <c r="E2390" s="312"/>
      <c r="G2390" s="47"/>
      <c r="H2390" s="24"/>
      <c r="I2390" s="312"/>
      <c r="J2390" s="312"/>
      <c r="L2390" s="47"/>
      <c r="M2390" s="24"/>
      <c r="N2390" s="312"/>
      <c r="O2390" s="312"/>
      <c r="Q2390" s="47"/>
      <c r="R2390" s="136" t="s">
        <v>2156</v>
      </c>
      <c r="S2390" s="25" t="s">
        <v>2157</v>
      </c>
      <c r="T2390" s="155">
        <v>126375</v>
      </c>
      <c r="U2390" s="155">
        <v>0</v>
      </c>
    </row>
    <row r="2391" spans="2:21" x14ac:dyDescent="0.3">
      <c r="B2391" s="47"/>
      <c r="C2391" s="24"/>
      <c r="D2391" s="312"/>
      <c r="E2391" s="312"/>
      <c r="G2391" s="47"/>
      <c r="H2391" s="24"/>
      <c r="I2391" s="312"/>
      <c r="J2391" s="312"/>
      <c r="L2391" s="47"/>
      <c r="M2391" s="24"/>
      <c r="N2391" s="312"/>
      <c r="O2391" s="312"/>
      <c r="Q2391" s="47"/>
      <c r="R2391" s="136" t="s">
        <v>2199</v>
      </c>
      <c r="S2391" s="25" t="s">
        <v>2200</v>
      </c>
      <c r="T2391" s="155">
        <v>22000</v>
      </c>
      <c r="U2391" s="155">
        <v>0</v>
      </c>
    </row>
    <row r="2392" spans="2:21" x14ac:dyDescent="0.3">
      <c r="B2392" s="47"/>
      <c r="C2392" s="24"/>
      <c r="D2392" s="312"/>
      <c r="E2392" s="312"/>
      <c r="G2392" s="47"/>
      <c r="H2392" s="24"/>
      <c r="I2392" s="312"/>
      <c r="J2392" s="312"/>
      <c r="L2392" s="47"/>
      <c r="M2392" s="24"/>
      <c r="N2392" s="312"/>
      <c r="O2392" s="312"/>
      <c r="Q2392" s="47"/>
      <c r="R2392" s="136" t="s">
        <v>2201</v>
      </c>
      <c r="S2392" s="25" t="s">
        <v>2202</v>
      </c>
      <c r="T2392" s="155">
        <v>4450</v>
      </c>
      <c r="U2392" s="155">
        <v>0</v>
      </c>
    </row>
    <row r="2393" spans="2:21" x14ac:dyDescent="0.3">
      <c r="B2393" s="47"/>
      <c r="C2393" s="24"/>
      <c r="D2393" s="312"/>
      <c r="E2393" s="312"/>
      <c r="G2393" s="47"/>
      <c r="H2393" s="24"/>
      <c r="I2393" s="312"/>
      <c r="J2393" s="312"/>
      <c r="L2393" s="47"/>
      <c r="M2393" s="24"/>
      <c r="N2393" s="312"/>
      <c r="O2393" s="312"/>
      <c r="Q2393" s="47"/>
      <c r="R2393" s="136" t="s">
        <v>2203</v>
      </c>
      <c r="S2393" s="25" t="s">
        <v>2204</v>
      </c>
      <c r="T2393" s="155">
        <v>500</v>
      </c>
      <c r="U2393" s="155">
        <v>0</v>
      </c>
    </row>
    <row r="2394" spans="2:21" x14ac:dyDescent="0.3">
      <c r="B2394" s="47"/>
      <c r="C2394" s="24"/>
      <c r="D2394" s="312"/>
      <c r="E2394" s="312"/>
      <c r="G2394" s="47"/>
      <c r="H2394" s="24"/>
      <c r="I2394" s="312"/>
      <c r="J2394" s="312"/>
      <c r="L2394" s="47"/>
      <c r="M2394" s="24"/>
      <c r="N2394" s="312"/>
      <c r="O2394" s="312"/>
      <c r="Q2394" s="47"/>
      <c r="R2394" s="136" t="s">
        <v>2205</v>
      </c>
      <c r="S2394" s="25" t="s">
        <v>2206</v>
      </c>
      <c r="T2394" s="155">
        <v>5000</v>
      </c>
      <c r="U2394" s="155">
        <v>0</v>
      </c>
    </row>
    <row r="2395" spans="2:21" x14ac:dyDescent="0.3">
      <c r="B2395" s="47"/>
      <c r="C2395" s="24"/>
      <c r="D2395" s="312"/>
      <c r="E2395" s="312"/>
      <c r="G2395" s="47"/>
      <c r="H2395" s="24"/>
      <c r="I2395" s="312"/>
      <c r="J2395" s="312"/>
      <c r="L2395" s="47"/>
      <c r="M2395" s="24"/>
      <c r="N2395" s="312"/>
      <c r="O2395" s="312"/>
      <c r="Q2395" s="47"/>
      <c r="R2395" s="136" t="s">
        <v>2207</v>
      </c>
      <c r="S2395" s="25" t="s">
        <v>2208</v>
      </c>
      <c r="T2395" s="155">
        <v>13000</v>
      </c>
      <c r="U2395" s="155">
        <v>0</v>
      </c>
    </row>
    <row r="2396" spans="2:21" x14ac:dyDescent="0.3">
      <c r="B2396" s="47"/>
      <c r="C2396" s="24"/>
      <c r="D2396" s="312"/>
      <c r="E2396" s="312"/>
      <c r="G2396" s="47"/>
      <c r="H2396" s="24"/>
      <c r="I2396" s="312"/>
      <c r="J2396" s="312"/>
      <c r="L2396" s="47"/>
      <c r="M2396" s="24"/>
      <c r="N2396" s="312"/>
      <c r="O2396" s="312"/>
      <c r="Q2396" s="47"/>
      <c r="R2396" s="136" t="s">
        <v>2209</v>
      </c>
      <c r="S2396" s="25" t="s">
        <v>2210</v>
      </c>
      <c r="T2396" s="155">
        <v>3600</v>
      </c>
      <c r="U2396" s="155">
        <v>0</v>
      </c>
    </row>
    <row r="2397" spans="2:21" x14ac:dyDescent="0.3">
      <c r="B2397" s="47"/>
      <c r="C2397" s="24"/>
      <c r="D2397" s="312"/>
      <c r="E2397" s="312"/>
      <c r="G2397" s="47"/>
      <c r="H2397" s="24"/>
      <c r="I2397" s="312"/>
      <c r="J2397" s="312"/>
      <c r="L2397" s="47"/>
      <c r="M2397" s="24"/>
      <c r="N2397" s="312"/>
      <c r="O2397" s="312"/>
      <c r="Q2397" s="47"/>
      <c r="R2397" s="136" t="s">
        <v>2340</v>
      </c>
      <c r="S2397" s="25" t="s">
        <v>2159</v>
      </c>
      <c r="T2397" s="155">
        <v>21250</v>
      </c>
      <c r="U2397" s="155">
        <v>0</v>
      </c>
    </row>
    <row r="2398" spans="2:21" x14ac:dyDescent="0.3">
      <c r="B2398" s="47"/>
      <c r="C2398" s="24"/>
      <c r="D2398" s="312"/>
      <c r="E2398" s="312"/>
      <c r="G2398" s="47"/>
      <c r="H2398" s="24"/>
      <c r="I2398" s="312"/>
      <c r="J2398" s="312"/>
      <c r="L2398" s="47"/>
      <c r="M2398" s="24"/>
      <c r="N2398" s="312"/>
      <c r="O2398" s="312"/>
      <c r="Q2398" s="47"/>
      <c r="R2398" s="136" t="s">
        <v>2160</v>
      </c>
      <c r="S2398" s="25" t="s">
        <v>2161</v>
      </c>
      <c r="T2398" s="155">
        <v>600</v>
      </c>
      <c r="U2398" s="155">
        <v>0</v>
      </c>
    </row>
    <row r="2399" spans="2:21" x14ac:dyDescent="0.3">
      <c r="B2399" s="47"/>
      <c r="C2399" s="24"/>
      <c r="D2399" s="312"/>
      <c r="E2399" s="312"/>
      <c r="G2399" s="47"/>
      <c r="H2399" s="24"/>
      <c r="I2399" s="312"/>
      <c r="J2399" s="312"/>
      <c r="L2399" s="47"/>
      <c r="M2399" s="24"/>
      <c r="N2399" s="312"/>
      <c r="O2399" s="312"/>
      <c r="Q2399" s="47"/>
      <c r="R2399" s="136" t="s">
        <v>2162</v>
      </c>
      <c r="S2399" s="25" t="s">
        <v>2163</v>
      </c>
      <c r="T2399" s="155">
        <v>1050</v>
      </c>
      <c r="U2399" s="155">
        <v>0</v>
      </c>
    </row>
    <row r="2400" spans="2:21" x14ac:dyDescent="0.3">
      <c r="B2400" s="47"/>
      <c r="C2400" s="24"/>
      <c r="D2400" s="312"/>
      <c r="E2400" s="312"/>
      <c r="G2400" s="47"/>
      <c r="H2400" s="24"/>
      <c r="I2400" s="312"/>
      <c r="J2400" s="312"/>
      <c r="L2400" s="47"/>
      <c r="M2400" s="24"/>
      <c r="N2400" s="312"/>
      <c r="O2400" s="312"/>
      <c r="Q2400" s="47"/>
      <c r="R2400" s="136" t="s">
        <v>2165</v>
      </c>
      <c r="S2400" s="25" t="s">
        <v>2166</v>
      </c>
      <c r="T2400" s="155">
        <v>3650</v>
      </c>
      <c r="U2400" s="155">
        <v>0</v>
      </c>
    </row>
    <row r="2401" spans="2:21" x14ac:dyDescent="0.3">
      <c r="B2401" s="47"/>
      <c r="C2401" s="24"/>
      <c r="D2401" s="312"/>
      <c r="E2401" s="312"/>
      <c r="G2401" s="47"/>
      <c r="H2401" s="24"/>
      <c r="I2401" s="312"/>
      <c r="J2401" s="312"/>
      <c r="L2401" s="47"/>
      <c r="M2401" s="24"/>
      <c r="N2401" s="312"/>
      <c r="O2401" s="312"/>
      <c r="Q2401" s="47"/>
      <c r="R2401" s="136" t="s">
        <v>2168</v>
      </c>
      <c r="S2401" s="25" t="s">
        <v>2169</v>
      </c>
      <c r="T2401" s="155">
        <v>13500</v>
      </c>
      <c r="U2401" s="155">
        <v>0</v>
      </c>
    </row>
    <row r="2402" spans="2:21" x14ac:dyDescent="0.3">
      <c r="B2402" s="47"/>
      <c r="C2402" s="24"/>
      <c r="D2402" s="312"/>
      <c r="E2402" s="312"/>
      <c r="G2402" s="47"/>
      <c r="H2402" s="24"/>
      <c r="I2402" s="312"/>
      <c r="J2402" s="312"/>
      <c r="L2402" s="47"/>
      <c r="M2402" s="24"/>
      <c r="N2402" s="312"/>
      <c r="O2402" s="312"/>
      <c r="Q2402" s="47"/>
      <c r="R2402" s="136" t="s">
        <v>3313</v>
      </c>
      <c r="S2402" s="25" t="s">
        <v>2211</v>
      </c>
      <c r="T2402" s="155">
        <v>11700</v>
      </c>
      <c r="U2402" s="155">
        <v>0</v>
      </c>
    </row>
    <row r="2403" spans="2:21" x14ac:dyDescent="0.3">
      <c r="B2403" s="47"/>
      <c r="C2403" s="24"/>
      <c r="D2403" s="312"/>
      <c r="E2403" s="312"/>
      <c r="G2403" s="47"/>
      <c r="H2403" s="24"/>
      <c r="I2403" s="312"/>
      <c r="J2403" s="312"/>
      <c r="L2403" s="47"/>
      <c r="M2403" s="24"/>
      <c r="N2403" s="312"/>
      <c r="O2403" s="312"/>
      <c r="Q2403" s="47"/>
      <c r="R2403" s="136" t="s">
        <v>2212</v>
      </c>
      <c r="S2403" s="25" t="s">
        <v>2213</v>
      </c>
      <c r="T2403" s="155">
        <v>4000</v>
      </c>
      <c r="U2403" s="155">
        <v>0</v>
      </c>
    </row>
    <row r="2404" spans="2:21" x14ac:dyDescent="0.3">
      <c r="B2404" s="47"/>
      <c r="C2404" s="24"/>
      <c r="D2404" s="312"/>
      <c r="E2404" s="312"/>
      <c r="G2404" s="47"/>
      <c r="H2404" s="24"/>
      <c r="I2404" s="312"/>
      <c r="J2404" s="312"/>
      <c r="L2404" s="47"/>
      <c r="M2404" s="24"/>
      <c r="N2404" s="312"/>
      <c r="O2404" s="312"/>
      <c r="Q2404" s="47"/>
      <c r="R2404" s="136" t="s">
        <v>2214</v>
      </c>
      <c r="S2404" s="25" t="s">
        <v>2215</v>
      </c>
      <c r="T2404" s="155">
        <v>14500</v>
      </c>
      <c r="U2404" s="155">
        <v>0</v>
      </c>
    </row>
    <row r="2405" spans="2:21" x14ac:dyDescent="0.3">
      <c r="B2405" s="47"/>
      <c r="C2405" s="24"/>
      <c r="D2405" s="312"/>
      <c r="E2405" s="312"/>
      <c r="G2405" s="47"/>
      <c r="H2405" s="24"/>
      <c r="I2405" s="312"/>
      <c r="J2405" s="312"/>
      <c r="L2405" s="47"/>
      <c r="M2405" s="24"/>
      <c r="N2405" s="312"/>
      <c r="O2405" s="312"/>
      <c r="Q2405" s="47"/>
      <c r="R2405" s="136" t="s">
        <v>1985</v>
      </c>
      <c r="S2405" s="25" t="s">
        <v>2197</v>
      </c>
      <c r="T2405" s="155">
        <v>28450</v>
      </c>
      <c r="U2405" s="155">
        <v>0</v>
      </c>
    </row>
    <row r="2406" spans="2:21" x14ac:dyDescent="0.3">
      <c r="B2406" s="47"/>
      <c r="C2406" s="24"/>
      <c r="D2406" s="312"/>
      <c r="E2406" s="312"/>
      <c r="G2406" s="47"/>
      <c r="H2406" s="24"/>
      <c r="I2406" s="312"/>
      <c r="J2406" s="312"/>
      <c r="L2406" s="47"/>
      <c r="M2406" s="24"/>
      <c r="N2406" s="312"/>
      <c r="O2406" s="312"/>
      <c r="Q2406" s="47"/>
      <c r="R2406" s="136" t="s">
        <v>1895</v>
      </c>
      <c r="S2406" s="25" t="s">
        <v>2174</v>
      </c>
      <c r="T2406" s="155">
        <v>6500</v>
      </c>
      <c r="U2406" s="155">
        <v>0</v>
      </c>
    </row>
    <row r="2407" spans="2:21" x14ac:dyDescent="0.3">
      <c r="B2407" s="47"/>
      <c r="C2407" s="24"/>
      <c r="D2407" s="312"/>
      <c r="E2407" s="312"/>
      <c r="G2407" s="47"/>
      <c r="H2407" s="24"/>
      <c r="I2407" s="312"/>
      <c r="J2407" s="312"/>
      <c r="L2407" s="47"/>
      <c r="M2407" s="24"/>
      <c r="N2407" s="312"/>
      <c r="O2407" s="312"/>
      <c r="Q2407" s="47"/>
      <c r="R2407" s="136" t="s">
        <v>2177</v>
      </c>
      <c r="S2407" s="25" t="s">
        <v>2341</v>
      </c>
      <c r="T2407" s="155">
        <v>26500</v>
      </c>
      <c r="U2407" s="155">
        <v>0</v>
      </c>
    </row>
    <row r="2408" spans="2:21" x14ac:dyDescent="0.3">
      <c r="B2408" s="47"/>
      <c r="C2408" s="24"/>
      <c r="D2408" s="312"/>
      <c r="E2408" s="312"/>
      <c r="G2408" s="47"/>
      <c r="H2408" s="24"/>
      <c r="I2408" s="312"/>
      <c r="J2408" s="312"/>
      <c r="L2408" s="47"/>
      <c r="M2408" s="24"/>
      <c r="N2408" s="312"/>
      <c r="O2408" s="312"/>
      <c r="Q2408" s="47"/>
      <c r="R2408" s="136" t="s">
        <v>2183</v>
      </c>
      <c r="S2408" s="25" t="s">
        <v>2182</v>
      </c>
      <c r="T2408" s="155">
        <v>600</v>
      </c>
      <c r="U2408" s="155">
        <v>0</v>
      </c>
    </row>
    <row r="2409" spans="2:21" x14ac:dyDescent="0.3">
      <c r="B2409" s="47"/>
      <c r="C2409" s="24"/>
      <c r="D2409" s="312"/>
      <c r="E2409" s="312"/>
      <c r="G2409" s="47"/>
      <c r="H2409" s="24"/>
      <c r="I2409" s="312"/>
      <c r="J2409" s="312"/>
      <c r="L2409" s="47"/>
      <c r="M2409" s="24"/>
      <c r="N2409" s="312"/>
      <c r="O2409" s="312"/>
      <c r="Q2409" s="47"/>
      <c r="R2409" s="136" t="s">
        <v>2185</v>
      </c>
      <c r="S2409" s="25" t="s">
        <v>2184</v>
      </c>
      <c r="T2409" s="155">
        <v>4780</v>
      </c>
      <c r="U2409" s="155">
        <v>0</v>
      </c>
    </row>
    <row r="2410" spans="2:21" x14ac:dyDescent="0.3">
      <c r="B2410" s="47"/>
      <c r="C2410" s="24"/>
      <c r="D2410" s="312"/>
      <c r="E2410" s="312"/>
      <c r="G2410" s="47"/>
      <c r="H2410" s="24"/>
      <c r="I2410" s="312"/>
      <c r="J2410" s="312"/>
      <c r="L2410" s="47"/>
      <c r="M2410" s="24"/>
      <c r="N2410" s="312"/>
      <c r="O2410" s="312"/>
      <c r="Q2410" s="47"/>
      <c r="R2410" s="136" t="s">
        <v>2187</v>
      </c>
      <c r="S2410" s="25" t="s">
        <v>2186</v>
      </c>
      <c r="T2410" s="155">
        <v>25820</v>
      </c>
      <c r="U2410" s="155">
        <v>0</v>
      </c>
    </row>
    <row r="2411" spans="2:21" x14ac:dyDescent="0.3">
      <c r="B2411" s="47"/>
      <c r="C2411" s="24"/>
      <c r="D2411" s="312"/>
      <c r="E2411" s="312"/>
      <c r="G2411" s="47"/>
      <c r="H2411" s="24"/>
      <c r="I2411" s="312"/>
      <c r="J2411" s="312"/>
      <c r="L2411" s="47"/>
      <c r="M2411" s="24"/>
      <c r="N2411" s="312"/>
      <c r="O2411" s="312"/>
      <c r="Q2411" s="47"/>
      <c r="R2411" s="136" t="s">
        <v>2342</v>
      </c>
      <c r="S2411" s="25" t="s">
        <v>2188</v>
      </c>
      <c r="T2411" s="155">
        <v>1500</v>
      </c>
      <c r="U2411" s="155">
        <v>0</v>
      </c>
    </row>
    <row r="2412" spans="2:21" x14ac:dyDescent="0.3">
      <c r="B2412" s="47"/>
      <c r="C2412" s="24"/>
      <c r="D2412" s="312"/>
      <c r="E2412" s="312"/>
      <c r="G2412" s="47"/>
      <c r="H2412" s="24"/>
      <c r="I2412" s="312"/>
      <c r="J2412" s="312"/>
      <c r="L2412" s="47"/>
      <c r="M2412" s="24"/>
      <c r="N2412" s="312"/>
      <c r="O2412" s="312"/>
      <c r="Q2412" s="47"/>
      <c r="R2412" s="136" t="s">
        <v>2190</v>
      </c>
      <c r="S2412" s="25" t="s">
        <v>2189</v>
      </c>
      <c r="T2412" s="155">
        <v>4250</v>
      </c>
      <c r="U2412" s="155">
        <v>0</v>
      </c>
    </row>
    <row r="2413" spans="2:21" x14ac:dyDescent="0.3">
      <c r="B2413" s="47"/>
      <c r="C2413" s="24"/>
      <c r="D2413" s="312"/>
      <c r="E2413" s="312"/>
      <c r="G2413" s="47"/>
      <c r="H2413" s="24"/>
      <c r="I2413" s="312"/>
      <c r="J2413" s="312"/>
      <c r="L2413" s="47"/>
      <c r="M2413" s="24"/>
      <c r="N2413" s="312"/>
      <c r="O2413" s="312"/>
      <c r="Q2413" s="47"/>
      <c r="R2413" s="136" t="s">
        <v>2192</v>
      </c>
      <c r="S2413" s="25" t="s">
        <v>2191</v>
      </c>
      <c r="T2413" s="155">
        <v>600</v>
      </c>
      <c r="U2413" s="155">
        <v>0</v>
      </c>
    </row>
    <row r="2414" spans="2:21" x14ac:dyDescent="0.3">
      <c r="B2414" s="47"/>
      <c r="C2414" s="24"/>
      <c r="D2414" s="312"/>
      <c r="E2414" s="312"/>
      <c r="G2414" s="47"/>
      <c r="H2414" s="24"/>
      <c r="I2414" s="312"/>
      <c r="J2414" s="312"/>
      <c r="L2414" s="47"/>
      <c r="M2414" s="24"/>
      <c r="N2414" s="312"/>
      <c r="O2414" s="312"/>
      <c r="Q2414" s="47"/>
      <c r="R2414" s="136" t="s">
        <v>3291</v>
      </c>
      <c r="S2414" s="25" t="s">
        <v>2171</v>
      </c>
      <c r="T2414" s="155">
        <v>2000</v>
      </c>
      <c r="U2414" s="155">
        <v>0</v>
      </c>
    </row>
    <row r="2415" spans="2:21" x14ac:dyDescent="0.3">
      <c r="B2415" s="47"/>
      <c r="C2415" s="24"/>
      <c r="D2415" s="312"/>
      <c r="E2415" s="312"/>
      <c r="G2415" s="47"/>
      <c r="H2415" s="24"/>
      <c r="I2415" s="312"/>
      <c r="J2415" s="312"/>
      <c r="L2415" s="47"/>
      <c r="M2415" s="24"/>
      <c r="N2415" s="312"/>
      <c r="O2415" s="312"/>
      <c r="Q2415" s="47"/>
      <c r="R2415" s="136" t="s">
        <v>2221</v>
      </c>
      <c r="S2415" s="25" t="s">
        <v>2222</v>
      </c>
      <c r="T2415" s="155">
        <v>500</v>
      </c>
      <c r="U2415" s="155">
        <v>0</v>
      </c>
    </row>
    <row r="2416" spans="2:21" x14ac:dyDescent="0.3">
      <c r="B2416" s="47"/>
      <c r="C2416" s="24"/>
      <c r="D2416" s="312"/>
      <c r="E2416" s="312"/>
      <c r="G2416" s="47"/>
      <c r="H2416" s="24"/>
      <c r="I2416" s="312"/>
      <c r="J2416" s="312"/>
      <c r="L2416" s="47"/>
      <c r="M2416" s="24"/>
      <c r="N2416" s="312"/>
      <c r="O2416" s="312"/>
      <c r="Q2416" s="47"/>
      <c r="R2416" s="136" t="s">
        <v>2226</v>
      </c>
      <c r="S2416" s="25" t="s">
        <v>2227</v>
      </c>
      <c r="T2416" s="155">
        <v>3017</v>
      </c>
      <c r="U2416" s="155">
        <v>0</v>
      </c>
    </row>
    <row r="2417" spans="2:21" x14ac:dyDescent="0.3">
      <c r="B2417" s="47"/>
      <c r="C2417" s="24"/>
      <c r="D2417" s="312"/>
      <c r="E2417" s="312"/>
      <c r="G2417" s="47"/>
      <c r="H2417" s="24"/>
      <c r="I2417" s="312"/>
      <c r="J2417" s="312"/>
      <c r="L2417" s="47"/>
      <c r="M2417" s="24"/>
      <c r="N2417" s="312"/>
      <c r="O2417" s="312"/>
      <c r="Q2417" s="47"/>
      <c r="R2417" s="136" t="s">
        <v>2232</v>
      </c>
      <c r="S2417" s="25" t="s">
        <v>1988</v>
      </c>
      <c r="T2417" s="155">
        <v>1000</v>
      </c>
      <c r="U2417" s="155">
        <v>0</v>
      </c>
    </row>
    <row r="2418" spans="2:21" x14ac:dyDescent="0.3">
      <c r="B2418" s="47"/>
      <c r="C2418" s="24"/>
      <c r="D2418" s="312"/>
      <c r="E2418" s="312"/>
      <c r="G2418" s="47"/>
      <c r="H2418" s="24"/>
      <c r="I2418" s="312"/>
      <c r="J2418" s="312"/>
      <c r="L2418" s="47"/>
      <c r="M2418" s="24"/>
      <c r="N2418" s="312"/>
      <c r="O2418" s="312"/>
      <c r="Q2418" s="241">
        <v>80050005</v>
      </c>
      <c r="R2418" s="242"/>
      <c r="S2418" s="246" t="s">
        <v>2071</v>
      </c>
      <c r="T2418" s="239">
        <f>SUM(T2419:T2456)-SUM(U2419:U2456)</f>
        <v>2680300</v>
      </c>
      <c r="U2418" s="240">
        <v>0</v>
      </c>
    </row>
    <row r="2419" spans="2:21" x14ac:dyDescent="0.3">
      <c r="B2419" s="47"/>
      <c r="C2419" s="24"/>
      <c r="D2419" s="312"/>
      <c r="E2419" s="312"/>
      <c r="G2419" s="47"/>
      <c r="H2419" s="24"/>
      <c r="I2419" s="312"/>
      <c r="J2419" s="312"/>
      <c r="L2419" s="47"/>
      <c r="M2419" s="24"/>
      <c r="N2419" s="312"/>
      <c r="O2419" s="312"/>
      <c r="Q2419" s="47"/>
      <c r="R2419" s="136" t="s">
        <v>1931</v>
      </c>
      <c r="S2419" s="25" t="s">
        <v>1932</v>
      </c>
      <c r="T2419" s="155">
        <v>64050</v>
      </c>
      <c r="U2419" s="155">
        <v>0</v>
      </c>
    </row>
    <row r="2420" spans="2:21" x14ac:dyDescent="0.3">
      <c r="B2420" s="47"/>
      <c r="C2420" s="24"/>
      <c r="D2420" s="312"/>
      <c r="E2420" s="312"/>
      <c r="G2420" s="47"/>
      <c r="H2420" s="24"/>
      <c r="I2420" s="312"/>
      <c r="J2420" s="312"/>
      <c r="L2420" s="47"/>
      <c r="M2420" s="24"/>
      <c r="N2420" s="312"/>
      <c r="O2420" s="312"/>
      <c r="Q2420" s="47"/>
      <c r="R2420" s="136" t="s">
        <v>1934</v>
      </c>
      <c r="S2420" s="25" t="s">
        <v>2196</v>
      </c>
      <c r="T2420" s="155">
        <v>43400</v>
      </c>
      <c r="U2420" s="155">
        <v>0</v>
      </c>
    </row>
    <row r="2421" spans="2:21" x14ac:dyDescent="0.3">
      <c r="B2421" s="47"/>
      <c r="C2421" s="24"/>
      <c r="D2421" s="312"/>
      <c r="E2421" s="312"/>
      <c r="G2421" s="47"/>
      <c r="H2421" s="24"/>
      <c r="I2421" s="312"/>
      <c r="J2421" s="312"/>
      <c r="L2421" s="47"/>
      <c r="M2421" s="24"/>
      <c r="N2421" s="312"/>
      <c r="O2421" s="312"/>
      <c r="Q2421" s="47"/>
      <c r="R2421" s="136" t="s">
        <v>2156</v>
      </c>
      <c r="S2421" s="25" t="s">
        <v>2157</v>
      </c>
      <c r="T2421" s="155">
        <v>372750</v>
      </c>
      <c r="U2421" s="155">
        <v>0</v>
      </c>
    </row>
    <row r="2422" spans="2:21" x14ac:dyDescent="0.3">
      <c r="B2422" s="47"/>
      <c r="C2422" s="24"/>
      <c r="D2422" s="312"/>
      <c r="E2422" s="312"/>
      <c r="G2422" s="47"/>
      <c r="H2422" s="24"/>
      <c r="I2422" s="312"/>
      <c r="J2422" s="312"/>
      <c r="L2422" s="47"/>
      <c r="M2422" s="24"/>
      <c r="N2422" s="312"/>
      <c r="O2422" s="312"/>
      <c r="Q2422" s="47"/>
      <c r="R2422" s="136" t="s">
        <v>2199</v>
      </c>
      <c r="S2422" s="25" t="s">
        <v>2200</v>
      </c>
      <c r="T2422" s="155">
        <v>143150</v>
      </c>
      <c r="U2422" s="155">
        <v>0</v>
      </c>
    </row>
    <row r="2423" spans="2:21" x14ac:dyDescent="0.3">
      <c r="B2423" s="47"/>
      <c r="C2423" s="24"/>
      <c r="D2423" s="312"/>
      <c r="E2423" s="312"/>
      <c r="G2423" s="47"/>
      <c r="H2423" s="24"/>
      <c r="I2423" s="312"/>
      <c r="J2423" s="312"/>
      <c r="L2423" s="47"/>
      <c r="M2423" s="24"/>
      <c r="N2423" s="312"/>
      <c r="O2423" s="312"/>
      <c r="Q2423" s="47"/>
      <c r="R2423" s="136" t="s">
        <v>2201</v>
      </c>
      <c r="S2423" s="25" t="s">
        <v>2202</v>
      </c>
      <c r="T2423" s="155">
        <v>86800</v>
      </c>
      <c r="U2423" s="155">
        <v>0</v>
      </c>
    </row>
    <row r="2424" spans="2:21" x14ac:dyDescent="0.3">
      <c r="B2424" s="47"/>
      <c r="C2424" s="24"/>
      <c r="D2424" s="312"/>
      <c r="E2424" s="312"/>
      <c r="G2424" s="47"/>
      <c r="H2424" s="24"/>
      <c r="I2424" s="312"/>
      <c r="J2424" s="312"/>
      <c r="L2424" s="47"/>
      <c r="M2424" s="24"/>
      <c r="N2424" s="312"/>
      <c r="O2424" s="312"/>
      <c r="Q2424" s="47"/>
      <c r="R2424" s="136" t="s">
        <v>2205</v>
      </c>
      <c r="S2424" s="25" t="s">
        <v>2206</v>
      </c>
      <c r="T2424" s="155">
        <v>53550</v>
      </c>
      <c r="U2424" s="155">
        <v>0</v>
      </c>
    </row>
    <row r="2425" spans="2:21" x14ac:dyDescent="0.3">
      <c r="B2425" s="47"/>
      <c r="C2425" s="24"/>
      <c r="D2425" s="312"/>
      <c r="E2425" s="312"/>
      <c r="G2425" s="47"/>
      <c r="H2425" s="24"/>
      <c r="I2425" s="312"/>
      <c r="J2425" s="312"/>
      <c r="L2425" s="47"/>
      <c r="M2425" s="24"/>
      <c r="N2425" s="312"/>
      <c r="O2425" s="312"/>
      <c r="Q2425" s="47"/>
      <c r="R2425" s="136" t="s">
        <v>2207</v>
      </c>
      <c r="S2425" s="25" t="s">
        <v>2208</v>
      </c>
      <c r="T2425" s="155">
        <v>73150</v>
      </c>
      <c r="U2425" s="155">
        <v>0</v>
      </c>
    </row>
    <row r="2426" spans="2:21" x14ac:dyDescent="0.3">
      <c r="B2426" s="47"/>
      <c r="C2426" s="24"/>
      <c r="D2426" s="312"/>
      <c r="E2426" s="312"/>
      <c r="G2426" s="47"/>
      <c r="H2426" s="24"/>
      <c r="I2426" s="312"/>
      <c r="J2426" s="312"/>
      <c r="L2426" s="47"/>
      <c r="M2426" s="24"/>
      <c r="N2426" s="312"/>
      <c r="O2426" s="312"/>
      <c r="Q2426" s="47"/>
      <c r="R2426" s="136" t="s">
        <v>2209</v>
      </c>
      <c r="S2426" s="25" t="s">
        <v>2210</v>
      </c>
      <c r="T2426" s="155">
        <v>81900</v>
      </c>
      <c r="U2426" s="155">
        <v>0</v>
      </c>
    </row>
    <row r="2427" spans="2:21" x14ac:dyDescent="0.3">
      <c r="B2427" s="47"/>
      <c r="C2427" s="24"/>
      <c r="D2427" s="312"/>
      <c r="E2427" s="312"/>
      <c r="G2427" s="47"/>
      <c r="H2427" s="24"/>
      <c r="I2427" s="312"/>
      <c r="J2427" s="312"/>
      <c r="L2427" s="47"/>
      <c r="M2427" s="24"/>
      <c r="N2427" s="312"/>
      <c r="O2427" s="312"/>
      <c r="Q2427" s="47"/>
      <c r="R2427" s="136" t="s">
        <v>2340</v>
      </c>
      <c r="S2427" s="25" t="s">
        <v>2159</v>
      </c>
      <c r="T2427" s="155">
        <v>152250</v>
      </c>
      <c r="U2427" s="155">
        <v>0</v>
      </c>
    </row>
    <row r="2428" spans="2:21" x14ac:dyDescent="0.3">
      <c r="B2428" s="47"/>
      <c r="C2428" s="24"/>
      <c r="D2428" s="312"/>
      <c r="E2428" s="312"/>
      <c r="G2428" s="47"/>
      <c r="H2428" s="24"/>
      <c r="I2428" s="312"/>
      <c r="J2428" s="312"/>
      <c r="L2428" s="47"/>
      <c r="M2428" s="24"/>
      <c r="N2428" s="312"/>
      <c r="O2428" s="312"/>
      <c r="Q2428" s="47"/>
      <c r="R2428" s="136" t="s">
        <v>2160</v>
      </c>
      <c r="S2428" s="25" t="s">
        <v>2161</v>
      </c>
      <c r="T2428" s="155">
        <v>57400</v>
      </c>
      <c r="U2428" s="155">
        <v>0</v>
      </c>
    </row>
    <row r="2429" spans="2:21" x14ac:dyDescent="0.3">
      <c r="B2429" s="47"/>
      <c r="C2429" s="24"/>
      <c r="D2429" s="312"/>
      <c r="E2429" s="312"/>
      <c r="G2429" s="47"/>
      <c r="H2429" s="24"/>
      <c r="I2429" s="312"/>
      <c r="J2429" s="312"/>
      <c r="L2429" s="47"/>
      <c r="M2429" s="24"/>
      <c r="N2429" s="312"/>
      <c r="O2429" s="312"/>
      <c r="Q2429" s="47"/>
      <c r="R2429" s="136" t="s">
        <v>2162</v>
      </c>
      <c r="S2429" s="25" t="s">
        <v>2163</v>
      </c>
      <c r="T2429" s="155">
        <v>66850</v>
      </c>
      <c r="U2429" s="155">
        <v>0</v>
      </c>
    </row>
    <row r="2430" spans="2:21" x14ac:dyDescent="0.3">
      <c r="B2430" s="47"/>
      <c r="C2430" s="24"/>
      <c r="D2430" s="312"/>
      <c r="E2430" s="312"/>
      <c r="G2430" s="47"/>
      <c r="H2430" s="24"/>
      <c r="I2430" s="312"/>
      <c r="J2430" s="312"/>
      <c r="L2430" s="47"/>
      <c r="M2430" s="24"/>
      <c r="N2430" s="312"/>
      <c r="O2430" s="312"/>
      <c r="Q2430" s="47"/>
      <c r="R2430" s="136" t="s">
        <v>2165</v>
      </c>
      <c r="S2430" s="25" t="s">
        <v>2166</v>
      </c>
      <c r="T2430" s="155">
        <v>77350</v>
      </c>
      <c r="U2430" s="155">
        <v>0</v>
      </c>
    </row>
    <row r="2431" spans="2:21" x14ac:dyDescent="0.3">
      <c r="B2431" s="47"/>
      <c r="C2431" s="24"/>
      <c r="D2431" s="312"/>
      <c r="E2431" s="312"/>
      <c r="G2431" s="47"/>
      <c r="H2431" s="24"/>
      <c r="I2431" s="312"/>
      <c r="J2431" s="312"/>
      <c r="L2431" s="47"/>
      <c r="M2431" s="24"/>
      <c r="N2431" s="312"/>
      <c r="O2431" s="312"/>
      <c r="Q2431" s="47"/>
      <c r="R2431" s="136" t="s">
        <v>2168</v>
      </c>
      <c r="S2431" s="25" t="s">
        <v>2169</v>
      </c>
      <c r="T2431" s="155">
        <v>48650</v>
      </c>
      <c r="U2431" s="155">
        <v>0</v>
      </c>
    </row>
    <row r="2432" spans="2:21" x14ac:dyDescent="0.3">
      <c r="B2432" s="47"/>
      <c r="C2432" s="24"/>
      <c r="D2432" s="312"/>
      <c r="E2432" s="312"/>
      <c r="G2432" s="47"/>
      <c r="H2432" s="24"/>
      <c r="I2432" s="312"/>
      <c r="J2432" s="312"/>
      <c r="L2432" s="47"/>
      <c r="M2432" s="24"/>
      <c r="N2432" s="312"/>
      <c r="O2432" s="312"/>
      <c r="Q2432" s="47"/>
      <c r="R2432" s="136" t="s">
        <v>3313</v>
      </c>
      <c r="S2432" s="25" t="s">
        <v>2211</v>
      </c>
      <c r="T2432" s="155">
        <v>86800</v>
      </c>
      <c r="U2432" s="155">
        <v>0</v>
      </c>
    </row>
    <row r="2433" spans="2:21" x14ac:dyDescent="0.3">
      <c r="B2433" s="47"/>
      <c r="C2433" s="24"/>
      <c r="D2433" s="312"/>
      <c r="E2433" s="312"/>
      <c r="G2433" s="47"/>
      <c r="H2433" s="24"/>
      <c r="I2433" s="312"/>
      <c r="J2433" s="312"/>
      <c r="L2433" s="47"/>
      <c r="M2433" s="24"/>
      <c r="N2433" s="312"/>
      <c r="O2433" s="312"/>
      <c r="Q2433" s="47"/>
      <c r="R2433" s="136" t="s">
        <v>2212</v>
      </c>
      <c r="S2433" s="25" t="s">
        <v>2213</v>
      </c>
      <c r="T2433" s="155">
        <v>40250</v>
      </c>
      <c r="U2433" s="155">
        <v>0</v>
      </c>
    </row>
    <row r="2434" spans="2:21" x14ac:dyDescent="0.3">
      <c r="B2434" s="47"/>
      <c r="C2434" s="24"/>
      <c r="D2434" s="312"/>
      <c r="E2434" s="312"/>
      <c r="G2434" s="47"/>
      <c r="H2434" s="24"/>
      <c r="I2434" s="312"/>
      <c r="J2434" s="312"/>
      <c r="L2434" s="47"/>
      <c r="M2434" s="24"/>
      <c r="N2434" s="312"/>
      <c r="O2434" s="312"/>
      <c r="Q2434" s="47"/>
      <c r="R2434" s="136" t="s">
        <v>2214</v>
      </c>
      <c r="S2434" s="25" t="s">
        <v>2215</v>
      </c>
      <c r="T2434" s="155">
        <v>49000</v>
      </c>
      <c r="U2434" s="155">
        <v>0</v>
      </c>
    </row>
    <row r="2435" spans="2:21" x14ac:dyDescent="0.3">
      <c r="B2435" s="47"/>
      <c r="C2435" s="24"/>
      <c r="D2435" s="312"/>
      <c r="E2435" s="312"/>
      <c r="G2435" s="47"/>
      <c r="H2435" s="24"/>
      <c r="I2435" s="312"/>
      <c r="J2435" s="312"/>
      <c r="L2435" s="47"/>
      <c r="M2435" s="24"/>
      <c r="N2435" s="312"/>
      <c r="O2435" s="312"/>
      <c r="Q2435" s="47"/>
      <c r="R2435" s="136" t="s">
        <v>1985</v>
      </c>
      <c r="S2435" s="25" t="s">
        <v>2197</v>
      </c>
      <c r="T2435" s="155">
        <v>67200</v>
      </c>
      <c r="U2435" s="155">
        <v>0</v>
      </c>
    </row>
    <row r="2436" spans="2:21" x14ac:dyDescent="0.3">
      <c r="B2436" s="47"/>
      <c r="C2436" s="24"/>
      <c r="D2436" s="312"/>
      <c r="E2436" s="312"/>
      <c r="G2436" s="47"/>
      <c r="H2436" s="24"/>
      <c r="I2436" s="312"/>
      <c r="J2436" s="312"/>
      <c r="L2436" s="47"/>
      <c r="M2436" s="24"/>
      <c r="N2436" s="312"/>
      <c r="O2436" s="312"/>
      <c r="Q2436" s="47"/>
      <c r="R2436" s="136" t="s">
        <v>1895</v>
      </c>
      <c r="S2436" s="25" t="s">
        <v>2174</v>
      </c>
      <c r="T2436" s="155">
        <v>142800</v>
      </c>
      <c r="U2436" s="155">
        <v>0</v>
      </c>
    </row>
    <row r="2437" spans="2:21" x14ac:dyDescent="0.3">
      <c r="B2437" s="47"/>
      <c r="C2437" s="24"/>
      <c r="D2437" s="312"/>
      <c r="E2437" s="312"/>
      <c r="G2437" s="47"/>
      <c r="H2437" s="24"/>
      <c r="I2437" s="312"/>
      <c r="J2437" s="312"/>
      <c r="L2437" s="47"/>
      <c r="M2437" s="24"/>
      <c r="N2437" s="312"/>
      <c r="O2437" s="312"/>
      <c r="Q2437" s="47"/>
      <c r="R2437" s="136" t="s">
        <v>2177</v>
      </c>
      <c r="S2437" s="25" t="s">
        <v>2341</v>
      </c>
      <c r="T2437" s="155">
        <v>151900</v>
      </c>
      <c r="U2437" s="155">
        <v>0</v>
      </c>
    </row>
    <row r="2438" spans="2:21" x14ac:dyDescent="0.3">
      <c r="B2438" s="47"/>
      <c r="C2438" s="24"/>
      <c r="D2438" s="312"/>
      <c r="E2438" s="312"/>
      <c r="G2438" s="47"/>
      <c r="H2438" s="24"/>
      <c r="I2438" s="312"/>
      <c r="J2438" s="312"/>
      <c r="L2438" s="47"/>
      <c r="M2438" s="24"/>
      <c r="N2438" s="312"/>
      <c r="O2438" s="312"/>
      <c r="Q2438" s="47"/>
      <c r="R2438" s="136" t="s">
        <v>2183</v>
      </c>
      <c r="S2438" s="25" t="s">
        <v>2182</v>
      </c>
      <c r="T2438" s="155">
        <v>85050</v>
      </c>
      <c r="U2438" s="155">
        <v>0</v>
      </c>
    </row>
    <row r="2439" spans="2:21" x14ac:dyDescent="0.3">
      <c r="B2439" s="47"/>
      <c r="C2439" s="24"/>
      <c r="D2439" s="312"/>
      <c r="E2439" s="312"/>
      <c r="G2439" s="47"/>
      <c r="H2439" s="24"/>
      <c r="I2439" s="312"/>
      <c r="J2439" s="312"/>
      <c r="L2439" s="47"/>
      <c r="M2439" s="24"/>
      <c r="N2439" s="312"/>
      <c r="O2439" s="312"/>
      <c r="Q2439" s="47"/>
      <c r="R2439" s="136" t="s">
        <v>2185</v>
      </c>
      <c r="S2439" s="25" t="s">
        <v>2184</v>
      </c>
      <c r="T2439" s="155">
        <v>105000</v>
      </c>
      <c r="U2439" s="155">
        <v>0</v>
      </c>
    </row>
    <row r="2440" spans="2:21" x14ac:dyDescent="0.3">
      <c r="B2440" s="47"/>
      <c r="C2440" s="24"/>
      <c r="D2440" s="312"/>
      <c r="E2440" s="312"/>
      <c r="G2440" s="47"/>
      <c r="H2440" s="24"/>
      <c r="I2440" s="312"/>
      <c r="J2440" s="312"/>
      <c r="L2440" s="47"/>
      <c r="M2440" s="24"/>
      <c r="N2440" s="312"/>
      <c r="O2440" s="312"/>
      <c r="Q2440" s="47"/>
      <c r="R2440" s="136" t="s">
        <v>2187</v>
      </c>
      <c r="S2440" s="25" t="s">
        <v>2186</v>
      </c>
      <c r="T2440" s="155">
        <v>114450</v>
      </c>
      <c r="U2440" s="155">
        <v>0</v>
      </c>
    </row>
    <row r="2441" spans="2:21" x14ac:dyDescent="0.3">
      <c r="B2441" s="47"/>
      <c r="C2441" s="24"/>
      <c r="D2441" s="312"/>
      <c r="E2441" s="312"/>
      <c r="G2441" s="47"/>
      <c r="H2441" s="24"/>
      <c r="I2441" s="312"/>
      <c r="J2441" s="312"/>
      <c r="L2441" s="47"/>
      <c r="M2441" s="24"/>
      <c r="N2441" s="312"/>
      <c r="O2441" s="312"/>
      <c r="Q2441" s="47"/>
      <c r="R2441" s="136" t="s">
        <v>2342</v>
      </c>
      <c r="S2441" s="25" t="s">
        <v>2188</v>
      </c>
      <c r="T2441" s="155">
        <v>77350</v>
      </c>
      <c r="U2441" s="155">
        <v>0</v>
      </c>
    </row>
    <row r="2442" spans="2:21" x14ac:dyDescent="0.3">
      <c r="B2442" s="47"/>
      <c r="C2442" s="24"/>
      <c r="D2442" s="312"/>
      <c r="E2442" s="312"/>
      <c r="G2442" s="47"/>
      <c r="H2442" s="24"/>
      <c r="I2442" s="312"/>
      <c r="J2442" s="312"/>
      <c r="L2442" s="47"/>
      <c r="M2442" s="24"/>
      <c r="N2442" s="312"/>
      <c r="O2442" s="312"/>
      <c r="Q2442" s="47"/>
      <c r="R2442" s="136" t="s">
        <v>2190</v>
      </c>
      <c r="S2442" s="25" t="s">
        <v>2189</v>
      </c>
      <c r="T2442" s="155">
        <v>77350</v>
      </c>
      <c r="U2442" s="155">
        <v>0</v>
      </c>
    </row>
    <row r="2443" spans="2:21" x14ac:dyDescent="0.3">
      <c r="B2443" s="47"/>
      <c r="C2443" s="24"/>
      <c r="D2443" s="312"/>
      <c r="E2443" s="312"/>
      <c r="G2443" s="47"/>
      <c r="H2443" s="24"/>
      <c r="I2443" s="312"/>
      <c r="J2443" s="312"/>
      <c r="L2443" s="47"/>
      <c r="M2443" s="24"/>
      <c r="N2443" s="312"/>
      <c r="O2443" s="312"/>
      <c r="Q2443" s="47"/>
      <c r="R2443" s="136" t="s">
        <v>2192</v>
      </c>
      <c r="S2443" s="25" t="s">
        <v>2191</v>
      </c>
      <c r="T2443" s="155">
        <v>46900</v>
      </c>
      <c r="U2443" s="155">
        <v>0</v>
      </c>
    </row>
    <row r="2444" spans="2:21" x14ac:dyDescent="0.3">
      <c r="B2444" s="47"/>
      <c r="C2444" s="24"/>
      <c r="D2444" s="312"/>
      <c r="E2444" s="312"/>
      <c r="G2444" s="47"/>
      <c r="H2444" s="24"/>
      <c r="I2444" s="312"/>
      <c r="J2444" s="312"/>
      <c r="L2444" s="47"/>
      <c r="M2444" s="24"/>
      <c r="N2444" s="312"/>
      <c r="O2444" s="312"/>
      <c r="Q2444" s="47"/>
      <c r="R2444" s="136" t="s">
        <v>1896</v>
      </c>
      <c r="S2444" s="25" t="s">
        <v>2193</v>
      </c>
      <c r="T2444" s="155">
        <v>46900</v>
      </c>
      <c r="U2444" s="155">
        <v>0</v>
      </c>
    </row>
    <row r="2445" spans="2:21" x14ac:dyDescent="0.3">
      <c r="B2445" s="47"/>
      <c r="C2445" s="24"/>
      <c r="D2445" s="312"/>
      <c r="E2445" s="312"/>
      <c r="G2445" s="47"/>
      <c r="H2445" s="24"/>
      <c r="I2445" s="312"/>
      <c r="J2445" s="312"/>
      <c r="L2445" s="47"/>
      <c r="M2445" s="24"/>
      <c r="N2445" s="312"/>
      <c r="O2445" s="312"/>
      <c r="Q2445" s="47"/>
      <c r="R2445" s="136" t="s">
        <v>3291</v>
      </c>
      <c r="S2445" s="25" t="s">
        <v>2171</v>
      </c>
      <c r="T2445" s="155">
        <v>92750</v>
      </c>
      <c r="U2445" s="155">
        <v>0</v>
      </c>
    </row>
    <row r="2446" spans="2:21" x14ac:dyDescent="0.3">
      <c r="B2446" s="47"/>
      <c r="C2446" s="24"/>
      <c r="D2446" s="312"/>
      <c r="E2446" s="312"/>
      <c r="G2446" s="47"/>
      <c r="H2446" s="24"/>
      <c r="I2446" s="312"/>
      <c r="J2446" s="312"/>
      <c r="L2446" s="47"/>
      <c r="M2446" s="24"/>
      <c r="N2446" s="312"/>
      <c r="O2446" s="312"/>
      <c r="Q2446" s="47"/>
      <c r="R2446" s="136" t="s">
        <v>1898</v>
      </c>
      <c r="S2446" s="25" t="s">
        <v>2218</v>
      </c>
      <c r="T2446" s="155">
        <v>23100</v>
      </c>
      <c r="U2446" s="155">
        <v>0</v>
      </c>
    </row>
    <row r="2447" spans="2:21" x14ac:dyDescent="0.3">
      <c r="B2447" s="47"/>
      <c r="C2447" s="24"/>
      <c r="D2447" s="312"/>
      <c r="E2447" s="312"/>
      <c r="G2447" s="47"/>
      <c r="H2447" s="24"/>
      <c r="I2447" s="312"/>
      <c r="J2447" s="312"/>
      <c r="L2447" s="47"/>
      <c r="M2447" s="24"/>
      <c r="N2447" s="312"/>
      <c r="O2447" s="312"/>
      <c r="Q2447" s="47"/>
      <c r="R2447" s="136" t="s">
        <v>2219</v>
      </c>
      <c r="S2447" s="25" t="s">
        <v>2220</v>
      </c>
      <c r="T2447" s="155">
        <v>28700</v>
      </c>
      <c r="U2447" s="155">
        <v>0</v>
      </c>
    </row>
    <row r="2448" spans="2:21" x14ac:dyDescent="0.3">
      <c r="B2448" s="47"/>
      <c r="C2448" s="24"/>
      <c r="D2448" s="312"/>
      <c r="E2448" s="312"/>
      <c r="G2448" s="47"/>
      <c r="H2448" s="24"/>
      <c r="I2448" s="312"/>
      <c r="J2448" s="312"/>
      <c r="L2448" s="47"/>
      <c r="M2448" s="24"/>
      <c r="N2448" s="312"/>
      <c r="O2448" s="312"/>
      <c r="Q2448" s="47"/>
      <c r="R2448" s="136" t="s">
        <v>2221</v>
      </c>
      <c r="S2448" s="25" t="s">
        <v>2222</v>
      </c>
      <c r="T2448" s="155">
        <v>7000</v>
      </c>
      <c r="U2448" s="155">
        <v>0</v>
      </c>
    </row>
    <row r="2449" spans="2:21" x14ac:dyDescent="0.3">
      <c r="B2449" s="47"/>
      <c r="C2449" s="24"/>
      <c r="D2449" s="312"/>
      <c r="E2449" s="312"/>
      <c r="G2449" s="47"/>
      <c r="H2449" s="24"/>
      <c r="I2449" s="312"/>
      <c r="J2449" s="312"/>
      <c r="L2449" s="47"/>
      <c r="M2449" s="24"/>
      <c r="N2449" s="312"/>
      <c r="O2449" s="312"/>
      <c r="Q2449" s="47"/>
      <c r="R2449" s="136" t="s">
        <v>2223</v>
      </c>
      <c r="S2449" s="25" t="s">
        <v>2224</v>
      </c>
      <c r="T2449" s="155">
        <v>25200</v>
      </c>
      <c r="U2449" s="155">
        <v>0</v>
      </c>
    </row>
    <row r="2450" spans="2:21" x14ac:dyDescent="0.3">
      <c r="B2450" s="47"/>
      <c r="C2450" s="24"/>
      <c r="D2450" s="312"/>
      <c r="E2450" s="312"/>
      <c r="G2450" s="47"/>
      <c r="H2450" s="24"/>
      <c r="I2450" s="312"/>
      <c r="J2450" s="312"/>
      <c r="L2450" s="47"/>
      <c r="M2450" s="24"/>
      <c r="N2450" s="312"/>
      <c r="O2450" s="312"/>
      <c r="Q2450" s="47"/>
      <c r="R2450" s="136" t="s">
        <v>2226</v>
      </c>
      <c r="S2450" s="25" t="s">
        <v>2227</v>
      </c>
      <c r="T2450" s="155">
        <v>25200</v>
      </c>
      <c r="U2450" s="155">
        <v>0</v>
      </c>
    </row>
    <row r="2451" spans="2:21" x14ac:dyDescent="0.3">
      <c r="B2451" s="47"/>
      <c r="C2451" s="24"/>
      <c r="D2451" s="312"/>
      <c r="E2451" s="312"/>
      <c r="G2451" s="47"/>
      <c r="H2451" s="24"/>
      <c r="I2451" s="312"/>
      <c r="J2451" s="312"/>
      <c r="L2451" s="47"/>
      <c r="M2451" s="24"/>
      <c r="N2451" s="312"/>
      <c r="O2451" s="312"/>
      <c r="Q2451" s="47"/>
      <c r="R2451" s="136" t="s">
        <v>2228</v>
      </c>
      <c r="S2451" s="25" t="s">
        <v>1990</v>
      </c>
      <c r="T2451" s="155">
        <v>11900</v>
      </c>
      <c r="U2451" s="155">
        <v>0</v>
      </c>
    </row>
    <row r="2452" spans="2:21" x14ac:dyDescent="0.3">
      <c r="B2452" s="47"/>
      <c r="C2452" s="24"/>
      <c r="D2452" s="312"/>
      <c r="E2452" s="312"/>
      <c r="G2452" s="47"/>
      <c r="H2452" s="24"/>
      <c r="I2452" s="312"/>
      <c r="J2452" s="312"/>
      <c r="L2452" s="47"/>
      <c r="M2452" s="24"/>
      <c r="N2452" s="312"/>
      <c r="O2452" s="312"/>
      <c r="Q2452" s="47"/>
      <c r="R2452" s="136" t="s">
        <v>2229</v>
      </c>
      <c r="S2452" s="25" t="s">
        <v>1987</v>
      </c>
      <c r="T2452" s="155">
        <v>9450</v>
      </c>
      <c r="U2452" s="155">
        <v>0</v>
      </c>
    </row>
    <row r="2453" spans="2:21" x14ac:dyDescent="0.3">
      <c r="B2453" s="47"/>
      <c r="C2453" s="24"/>
      <c r="D2453" s="312"/>
      <c r="E2453" s="312"/>
      <c r="G2453" s="47"/>
      <c r="H2453" s="24"/>
      <c r="I2453" s="312"/>
      <c r="J2453" s="312"/>
      <c r="L2453" s="47"/>
      <c r="M2453" s="24"/>
      <c r="N2453" s="312"/>
      <c r="O2453" s="312"/>
      <c r="Q2453" s="47"/>
      <c r="R2453" s="136" t="s">
        <v>2230</v>
      </c>
      <c r="S2453" s="25" t="s">
        <v>2231</v>
      </c>
      <c r="T2453" s="155">
        <v>7000</v>
      </c>
      <c r="U2453" s="155">
        <v>0</v>
      </c>
    </row>
    <row r="2454" spans="2:21" x14ac:dyDescent="0.3">
      <c r="B2454" s="47"/>
      <c r="C2454" s="24"/>
      <c r="D2454" s="312"/>
      <c r="E2454" s="312"/>
      <c r="G2454" s="47"/>
      <c r="H2454" s="24"/>
      <c r="I2454" s="312"/>
      <c r="J2454" s="312"/>
      <c r="L2454" s="47"/>
      <c r="M2454" s="24"/>
      <c r="N2454" s="312"/>
      <c r="O2454" s="312"/>
      <c r="Q2454" s="47"/>
      <c r="R2454" s="136" t="s">
        <v>2232</v>
      </c>
      <c r="S2454" s="25" t="s">
        <v>1988</v>
      </c>
      <c r="T2454" s="155">
        <v>21700</v>
      </c>
      <c r="U2454" s="155">
        <v>0</v>
      </c>
    </row>
    <row r="2455" spans="2:21" x14ac:dyDescent="0.3">
      <c r="B2455" s="47"/>
      <c r="C2455" s="24"/>
      <c r="D2455" s="312"/>
      <c r="E2455" s="312"/>
      <c r="G2455" s="47"/>
      <c r="H2455" s="24"/>
      <c r="I2455" s="312"/>
      <c r="J2455" s="312"/>
      <c r="L2455" s="47"/>
      <c r="M2455" s="24"/>
      <c r="N2455" s="312"/>
      <c r="O2455" s="312"/>
      <c r="Q2455" s="47"/>
      <c r="R2455" s="136" t="s">
        <v>2233</v>
      </c>
      <c r="S2455" s="25" t="s">
        <v>1989</v>
      </c>
      <c r="T2455" s="155">
        <v>7000</v>
      </c>
      <c r="U2455" s="155">
        <v>0</v>
      </c>
    </row>
    <row r="2456" spans="2:21" x14ac:dyDescent="0.3">
      <c r="B2456" s="47"/>
      <c r="C2456" s="24"/>
      <c r="D2456" s="312"/>
      <c r="E2456" s="312"/>
      <c r="G2456" s="47"/>
      <c r="H2456" s="24"/>
      <c r="I2456" s="312"/>
      <c r="J2456" s="312"/>
      <c r="L2456" s="47"/>
      <c r="M2456" s="24"/>
      <c r="N2456" s="312"/>
      <c r="O2456" s="312"/>
      <c r="Q2456" s="47"/>
      <c r="R2456" s="136" t="s">
        <v>2234</v>
      </c>
      <c r="S2456" s="25" t="s">
        <v>2235</v>
      </c>
      <c r="T2456" s="155">
        <v>9100</v>
      </c>
      <c r="U2456" s="155">
        <v>0</v>
      </c>
    </row>
    <row r="2457" spans="2:21" x14ac:dyDescent="0.3">
      <c r="B2457" s="47"/>
      <c r="C2457" s="24"/>
      <c r="D2457" s="312"/>
      <c r="E2457" s="312"/>
      <c r="G2457" s="47"/>
      <c r="H2457" s="24"/>
      <c r="I2457" s="312"/>
      <c r="J2457" s="312"/>
      <c r="L2457" s="47"/>
      <c r="M2457" s="24"/>
      <c r="N2457" s="312"/>
      <c r="O2457" s="312"/>
      <c r="Q2457" s="241">
        <v>80050006</v>
      </c>
      <c r="R2457" s="242"/>
      <c r="S2457" s="246" t="s">
        <v>1093</v>
      </c>
      <c r="T2457" s="239">
        <f>SUM(T2458:T2467)-SUM(U2458:U2467)</f>
        <v>357374</v>
      </c>
      <c r="U2457" s="240">
        <v>0</v>
      </c>
    </row>
    <row r="2458" spans="2:21" x14ac:dyDescent="0.3">
      <c r="B2458" s="47"/>
      <c r="C2458" s="24"/>
      <c r="D2458" s="312"/>
      <c r="E2458" s="312"/>
      <c r="G2458" s="47"/>
      <c r="H2458" s="24"/>
      <c r="I2458" s="312"/>
      <c r="J2458" s="312"/>
      <c r="L2458" s="47"/>
      <c r="M2458" s="24"/>
      <c r="N2458" s="312"/>
      <c r="O2458" s="312"/>
      <c r="Q2458" s="47"/>
      <c r="R2458" s="136" t="s">
        <v>2156</v>
      </c>
      <c r="S2458" s="25" t="s">
        <v>2157</v>
      </c>
      <c r="T2458" s="155">
        <v>261473</v>
      </c>
      <c r="U2458" s="155">
        <v>0</v>
      </c>
    </row>
    <row r="2459" spans="2:21" x14ac:dyDescent="0.3">
      <c r="B2459" s="47"/>
      <c r="C2459" s="24"/>
      <c r="D2459" s="312"/>
      <c r="E2459" s="312"/>
      <c r="G2459" s="47"/>
      <c r="H2459" s="24"/>
      <c r="I2459" s="312"/>
      <c r="J2459" s="312"/>
      <c r="L2459" s="47"/>
      <c r="M2459" s="24"/>
      <c r="N2459" s="312"/>
      <c r="O2459" s="312"/>
      <c r="Q2459" s="47"/>
      <c r="R2459" s="136" t="s">
        <v>2165</v>
      </c>
      <c r="S2459" s="25" t="s">
        <v>2166</v>
      </c>
      <c r="T2459" s="155">
        <v>2735</v>
      </c>
      <c r="U2459" s="155">
        <v>0</v>
      </c>
    </row>
    <row r="2460" spans="2:21" x14ac:dyDescent="0.3">
      <c r="B2460" s="47"/>
      <c r="C2460" s="24"/>
      <c r="D2460" s="312"/>
      <c r="E2460" s="312"/>
      <c r="G2460" s="47"/>
      <c r="H2460" s="24"/>
      <c r="I2460" s="312"/>
      <c r="J2460" s="312"/>
      <c r="L2460" s="47"/>
      <c r="M2460" s="24"/>
      <c r="N2460" s="312"/>
      <c r="O2460" s="312"/>
      <c r="Q2460" s="47"/>
      <c r="R2460" s="136" t="s">
        <v>1895</v>
      </c>
      <c r="S2460" s="25" t="s">
        <v>2174</v>
      </c>
      <c r="T2460" s="155">
        <v>1500</v>
      </c>
      <c r="U2460" s="155">
        <v>0</v>
      </c>
    </row>
    <row r="2461" spans="2:21" x14ac:dyDescent="0.3">
      <c r="B2461" s="47"/>
      <c r="C2461" s="24"/>
      <c r="D2461" s="312"/>
      <c r="E2461" s="312"/>
      <c r="G2461" s="47"/>
      <c r="H2461" s="24"/>
      <c r="I2461" s="312"/>
      <c r="J2461" s="312"/>
      <c r="L2461" s="47"/>
      <c r="M2461" s="24"/>
      <c r="N2461" s="312"/>
      <c r="O2461" s="312"/>
      <c r="Q2461" s="47"/>
      <c r="R2461" s="136" t="s">
        <v>1898</v>
      </c>
      <c r="S2461" s="25" t="s">
        <v>2218</v>
      </c>
      <c r="T2461" s="155">
        <v>5000</v>
      </c>
      <c r="U2461" s="155">
        <v>0</v>
      </c>
    </row>
    <row r="2462" spans="2:21" x14ac:dyDescent="0.3">
      <c r="B2462" s="47"/>
      <c r="C2462" s="24"/>
      <c r="D2462" s="312"/>
      <c r="E2462" s="312"/>
      <c r="G2462" s="47"/>
      <c r="H2462" s="24"/>
      <c r="I2462" s="312"/>
      <c r="J2462" s="312"/>
      <c r="L2462" s="47"/>
      <c r="M2462" s="24"/>
      <c r="N2462" s="312"/>
      <c r="O2462" s="312"/>
      <c r="Q2462" s="47"/>
      <c r="R2462" s="136" t="s">
        <v>2219</v>
      </c>
      <c r="S2462" s="25" t="s">
        <v>2220</v>
      </c>
      <c r="T2462" s="155">
        <v>7500</v>
      </c>
      <c r="U2462" s="155">
        <v>0</v>
      </c>
    </row>
    <row r="2463" spans="2:21" x14ac:dyDescent="0.3">
      <c r="B2463" s="47"/>
      <c r="C2463" s="24"/>
      <c r="D2463" s="312"/>
      <c r="E2463" s="312"/>
      <c r="G2463" s="47"/>
      <c r="H2463" s="24"/>
      <c r="I2463" s="312"/>
      <c r="J2463" s="312"/>
      <c r="L2463" s="47"/>
      <c r="M2463" s="24"/>
      <c r="N2463" s="312"/>
      <c r="O2463" s="312"/>
      <c r="Q2463" s="47"/>
      <c r="R2463" s="136" t="s">
        <v>2221</v>
      </c>
      <c r="S2463" s="25" t="s">
        <v>2222</v>
      </c>
      <c r="T2463" s="155">
        <v>5000</v>
      </c>
      <c r="U2463" s="155">
        <v>0</v>
      </c>
    </row>
    <row r="2464" spans="2:21" x14ac:dyDescent="0.3">
      <c r="B2464" s="47"/>
      <c r="C2464" s="24"/>
      <c r="D2464" s="312"/>
      <c r="E2464" s="312"/>
      <c r="G2464" s="47"/>
      <c r="H2464" s="24"/>
      <c r="I2464" s="312"/>
      <c r="J2464" s="312"/>
      <c r="L2464" s="47"/>
      <c r="M2464" s="24"/>
      <c r="N2464" s="312"/>
      <c r="O2464" s="312"/>
      <c r="Q2464" s="47"/>
      <c r="R2464" s="136" t="s">
        <v>2223</v>
      </c>
      <c r="S2464" s="25" t="s">
        <v>2224</v>
      </c>
      <c r="T2464" s="155">
        <v>41670</v>
      </c>
      <c r="U2464" s="155">
        <v>0</v>
      </c>
    </row>
    <row r="2465" spans="2:21" x14ac:dyDescent="0.3">
      <c r="B2465" s="47"/>
      <c r="C2465" s="24"/>
      <c r="D2465" s="312"/>
      <c r="E2465" s="312"/>
      <c r="G2465" s="47"/>
      <c r="H2465" s="24"/>
      <c r="I2465" s="312"/>
      <c r="J2465" s="312"/>
      <c r="L2465" s="47"/>
      <c r="M2465" s="24"/>
      <c r="N2465" s="312"/>
      <c r="O2465" s="312"/>
      <c r="Q2465" s="47"/>
      <c r="R2465" s="136" t="s">
        <v>2226</v>
      </c>
      <c r="S2465" s="25" t="s">
        <v>2227</v>
      </c>
      <c r="T2465" s="155">
        <v>15996</v>
      </c>
      <c r="U2465" s="155">
        <v>0</v>
      </c>
    </row>
    <row r="2466" spans="2:21" x14ac:dyDescent="0.3">
      <c r="B2466" s="47"/>
      <c r="C2466" s="24"/>
      <c r="D2466" s="312"/>
      <c r="E2466" s="312"/>
      <c r="G2466" s="47"/>
      <c r="H2466" s="24"/>
      <c r="I2466" s="312"/>
      <c r="J2466" s="312"/>
      <c r="L2466" s="47"/>
      <c r="M2466" s="24"/>
      <c r="N2466" s="312"/>
      <c r="O2466" s="312"/>
      <c r="Q2466" s="47"/>
      <c r="R2466" s="136" t="s">
        <v>2230</v>
      </c>
      <c r="S2466" s="25" t="s">
        <v>2231</v>
      </c>
      <c r="T2466" s="155">
        <v>7000</v>
      </c>
      <c r="U2466" s="155">
        <v>0</v>
      </c>
    </row>
    <row r="2467" spans="2:21" x14ac:dyDescent="0.3">
      <c r="B2467" s="47"/>
      <c r="C2467" s="24"/>
      <c r="D2467" s="312"/>
      <c r="E2467" s="312"/>
      <c r="G2467" s="47"/>
      <c r="H2467" s="24"/>
      <c r="I2467" s="312"/>
      <c r="J2467" s="312"/>
      <c r="L2467" s="47"/>
      <c r="M2467" s="24"/>
      <c r="N2467" s="312"/>
      <c r="O2467" s="312"/>
      <c r="Q2467" s="47"/>
      <c r="R2467" s="136" t="s">
        <v>2232</v>
      </c>
      <c r="S2467" s="25" t="s">
        <v>1988</v>
      </c>
      <c r="T2467" s="155">
        <v>9500</v>
      </c>
      <c r="U2467" s="155">
        <v>0</v>
      </c>
    </row>
    <row r="2468" spans="2:21" x14ac:dyDescent="0.3">
      <c r="B2468" s="47"/>
      <c r="C2468" s="24"/>
      <c r="D2468" s="312"/>
      <c r="E2468" s="312"/>
      <c r="G2468" s="47"/>
      <c r="H2468" s="24"/>
      <c r="I2468" s="312"/>
      <c r="J2468" s="312"/>
      <c r="L2468" s="47"/>
      <c r="M2468" s="24"/>
      <c r="N2468" s="312"/>
      <c r="O2468" s="312"/>
      <c r="Q2468" s="241">
        <v>80050007</v>
      </c>
      <c r="R2468" s="242"/>
      <c r="S2468" s="246" t="s">
        <v>1094</v>
      </c>
      <c r="T2468" s="239">
        <f>SUM(T2469:T2475)-SUM(U2469:U2475)</f>
        <v>31963</v>
      </c>
      <c r="U2468" s="240">
        <v>0</v>
      </c>
    </row>
    <row r="2469" spans="2:21" x14ac:dyDescent="0.3">
      <c r="B2469" s="47"/>
      <c r="C2469" s="24"/>
      <c r="D2469" s="312"/>
      <c r="E2469" s="312"/>
      <c r="G2469" s="47"/>
      <c r="H2469" s="24"/>
      <c r="I2469" s="312"/>
      <c r="J2469" s="312"/>
      <c r="L2469" s="47"/>
      <c r="M2469" s="24"/>
      <c r="N2469" s="312"/>
      <c r="O2469" s="312"/>
      <c r="Q2469" s="47"/>
      <c r="R2469" s="136" t="s">
        <v>2165</v>
      </c>
      <c r="S2469" s="25" t="s">
        <v>2166</v>
      </c>
      <c r="T2469" s="155">
        <v>180</v>
      </c>
      <c r="U2469" s="155">
        <v>0</v>
      </c>
    </row>
    <row r="2470" spans="2:21" x14ac:dyDescent="0.3">
      <c r="B2470" s="47"/>
      <c r="C2470" s="24"/>
      <c r="D2470" s="312"/>
      <c r="E2470" s="312"/>
      <c r="G2470" s="47"/>
      <c r="H2470" s="24"/>
      <c r="I2470" s="312"/>
      <c r="J2470" s="312"/>
      <c r="L2470" s="47"/>
      <c r="M2470" s="24"/>
      <c r="N2470" s="312"/>
      <c r="O2470" s="312"/>
      <c r="Q2470" s="47"/>
      <c r="R2470" s="136" t="s">
        <v>1985</v>
      </c>
      <c r="S2470" s="24" t="s">
        <v>2197</v>
      </c>
      <c r="T2470" s="155">
        <v>1407</v>
      </c>
      <c r="U2470" s="155">
        <v>0</v>
      </c>
    </row>
    <row r="2471" spans="2:21" x14ac:dyDescent="0.3">
      <c r="B2471" s="47"/>
      <c r="C2471" s="24"/>
      <c r="D2471" s="312"/>
      <c r="E2471" s="312"/>
      <c r="G2471" s="47"/>
      <c r="H2471" s="24"/>
      <c r="I2471" s="312"/>
      <c r="J2471" s="312"/>
      <c r="L2471" s="47"/>
      <c r="M2471" s="24"/>
      <c r="N2471" s="312"/>
      <c r="O2471" s="312"/>
      <c r="Q2471" s="47"/>
      <c r="R2471" s="136" t="s">
        <v>3291</v>
      </c>
      <c r="S2471" s="25" t="s">
        <v>2171</v>
      </c>
      <c r="T2471" s="155">
        <v>700</v>
      </c>
      <c r="U2471" s="155">
        <v>0</v>
      </c>
    </row>
    <row r="2472" spans="2:21" x14ac:dyDescent="0.3">
      <c r="B2472" s="47"/>
      <c r="C2472" s="24"/>
      <c r="D2472" s="312"/>
      <c r="E2472" s="312"/>
      <c r="G2472" s="47"/>
      <c r="H2472" s="24"/>
      <c r="I2472" s="312"/>
      <c r="J2472" s="312"/>
      <c r="L2472" s="47"/>
      <c r="M2472" s="24"/>
      <c r="N2472" s="312"/>
      <c r="O2472" s="312"/>
      <c r="Q2472" s="47"/>
      <c r="R2472" s="136" t="s">
        <v>2221</v>
      </c>
      <c r="S2472" s="25" t="s">
        <v>2222</v>
      </c>
      <c r="T2472" s="155">
        <v>6147</v>
      </c>
      <c r="U2472" s="155">
        <v>0</v>
      </c>
    </row>
    <row r="2473" spans="2:21" x14ac:dyDescent="0.3">
      <c r="B2473" s="47"/>
      <c r="C2473" s="24"/>
      <c r="D2473" s="312"/>
      <c r="E2473" s="312"/>
      <c r="G2473" s="47"/>
      <c r="H2473" s="24"/>
      <c r="I2473" s="312"/>
      <c r="J2473" s="312"/>
      <c r="L2473" s="47"/>
      <c r="M2473" s="24"/>
      <c r="N2473" s="312"/>
      <c r="O2473" s="312"/>
      <c r="Q2473" s="47"/>
      <c r="R2473" s="136" t="s">
        <v>2223</v>
      </c>
      <c r="S2473" s="25" t="s">
        <v>2224</v>
      </c>
      <c r="T2473" s="155">
        <v>7100</v>
      </c>
      <c r="U2473" s="155">
        <v>0</v>
      </c>
    </row>
    <row r="2474" spans="2:21" x14ac:dyDescent="0.3">
      <c r="B2474" s="47"/>
      <c r="C2474" s="24"/>
      <c r="D2474" s="312"/>
      <c r="E2474" s="312"/>
      <c r="G2474" s="47"/>
      <c r="H2474" s="24"/>
      <c r="I2474" s="312"/>
      <c r="J2474" s="312"/>
      <c r="L2474" s="47"/>
      <c r="M2474" s="24"/>
      <c r="N2474" s="312"/>
      <c r="O2474" s="312"/>
      <c r="Q2474" s="47"/>
      <c r="R2474" s="136" t="s">
        <v>2226</v>
      </c>
      <c r="S2474" s="25" t="s">
        <v>2227</v>
      </c>
      <c r="T2474" s="155">
        <v>13752</v>
      </c>
      <c r="U2474" s="155">
        <v>0</v>
      </c>
    </row>
    <row r="2475" spans="2:21" x14ac:dyDescent="0.3">
      <c r="B2475" s="47"/>
      <c r="C2475" s="24"/>
      <c r="D2475" s="312"/>
      <c r="E2475" s="312"/>
      <c r="G2475" s="47"/>
      <c r="H2475" s="24"/>
      <c r="I2475" s="312"/>
      <c r="J2475" s="312"/>
      <c r="L2475" s="47"/>
      <c r="M2475" s="24"/>
      <c r="N2475" s="312"/>
      <c r="O2475" s="312"/>
      <c r="Q2475" s="47"/>
      <c r="R2475" s="136" t="s">
        <v>2232</v>
      </c>
      <c r="S2475" s="25" t="s">
        <v>1988</v>
      </c>
      <c r="T2475" s="155">
        <v>2677</v>
      </c>
      <c r="U2475" s="155">
        <v>0</v>
      </c>
    </row>
    <row r="2476" spans="2:21" x14ac:dyDescent="0.3">
      <c r="B2476" s="47"/>
      <c r="C2476" s="24"/>
      <c r="D2476" s="312"/>
      <c r="E2476" s="312"/>
      <c r="G2476" s="47"/>
      <c r="H2476" s="24"/>
      <c r="I2476" s="312"/>
      <c r="J2476" s="312"/>
      <c r="L2476" s="47"/>
      <c r="M2476" s="24"/>
      <c r="N2476" s="312"/>
      <c r="O2476" s="312"/>
      <c r="Q2476" s="47"/>
      <c r="R2476" s="136"/>
      <c r="S2476" s="25"/>
      <c r="T2476" s="155"/>
      <c r="U2476" s="155"/>
    </row>
    <row r="2477" spans="2:21" s="338" customFormat="1" x14ac:dyDescent="0.3">
      <c r="B2477" s="335"/>
      <c r="C2477" s="336"/>
      <c r="D2477" s="337"/>
      <c r="E2477" s="337"/>
      <c r="G2477" s="335"/>
      <c r="H2477" s="336"/>
      <c r="I2477" s="337"/>
      <c r="J2477" s="337"/>
      <c r="K2477" s="338">
        <v>8006</v>
      </c>
      <c r="L2477" s="339">
        <v>8006</v>
      </c>
      <c r="M2477" s="341" t="s">
        <v>910</v>
      </c>
      <c r="N2477" s="343">
        <f>T2477+T2483+T2525+T2526+T2527+T2553+T2554+T2557</f>
        <v>2622486</v>
      </c>
      <c r="O2477" s="343">
        <v>0</v>
      </c>
      <c r="Q2477" s="339">
        <v>80060001</v>
      </c>
      <c r="R2477" s="340"/>
      <c r="S2477" s="345" t="s">
        <v>1095</v>
      </c>
      <c r="T2477" s="344">
        <f>SUM(T2478:T2482)-SUM(U2478:U2482)</f>
        <v>189140</v>
      </c>
      <c r="U2477" s="342">
        <v>0</v>
      </c>
    </row>
    <row r="2478" spans="2:21" x14ac:dyDescent="0.3">
      <c r="B2478" s="47"/>
      <c r="C2478" s="24"/>
      <c r="D2478" s="312"/>
      <c r="E2478" s="312"/>
      <c r="G2478" s="47"/>
      <c r="H2478" s="24"/>
      <c r="I2478" s="312"/>
      <c r="J2478" s="312"/>
      <c r="L2478" s="241"/>
      <c r="M2478" s="243"/>
      <c r="N2478" s="314"/>
      <c r="O2478" s="314"/>
      <c r="Q2478" s="241"/>
      <c r="R2478" s="137" t="s">
        <v>2152</v>
      </c>
      <c r="S2478" s="25" t="s">
        <v>2153</v>
      </c>
      <c r="T2478" s="315">
        <v>60000</v>
      </c>
      <c r="U2478" s="156">
        <v>0</v>
      </c>
    </row>
    <row r="2479" spans="2:21" x14ac:dyDescent="0.3">
      <c r="B2479" s="47"/>
      <c r="C2479" s="24"/>
      <c r="D2479" s="312"/>
      <c r="E2479" s="312"/>
      <c r="G2479" s="47"/>
      <c r="H2479" s="24"/>
      <c r="I2479" s="312"/>
      <c r="J2479" s="312"/>
      <c r="L2479" s="241"/>
      <c r="M2479" s="243"/>
      <c r="N2479" s="314"/>
      <c r="O2479" s="314"/>
      <c r="Q2479" s="241"/>
      <c r="R2479" s="137" t="s">
        <v>2156</v>
      </c>
      <c r="S2479" s="25" t="s">
        <v>2157</v>
      </c>
      <c r="T2479" s="315">
        <v>69000</v>
      </c>
      <c r="U2479" s="156">
        <v>0</v>
      </c>
    </row>
    <row r="2480" spans="2:21" x14ac:dyDescent="0.3">
      <c r="B2480" s="47"/>
      <c r="C2480" s="24"/>
      <c r="D2480" s="312"/>
      <c r="E2480" s="312"/>
      <c r="G2480" s="47"/>
      <c r="H2480" s="24"/>
      <c r="I2480" s="312"/>
      <c r="J2480" s="312"/>
      <c r="L2480" s="241"/>
      <c r="M2480" s="243"/>
      <c r="N2480" s="314"/>
      <c r="O2480" s="314"/>
      <c r="Q2480" s="241"/>
      <c r="R2480" s="137" t="s">
        <v>1178</v>
      </c>
      <c r="S2480" s="25" t="s">
        <v>2143</v>
      </c>
      <c r="T2480" s="315">
        <v>54520</v>
      </c>
      <c r="U2480" s="156">
        <v>0</v>
      </c>
    </row>
    <row r="2481" spans="2:21" x14ac:dyDescent="0.3">
      <c r="B2481" s="47"/>
      <c r="C2481" s="24"/>
      <c r="D2481" s="312"/>
      <c r="E2481" s="312"/>
      <c r="G2481" s="47"/>
      <c r="H2481" s="24"/>
      <c r="I2481" s="312"/>
      <c r="J2481" s="312"/>
      <c r="L2481" s="241"/>
      <c r="M2481" s="243"/>
      <c r="N2481" s="314"/>
      <c r="O2481" s="314"/>
      <c r="Q2481" s="241"/>
      <c r="R2481" s="137" t="s">
        <v>2185</v>
      </c>
      <c r="S2481" s="25" t="s">
        <v>2184</v>
      </c>
      <c r="T2481" s="315">
        <v>3500</v>
      </c>
      <c r="U2481" s="156">
        <v>0</v>
      </c>
    </row>
    <row r="2482" spans="2:21" x14ac:dyDescent="0.3">
      <c r="B2482" s="47"/>
      <c r="C2482" s="24"/>
      <c r="D2482" s="312"/>
      <c r="E2482" s="312"/>
      <c r="G2482" s="47"/>
      <c r="H2482" s="24"/>
      <c r="I2482" s="312"/>
      <c r="J2482" s="312"/>
      <c r="L2482" s="241"/>
      <c r="M2482" s="243"/>
      <c r="N2482" s="314"/>
      <c r="O2482" s="314"/>
      <c r="Q2482" s="241"/>
      <c r="R2482" s="137" t="s">
        <v>1931</v>
      </c>
      <c r="S2482" s="25" t="s">
        <v>1932</v>
      </c>
      <c r="T2482" s="315">
        <v>2120</v>
      </c>
      <c r="U2482" s="156">
        <v>0</v>
      </c>
    </row>
    <row r="2483" spans="2:21" s="338" customFormat="1" x14ac:dyDescent="0.3">
      <c r="B2483" s="335"/>
      <c r="C2483" s="336"/>
      <c r="D2483" s="337"/>
      <c r="E2483" s="337"/>
      <c r="G2483" s="335"/>
      <c r="H2483" s="336"/>
      <c r="I2483" s="337"/>
      <c r="J2483" s="337"/>
      <c r="L2483" s="335"/>
      <c r="M2483" s="336"/>
      <c r="N2483" s="337"/>
      <c r="O2483" s="337"/>
      <c r="Q2483" s="339">
        <v>80060002</v>
      </c>
      <c r="R2483" s="340"/>
      <c r="S2483" s="345" t="s">
        <v>1096</v>
      </c>
      <c r="T2483" s="344">
        <f>SUM(T2484:T2524)-SUM(U2484:U2524)</f>
        <v>1583072</v>
      </c>
      <c r="U2483" s="342">
        <v>0</v>
      </c>
    </row>
    <row r="2484" spans="2:21" x14ac:dyDescent="0.3">
      <c r="B2484" s="47"/>
      <c r="C2484" s="24"/>
      <c r="D2484" s="312"/>
      <c r="E2484" s="312"/>
      <c r="G2484" s="47"/>
      <c r="H2484" s="24"/>
      <c r="I2484" s="312"/>
      <c r="J2484" s="312"/>
      <c r="L2484" s="47"/>
      <c r="M2484" s="24"/>
      <c r="N2484" s="312"/>
      <c r="O2484" s="312"/>
      <c r="Q2484" s="47"/>
      <c r="R2484" s="136" t="s">
        <v>1931</v>
      </c>
      <c r="S2484" s="25" t="s">
        <v>1932</v>
      </c>
      <c r="T2484" s="155">
        <v>52006</v>
      </c>
      <c r="U2484" s="155">
        <v>0</v>
      </c>
    </row>
    <row r="2485" spans="2:21" x14ac:dyDescent="0.3">
      <c r="B2485" s="47"/>
      <c r="C2485" s="24"/>
      <c r="D2485" s="312"/>
      <c r="E2485" s="312"/>
      <c r="G2485" s="47"/>
      <c r="H2485" s="24"/>
      <c r="I2485" s="312"/>
      <c r="J2485" s="312"/>
      <c r="L2485" s="47"/>
      <c r="M2485" s="24"/>
      <c r="N2485" s="312"/>
      <c r="O2485" s="312"/>
      <c r="Q2485" s="47"/>
      <c r="R2485" s="136" t="s">
        <v>1933</v>
      </c>
      <c r="S2485" s="25" t="s">
        <v>2195</v>
      </c>
      <c r="T2485" s="155">
        <v>17544</v>
      </c>
      <c r="U2485" s="155">
        <v>0</v>
      </c>
    </row>
    <row r="2486" spans="2:21" x14ac:dyDescent="0.3">
      <c r="B2486" s="47"/>
      <c r="C2486" s="24"/>
      <c r="D2486" s="312"/>
      <c r="E2486" s="312"/>
      <c r="G2486" s="47"/>
      <c r="H2486" s="24"/>
      <c r="I2486" s="312"/>
      <c r="J2486" s="312"/>
      <c r="L2486" s="47"/>
      <c r="M2486" s="24"/>
      <c r="N2486" s="312"/>
      <c r="O2486" s="312"/>
      <c r="Q2486" s="47"/>
      <c r="R2486" s="136" t="s">
        <v>1934</v>
      </c>
      <c r="S2486" s="25" t="s">
        <v>2196</v>
      </c>
      <c r="T2486" s="155">
        <v>15160</v>
      </c>
      <c r="U2486" s="155">
        <v>0</v>
      </c>
    </row>
    <row r="2487" spans="2:21" x14ac:dyDescent="0.3">
      <c r="B2487" s="47"/>
      <c r="C2487" s="24"/>
      <c r="D2487" s="312"/>
      <c r="E2487" s="312"/>
      <c r="G2487" s="47"/>
      <c r="H2487" s="24"/>
      <c r="I2487" s="312"/>
      <c r="J2487" s="312"/>
      <c r="L2487" s="47"/>
      <c r="M2487" s="24"/>
      <c r="N2487" s="312"/>
      <c r="O2487" s="312"/>
      <c r="Q2487" s="47"/>
      <c r="R2487" s="136" t="s">
        <v>2154</v>
      </c>
      <c r="S2487" s="25" t="s">
        <v>2155</v>
      </c>
      <c r="T2487" s="155">
        <v>200</v>
      </c>
      <c r="U2487" s="155">
        <v>0</v>
      </c>
    </row>
    <row r="2488" spans="2:21" x14ac:dyDescent="0.3">
      <c r="B2488" s="47"/>
      <c r="C2488" s="24"/>
      <c r="D2488" s="312"/>
      <c r="E2488" s="312"/>
      <c r="G2488" s="47"/>
      <c r="H2488" s="24"/>
      <c r="I2488" s="312"/>
      <c r="J2488" s="312"/>
      <c r="L2488" s="47"/>
      <c r="M2488" s="24"/>
      <c r="N2488" s="312"/>
      <c r="O2488" s="312"/>
      <c r="Q2488" s="47"/>
      <c r="R2488" s="136" t="s">
        <v>2156</v>
      </c>
      <c r="S2488" s="25" t="s">
        <v>2157</v>
      </c>
      <c r="T2488" s="155">
        <v>294845</v>
      </c>
      <c r="U2488" s="155">
        <v>0</v>
      </c>
    </row>
    <row r="2489" spans="2:21" x14ac:dyDescent="0.3">
      <c r="B2489" s="47"/>
      <c r="C2489" s="24"/>
      <c r="D2489" s="312"/>
      <c r="E2489" s="312"/>
      <c r="G2489" s="47"/>
      <c r="H2489" s="24"/>
      <c r="I2489" s="312"/>
      <c r="J2489" s="312"/>
      <c r="L2489" s="47"/>
      <c r="M2489" s="24"/>
      <c r="N2489" s="312"/>
      <c r="O2489" s="312"/>
      <c r="Q2489" s="47"/>
      <c r="R2489" s="136" t="s">
        <v>2199</v>
      </c>
      <c r="S2489" s="25" t="s">
        <v>2200</v>
      </c>
      <c r="T2489" s="155">
        <v>52284</v>
      </c>
      <c r="U2489" s="155">
        <v>0</v>
      </c>
    </row>
    <row r="2490" spans="2:21" x14ac:dyDescent="0.3">
      <c r="B2490" s="47"/>
      <c r="C2490" s="24"/>
      <c r="D2490" s="312"/>
      <c r="E2490" s="312"/>
      <c r="G2490" s="47"/>
      <c r="H2490" s="24"/>
      <c r="I2490" s="312"/>
      <c r="J2490" s="312"/>
      <c r="L2490" s="47"/>
      <c r="M2490" s="24"/>
      <c r="N2490" s="312"/>
      <c r="O2490" s="312"/>
      <c r="Q2490" s="47"/>
      <c r="R2490" s="136" t="s">
        <v>2201</v>
      </c>
      <c r="S2490" s="25" t="s">
        <v>2202</v>
      </c>
      <c r="T2490" s="155">
        <v>52003</v>
      </c>
      <c r="U2490" s="155">
        <v>0</v>
      </c>
    </row>
    <row r="2491" spans="2:21" x14ac:dyDescent="0.3">
      <c r="B2491" s="47"/>
      <c r="C2491" s="24"/>
      <c r="D2491" s="312"/>
      <c r="E2491" s="312"/>
      <c r="G2491" s="47"/>
      <c r="H2491" s="24"/>
      <c r="I2491" s="312"/>
      <c r="J2491" s="312"/>
      <c r="L2491" s="47"/>
      <c r="M2491" s="24"/>
      <c r="N2491" s="312"/>
      <c r="O2491" s="312"/>
      <c r="Q2491" s="47"/>
      <c r="R2491" s="136" t="s">
        <v>2203</v>
      </c>
      <c r="S2491" s="25" t="s">
        <v>2204</v>
      </c>
      <c r="T2491" s="155">
        <v>34341</v>
      </c>
      <c r="U2491" s="155">
        <v>0</v>
      </c>
    </row>
    <row r="2492" spans="2:21" x14ac:dyDescent="0.3">
      <c r="B2492" s="47"/>
      <c r="C2492" s="24"/>
      <c r="D2492" s="312"/>
      <c r="E2492" s="312"/>
      <c r="G2492" s="47"/>
      <c r="H2492" s="24"/>
      <c r="I2492" s="312"/>
      <c r="J2492" s="312"/>
      <c r="L2492" s="47"/>
      <c r="M2492" s="24"/>
      <c r="N2492" s="312"/>
      <c r="O2492" s="312"/>
      <c r="Q2492" s="47"/>
      <c r="R2492" s="136" t="s">
        <v>2205</v>
      </c>
      <c r="S2492" s="25" t="s">
        <v>2206</v>
      </c>
      <c r="T2492" s="155">
        <v>35397</v>
      </c>
      <c r="U2492" s="155">
        <v>0</v>
      </c>
    </row>
    <row r="2493" spans="2:21" x14ac:dyDescent="0.3">
      <c r="B2493" s="47"/>
      <c r="C2493" s="24"/>
      <c r="D2493" s="312"/>
      <c r="E2493" s="312"/>
      <c r="G2493" s="47"/>
      <c r="H2493" s="24"/>
      <c r="I2493" s="312"/>
      <c r="J2493" s="312"/>
      <c r="L2493" s="47"/>
      <c r="M2493" s="24"/>
      <c r="N2493" s="312"/>
      <c r="O2493" s="312"/>
      <c r="Q2493" s="47"/>
      <c r="R2493" s="136" t="s">
        <v>2207</v>
      </c>
      <c r="S2493" s="25" t="s">
        <v>2208</v>
      </c>
      <c r="T2493" s="155">
        <v>37090</v>
      </c>
      <c r="U2493" s="155">
        <v>0</v>
      </c>
    </row>
    <row r="2494" spans="2:21" x14ac:dyDescent="0.3">
      <c r="B2494" s="47"/>
      <c r="C2494" s="24"/>
      <c r="D2494" s="312"/>
      <c r="E2494" s="312"/>
      <c r="G2494" s="47"/>
      <c r="H2494" s="24"/>
      <c r="I2494" s="312"/>
      <c r="J2494" s="312"/>
      <c r="L2494" s="47"/>
      <c r="M2494" s="24"/>
      <c r="N2494" s="312"/>
      <c r="O2494" s="312"/>
      <c r="Q2494" s="47"/>
      <c r="R2494" s="136" t="s">
        <v>2209</v>
      </c>
      <c r="S2494" s="25" t="s">
        <v>2210</v>
      </c>
      <c r="T2494" s="155">
        <v>37582</v>
      </c>
      <c r="U2494" s="155">
        <v>0</v>
      </c>
    </row>
    <row r="2495" spans="2:21" x14ac:dyDescent="0.3">
      <c r="B2495" s="47"/>
      <c r="C2495" s="24"/>
      <c r="D2495" s="312"/>
      <c r="E2495" s="312"/>
      <c r="G2495" s="47"/>
      <c r="H2495" s="24"/>
      <c r="I2495" s="312"/>
      <c r="J2495" s="312"/>
      <c r="L2495" s="47"/>
      <c r="M2495" s="24"/>
      <c r="N2495" s="312"/>
      <c r="O2495" s="312"/>
      <c r="Q2495" s="47"/>
      <c r="R2495" s="136" t="s">
        <v>2340</v>
      </c>
      <c r="S2495" s="25" t="s">
        <v>2159</v>
      </c>
      <c r="T2495" s="155">
        <v>52003</v>
      </c>
      <c r="U2495" s="155">
        <v>0</v>
      </c>
    </row>
    <row r="2496" spans="2:21" x14ac:dyDescent="0.3">
      <c r="B2496" s="47"/>
      <c r="C2496" s="24"/>
      <c r="D2496" s="312"/>
      <c r="E2496" s="312"/>
      <c r="G2496" s="47"/>
      <c r="H2496" s="24"/>
      <c r="I2496" s="312"/>
      <c r="J2496" s="312"/>
      <c r="L2496" s="47"/>
      <c r="M2496" s="24"/>
      <c r="N2496" s="312"/>
      <c r="O2496" s="312"/>
      <c r="Q2496" s="47"/>
      <c r="R2496" s="136" t="s">
        <v>2160</v>
      </c>
      <c r="S2496" s="25" t="s">
        <v>2161</v>
      </c>
      <c r="T2496" s="155">
        <v>35462</v>
      </c>
      <c r="U2496" s="155">
        <v>0</v>
      </c>
    </row>
    <row r="2497" spans="2:21" x14ac:dyDescent="0.3">
      <c r="B2497" s="47"/>
      <c r="C2497" s="24"/>
      <c r="D2497" s="312"/>
      <c r="E2497" s="312"/>
      <c r="G2497" s="47"/>
      <c r="H2497" s="24"/>
      <c r="I2497" s="312"/>
      <c r="J2497" s="312"/>
      <c r="L2497" s="47"/>
      <c r="M2497" s="24"/>
      <c r="N2497" s="312"/>
      <c r="O2497" s="312"/>
      <c r="Q2497" s="47"/>
      <c r="R2497" s="136" t="s">
        <v>2162</v>
      </c>
      <c r="S2497" s="25" t="s">
        <v>2163</v>
      </c>
      <c r="T2497" s="155">
        <v>39487</v>
      </c>
      <c r="U2497" s="155">
        <v>0</v>
      </c>
    </row>
    <row r="2498" spans="2:21" x14ac:dyDescent="0.3">
      <c r="B2498" s="47"/>
      <c r="C2498" s="24"/>
      <c r="D2498" s="312"/>
      <c r="E2498" s="312"/>
      <c r="G2498" s="47"/>
      <c r="H2498" s="24"/>
      <c r="I2498" s="312"/>
      <c r="J2498" s="312"/>
      <c r="L2498" s="47"/>
      <c r="M2498" s="24"/>
      <c r="N2498" s="312"/>
      <c r="O2498" s="312"/>
      <c r="Q2498" s="47"/>
      <c r="R2498" s="136" t="s">
        <v>2165</v>
      </c>
      <c r="S2498" s="25" t="s">
        <v>2166</v>
      </c>
      <c r="T2498" s="155">
        <v>37901</v>
      </c>
      <c r="U2498" s="155">
        <v>0</v>
      </c>
    </row>
    <row r="2499" spans="2:21" x14ac:dyDescent="0.3">
      <c r="B2499" s="47"/>
      <c r="C2499" s="24"/>
      <c r="D2499" s="312"/>
      <c r="E2499" s="312"/>
      <c r="G2499" s="47"/>
      <c r="H2499" s="24"/>
      <c r="I2499" s="312"/>
      <c r="J2499" s="312"/>
      <c r="L2499" s="47"/>
      <c r="M2499" s="24"/>
      <c r="N2499" s="312"/>
      <c r="O2499" s="312"/>
      <c r="Q2499" s="47"/>
      <c r="R2499" s="136" t="s">
        <v>2168</v>
      </c>
      <c r="S2499" s="25" t="s">
        <v>2169</v>
      </c>
      <c r="T2499" s="155">
        <v>24146</v>
      </c>
      <c r="U2499" s="155">
        <v>0</v>
      </c>
    </row>
    <row r="2500" spans="2:21" x14ac:dyDescent="0.3">
      <c r="B2500" s="47"/>
      <c r="C2500" s="24"/>
      <c r="D2500" s="312"/>
      <c r="E2500" s="312"/>
      <c r="G2500" s="47"/>
      <c r="H2500" s="24"/>
      <c r="I2500" s="312"/>
      <c r="J2500" s="312"/>
      <c r="L2500" s="47"/>
      <c r="M2500" s="24"/>
      <c r="N2500" s="312"/>
      <c r="O2500" s="312"/>
      <c r="Q2500" s="47"/>
      <c r="R2500" s="136" t="s">
        <v>2168</v>
      </c>
      <c r="S2500" s="25" t="s">
        <v>2169</v>
      </c>
      <c r="T2500" s="155">
        <v>13685</v>
      </c>
      <c r="U2500" s="155">
        <v>0</v>
      </c>
    </row>
    <row r="2501" spans="2:21" x14ac:dyDescent="0.3">
      <c r="B2501" s="47"/>
      <c r="C2501" s="24"/>
      <c r="D2501" s="312"/>
      <c r="E2501" s="312"/>
      <c r="G2501" s="47"/>
      <c r="H2501" s="24"/>
      <c r="I2501" s="312"/>
      <c r="J2501" s="312"/>
      <c r="L2501" s="47"/>
      <c r="M2501" s="24"/>
      <c r="N2501" s="312"/>
      <c r="O2501" s="312"/>
      <c r="Q2501" s="47"/>
      <c r="R2501" s="136" t="s">
        <v>3313</v>
      </c>
      <c r="S2501" s="25" t="s">
        <v>2211</v>
      </c>
      <c r="T2501" s="155">
        <v>52003</v>
      </c>
      <c r="U2501" s="155">
        <v>0</v>
      </c>
    </row>
    <row r="2502" spans="2:21" x14ac:dyDescent="0.3">
      <c r="B2502" s="47"/>
      <c r="C2502" s="24"/>
      <c r="D2502" s="312"/>
      <c r="E2502" s="312"/>
      <c r="G2502" s="47"/>
      <c r="H2502" s="24"/>
      <c r="I2502" s="312"/>
      <c r="J2502" s="312"/>
      <c r="L2502" s="47"/>
      <c r="M2502" s="24"/>
      <c r="N2502" s="312"/>
      <c r="O2502" s="312"/>
      <c r="Q2502" s="47"/>
      <c r="R2502" s="136" t="s">
        <v>2212</v>
      </c>
      <c r="S2502" s="25" t="s">
        <v>2213</v>
      </c>
      <c r="T2502" s="155">
        <v>37355</v>
      </c>
      <c r="U2502" s="155">
        <v>0</v>
      </c>
    </row>
    <row r="2503" spans="2:21" x14ac:dyDescent="0.3">
      <c r="B2503" s="47"/>
      <c r="C2503" s="24"/>
      <c r="D2503" s="312"/>
      <c r="E2503" s="312"/>
      <c r="G2503" s="47"/>
      <c r="H2503" s="24"/>
      <c r="I2503" s="312"/>
      <c r="J2503" s="312"/>
      <c r="L2503" s="47"/>
      <c r="M2503" s="24"/>
      <c r="N2503" s="312"/>
      <c r="O2503" s="312"/>
      <c r="Q2503" s="47"/>
      <c r="R2503" s="136" t="s">
        <v>2214</v>
      </c>
      <c r="S2503" s="25" t="s">
        <v>2215</v>
      </c>
      <c r="T2503" s="155">
        <v>36750</v>
      </c>
      <c r="U2503" s="155">
        <v>0</v>
      </c>
    </row>
    <row r="2504" spans="2:21" x14ac:dyDescent="0.3">
      <c r="B2504" s="47"/>
      <c r="C2504" s="24"/>
      <c r="D2504" s="312"/>
      <c r="E2504" s="312"/>
      <c r="G2504" s="47"/>
      <c r="H2504" s="24"/>
      <c r="I2504" s="312"/>
      <c r="J2504" s="312"/>
      <c r="L2504" s="47"/>
      <c r="M2504" s="24"/>
      <c r="N2504" s="312"/>
      <c r="O2504" s="312"/>
      <c r="Q2504" s="47"/>
      <c r="R2504" s="136" t="s">
        <v>2216</v>
      </c>
      <c r="S2504" s="25" t="s">
        <v>2217</v>
      </c>
      <c r="T2504" s="155">
        <v>30715</v>
      </c>
      <c r="U2504" s="155">
        <v>0</v>
      </c>
    </row>
    <row r="2505" spans="2:21" x14ac:dyDescent="0.3">
      <c r="B2505" s="47"/>
      <c r="C2505" s="24"/>
      <c r="D2505" s="312"/>
      <c r="E2505" s="312"/>
      <c r="G2505" s="47"/>
      <c r="H2505" s="24"/>
      <c r="I2505" s="312"/>
      <c r="J2505" s="312"/>
      <c r="L2505" s="47"/>
      <c r="M2505" s="24"/>
      <c r="N2505" s="312"/>
      <c r="O2505" s="312"/>
      <c r="Q2505" s="47"/>
      <c r="R2505" s="136" t="s">
        <v>1895</v>
      </c>
      <c r="S2505" s="25" t="s">
        <v>2174</v>
      </c>
      <c r="T2505" s="155">
        <v>52000</v>
      </c>
      <c r="U2505" s="155">
        <v>0</v>
      </c>
    </row>
    <row r="2506" spans="2:21" x14ac:dyDescent="0.3">
      <c r="B2506" s="47"/>
      <c r="C2506" s="24"/>
      <c r="D2506" s="312"/>
      <c r="E2506" s="312"/>
      <c r="G2506" s="47"/>
      <c r="H2506" s="24"/>
      <c r="I2506" s="312"/>
      <c r="J2506" s="312"/>
      <c r="L2506" s="47"/>
      <c r="M2506" s="24"/>
      <c r="N2506" s="312"/>
      <c r="O2506" s="312"/>
      <c r="Q2506" s="47"/>
      <c r="R2506" s="136" t="s">
        <v>2177</v>
      </c>
      <c r="S2506" s="25" t="s">
        <v>2341</v>
      </c>
      <c r="T2506" s="155">
        <v>52001</v>
      </c>
      <c r="U2506" s="155">
        <v>0</v>
      </c>
    </row>
    <row r="2507" spans="2:21" x14ac:dyDescent="0.3">
      <c r="B2507" s="47"/>
      <c r="C2507" s="24"/>
      <c r="D2507" s="312"/>
      <c r="E2507" s="312"/>
      <c r="G2507" s="47"/>
      <c r="H2507" s="24"/>
      <c r="I2507" s="312"/>
      <c r="J2507" s="312"/>
      <c r="L2507" s="47"/>
      <c r="M2507" s="24"/>
      <c r="N2507" s="312"/>
      <c r="O2507" s="312"/>
      <c r="Q2507" s="47"/>
      <c r="R2507" s="136" t="s">
        <v>2183</v>
      </c>
      <c r="S2507" s="25" t="s">
        <v>2182</v>
      </c>
      <c r="T2507" s="155">
        <v>42401</v>
      </c>
      <c r="U2507" s="155">
        <v>0</v>
      </c>
    </row>
    <row r="2508" spans="2:21" x14ac:dyDescent="0.3">
      <c r="B2508" s="47"/>
      <c r="C2508" s="24"/>
      <c r="D2508" s="312"/>
      <c r="E2508" s="312"/>
      <c r="G2508" s="47"/>
      <c r="H2508" s="24"/>
      <c r="I2508" s="312"/>
      <c r="J2508" s="312"/>
      <c r="L2508" s="47"/>
      <c r="M2508" s="24"/>
      <c r="N2508" s="312"/>
      <c r="O2508" s="312"/>
      <c r="Q2508" s="47"/>
      <c r="R2508" s="136" t="s">
        <v>2185</v>
      </c>
      <c r="S2508" s="25" t="s">
        <v>2184</v>
      </c>
      <c r="T2508" s="155">
        <v>36746</v>
      </c>
      <c r="U2508" s="155">
        <v>0</v>
      </c>
    </row>
    <row r="2509" spans="2:21" x14ac:dyDescent="0.3">
      <c r="B2509" s="47"/>
      <c r="C2509" s="24"/>
      <c r="D2509" s="312"/>
      <c r="E2509" s="312"/>
      <c r="G2509" s="47"/>
      <c r="H2509" s="24"/>
      <c r="I2509" s="312"/>
      <c r="J2509" s="312"/>
      <c r="L2509" s="47"/>
      <c r="M2509" s="24"/>
      <c r="N2509" s="312"/>
      <c r="O2509" s="312"/>
      <c r="Q2509" s="47"/>
      <c r="R2509" s="136" t="s">
        <v>2187</v>
      </c>
      <c r="S2509" s="25" t="s">
        <v>2186</v>
      </c>
      <c r="T2509" s="155">
        <v>37728</v>
      </c>
      <c r="U2509" s="155">
        <v>0</v>
      </c>
    </row>
    <row r="2510" spans="2:21" x14ac:dyDescent="0.3">
      <c r="B2510" s="47"/>
      <c r="C2510" s="24"/>
      <c r="D2510" s="312"/>
      <c r="E2510" s="312"/>
      <c r="G2510" s="47"/>
      <c r="H2510" s="24"/>
      <c r="I2510" s="312"/>
      <c r="J2510" s="312"/>
      <c r="L2510" s="47"/>
      <c r="M2510" s="24"/>
      <c r="N2510" s="312"/>
      <c r="O2510" s="312"/>
      <c r="Q2510" s="47"/>
      <c r="R2510" s="136" t="s">
        <v>2342</v>
      </c>
      <c r="S2510" s="25" t="s">
        <v>2188</v>
      </c>
      <c r="T2510" s="155">
        <v>25185</v>
      </c>
      <c r="U2510" s="155">
        <v>0</v>
      </c>
    </row>
    <row r="2511" spans="2:21" x14ac:dyDescent="0.3">
      <c r="B2511" s="47"/>
      <c r="C2511" s="24"/>
      <c r="D2511" s="312"/>
      <c r="E2511" s="312"/>
      <c r="G2511" s="47"/>
      <c r="H2511" s="24"/>
      <c r="I2511" s="312"/>
      <c r="J2511" s="312"/>
      <c r="L2511" s="47"/>
      <c r="M2511" s="24"/>
      <c r="N2511" s="312"/>
      <c r="O2511" s="312"/>
      <c r="Q2511" s="47"/>
      <c r="R2511" s="136" t="s">
        <v>2342</v>
      </c>
      <c r="S2511" s="25" t="s">
        <v>2188</v>
      </c>
      <c r="T2511" s="155">
        <v>12915</v>
      </c>
      <c r="U2511" s="155">
        <v>0</v>
      </c>
    </row>
    <row r="2512" spans="2:21" x14ac:dyDescent="0.3">
      <c r="B2512" s="47"/>
      <c r="C2512" s="24"/>
      <c r="D2512" s="312"/>
      <c r="E2512" s="312"/>
      <c r="G2512" s="47"/>
      <c r="H2512" s="24"/>
      <c r="I2512" s="312"/>
      <c r="J2512" s="312"/>
      <c r="L2512" s="47"/>
      <c r="M2512" s="24"/>
      <c r="N2512" s="312"/>
      <c r="O2512" s="312"/>
      <c r="Q2512" s="47"/>
      <c r="R2512" s="136" t="s">
        <v>2190</v>
      </c>
      <c r="S2512" s="25" t="s">
        <v>2189</v>
      </c>
      <c r="T2512" s="155">
        <v>41505</v>
      </c>
      <c r="U2512" s="155">
        <v>0</v>
      </c>
    </row>
    <row r="2513" spans="2:21" x14ac:dyDescent="0.3">
      <c r="B2513" s="47"/>
      <c r="C2513" s="24"/>
      <c r="D2513" s="312"/>
      <c r="E2513" s="312"/>
      <c r="G2513" s="47"/>
      <c r="H2513" s="24"/>
      <c r="I2513" s="312"/>
      <c r="J2513" s="312"/>
      <c r="L2513" s="47"/>
      <c r="M2513" s="24"/>
      <c r="N2513" s="312"/>
      <c r="O2513" s="312"/>
      <c r="Q2513" s="47"/>
      <c r="R2513" s="136" t="s">
        <v>2192</v>
      </c>
      <c r="S2513" s="25" t="s">
        <v>2191</v>
      </c>
      <c r="T2513" s="155">
        <v>43280</v>
      </c>
      <c r="U2513" s="155">
        <v>0</v>
      </c>
    </row>
    <row r="2514" spans="2:21" x14ac:dyDescent="0.3">
      <c r="B2514" s="47"/>
      <c r="C2514" s="24"/>
      <c r="D2514" s="312"/>
      <c r="E2514" s="312"/>
      <c r="G2514" s="47"/>
      <c r="H2514" s="24"/>
      <c r="I2514" s="312"/>
      <c r="J2514" s="312"/>
      <c r="L2514" s="47"/>
      <c r="M2514" s="24"/>
      <c r="N2514" s="312"/>
      <c r="O2514" s="312"/>
      <c r="Q2514" s="47"/>
      <c r="R2514" s="136" t="s">
        <v>1896</v>
      </c>
      <c r="S2514" s="25" t="s">
        <v>2193</v>
      </c>
      <c r="T2514" s="155">
        <v>44370</v>
      </c>
      <c r="U2514" s="155">
        <v>0</v>
      </c>
    </row>
    <row r="2515" spans="2:21" x14ac:dyDescent="0.3">
      <c r="B2515" s="47"/>
      <c r="C2515" s="24"/>
      <c r="D2515" s="312"/>
      <c r="E2515" s="312"/>
      <c r="G2515" s="47"/>
      <c r="H2515" s="24"/>
      <c r="I2515" s="312"/>
      <c r="J2515" s="312"/>
      <c r="L2515" s="47"/>
      <c r="M2515" s="24"/>
      <c r="N2515" s="312"/>
      <c r="O2515" s="312"/>
      <c r="Q2515" s="47"/>
      <c r="R2515" s="136" t="s">
        <v>2343</v>
      </c>
      <c r="S2515" s="25" t="s">
        <v>2194</v>
      </c>
      <c r="T2515" s="155">
        <v>71669</v>
      </c>
      <c r="U2515" s="155">
        <v>0</v>
      </c>
    </row>
    <row r="2516" spans="2:21" x14ac:dyDescent="0.3">
      <c r="B2516" s="47"/>
      <c r="C2516" s="24"/>
      <c r="D2516" s="312"/>
      <c r="E2516" s="312"/>
      <c r="G2516" s="47"/>
      <c r="H2516" s="24"/>
      <c r="I2516" s="312"/>
      <c r="J2516" s="312"/>
      <c r="L2516" s="47"/>
      <c r="M2516" s="24"/>
      <c r="N2516" s="312"/>
      <c r="O2516" s="312"/>
      <c r="Q2516" s="47"/>
      <c r="R2516" s="136" t="s">
        <v>3291</v>
      </c>
      <c r="S2516" s="25" t="s">
        <v>2171</v>
      </c>
      <c r="T2516" s="155">
        <v>52001</v>
      </c>
      <c r="U2516" s="155">
        <v>0</v>
      </c>
    </row>
    <row r="2517" spans="2:21" x14ac:dyDescent="0.3">
      <c r="B2517" s="47"/>
      <c r="C2517" s="24"/>
      <c r="D2517" s="312"/>
      <c r="E2517" s="312"/>
      <c r="G2517" s="47"/>
      <c r="H2517" s="24"/>
      <c r="I2517" s="312"/>
      <c r="J2517" s="312"/>
      <c r="L2517" s="47"/>
      <c r="M2517" s="24"/>
      <c r="N2517" s="312"/>
      <c r="O2517" s="312"/>
      <c r="Q2517" s="47"/>
      <c r="R2517" s="136" t="s">
        <v>1898</v>
      </c>
      <c r="S2517" s="25" t="s">
        <v>2218</v>
      </c>
      <c r="T2517" s="155">
        <v>52000</v>
      </c>
      <c r="U2517" s="155">
        <v>0</v>
      </c>
    </row>
    <row r="2518" spans="2:21" x14ac:dyDescent="0.3">
      <c r="B2518" s="47"/>
      <c r="C2518" s="24"/>
      <c r="D2518" s="312"/>
      <c r="E2518" s="312"/>
      <c r="G2518" s="47"/>
      <c r="H2518" s="24"/>
      <c r="I2518" s="312"/>
      <c r="J2518" s="312"/>
      <c r="L2518" s="47"/>
      <c r="M2518" s="24"/>
      <c r="N2518" s="312"/>
      <c r="O2518" s="312"/>
      <c r="Q2518" s="47"/>
      <c r="R2518" s="136" t="s">
        <v>2219</v>
      </c>
      <c r="S2518" s="25" t="s">
        <v>2220</v>
      </c>
      <c r="T2518" s="155">
        <v>6343</v>
      </c>
      <c r="U2518" s="155">
        <v>0</v>
      </c>
    </row>
    <row r="2519" spans="2:21" x14ac:dyDescent="0.3">
      <c r="B2519" s="47"/>
      <c r="C2519" s="24"/>
      <c r="D2519" s="312"/>
      <c r="E2519" s="312"/>
      <c r="G2519" s="47"/>
      <c r="H2519" s="24"/>
      <c r="I2519" s="312"/>
      <c r="J2519" s="312"/>
      <c r="L2519" s="47"/>
      <c r="M2519" s="24"/>
      <c r="N2519" s="312"/>
      <c r="O2519" s="312"/>
      <c r="Q2519" s="47"/>
      <c r="R2519" s="136" t="s">
        <v>2221</v>
      </c>
      <c r="S2519" s="25" t="s">
        <v>2222</v>
      </c>
      <c r="T2519" s="155">
        <v>7949</v>
      </c>
      <c r="U2519" s="155">
        <v>0</v>
      </c>
    </row>
    <row r="2520" spans="2:21" x14ac:dyDescent="0.3">
      <c r="B2520" s="47"/>
      <c r="C2520" s="24"/>
      <c r="D2520" s="312"/>
      <c r="E2520" s="312"/>
      <c r="G2520" s="47"/>
      <c r="H2520" s="24"/>
      <c r="I2520" s="312"/>
      <c r="J2520" s="312"/>
      <c r="L2520" s="47"/>
      <c r="M2520" s="24"/>
      <c r="N2520" s="312"/>
      <c r="O2520" s="312"/>
      <c r="Q2520" s="47"/>
      <c r="R2520" s="136" t="s">
        <v>2223</v>
      </c>
      <c r="S2520" s="25" t="s">
        <v>2224</v>
      </c>
      <c r="T2520" s="155">
        <v>5270</v>
      </c>
      <c r="U2520" s="155">
        <v>0</v>
      </c>
    </row>
    <row r="2521" spans="2:21" x14ac:dyDescent="0.3">
      <c r="B2521" s="47"/>
      <c r="C2521" s="24"/>
      <c r="D2521" s="312"/>
      <c r="E2521" s="312"/>
      <c r="G2521" s="47"/>
      <c r="H2521" s="24"/>
      <c r="I2521" s="312"/>
      <c r="J2521" s="312"/>
      <c r="L2521" s="47"/>
      <c r="M2521" s="24"/>
      <c r="N2521" s="312"/>
      <c r="O2521" s="312"/>
      <c r="Q2521" s="47"/>
      <c r="R2521" s="136" t="s">
        <v>2226</v>
      </c>
      <c r="S2521" s="25" t="s">
        <v>2227</v>
      </c>
      <c r="T2521" s="155">
        <v>8260</v>
      </c>
      <c r="U2521" s="155">
        <v>0</v>
      </c>
    </row>
    <row r="2522" spans="2:21" x14ac:dyDescent="0.3">
      <c r="B2522" s="47"/>
      <c r="C2522" s="24"/>
      <c r="D2522" s="312"/>
      <c r="E2522" s="312"/>
      <c r="G2522" s="47"/>
      <c r="H2522" s="24"/>
      <c r="I2522" s="312"/>
      <c r="J2522" s="312"/>
      <c r="L2522" s="47"/>
      <c r="M2522" s="24"/>
      <c r="N2522" s="312"/>
      <c r="O2522" s="312"/>
      <c r="Q2522" s="47"/>
      <c r="R2522" s="136" t="s">
        <v>2230</v>
      </c>
      <c r="S2522" s="25" t="s">
        <v>2231</v>
      </c>
      <c r="T2522" s="155">
        <v>1660</v>
      </c>
      <c r="U2522" s="155">
        <v>0</v>
      </c>
    </row>
    <row r="2523" spans="2:21" x14ac:dyDescent="0.3">
      <c r="B2523" s="47"/>
      <c r="C2523" s="24"/>
      <c r="D2523" s="312"/>
      <c r="E2523" s="312"/>
      <c r="G2523" s="47"/>
      <c r="H2523" s="24"/>
      <c r="I2523" s="312"/>
      <c r="J2523" s="312"/>
      <c r="L2523" s="47"/>
      <c r="M2523" s="24"/>
      <c r="N2523" s="312"/>
      <c r="O2523" s="312"/>
      <c r="Q2523" s="47"/>
      <c r="R2523" s="136" t="s">
        <v>2232</v>
      </c>
      <c r="S2523" s="25" t="s">
        <v>1988</v>
      </c>
      <c r="T2523" s="155">
        <v>1000</v>
      </c>
      <c r="U2523" s="155">
        <v>0</v>
      </c>
    </row>
    <row r="2524" spans="2:21" x14ac:dyDescent="0.3">
      <c r="B2524" s="47"/>
      <c r="C2524" s="24"/>
      <c r="D2524" s="312"/>
      <c r="E2524" s="312"/>
      <c r="G2524" s="47"/>
      <c r="H2524" s="24"/>
      <c r="I2524" s="312"/>
      <c r="J2524" s="312"/>
      <c r="L2524" s="47"/>
      <c r="M2524" s="24"/>
      <c r="N2524" s="312"/>
      <c r="O2524" s="312"/>
      <c r="Q2524" s="47"/>
      <c r="R2524" s="136" t="s">
        <v>2233</v>
      </c>
      <c r="S2524" s="25" t="s">
        <v>1989</v>
      </c>
      <c r="T2524" s="155">
        <v>830</v>
      </c>
      <c r="U2524" s="155">
        <v>0</v>
      </c>
    </row>
    <row r="2525" spans="2:21" s="338" customFormat="1" x14ac:dyDescent="0.3">
      <c r="B2525" s="335"/>
      <c r="C2525" s="336"/>
      <c r="D2525" s="337"/>
      <c r="E2525" s="337"/>
      <c r="G2525" s="335"/>
      <c r="H2525" s="336"/>
      <c r="I2525" s="337"/>
      <c r="J2525" s="337"/>
      <c r="L2525" s="335"/>
      <c r="M2525" s="336"/>
      <c r="N2525" s="337"/>
      <c r="O2525" s="337"/>
      <c r="Q2525" s="339">
        <v>80060003</v>
      </c>
      <c r="R2525" s="340"/>
      <c r="S2525" s="345" t="s">
        <v>1097</v>
      </c>
      <c r="T2525" s="342">
        <v>0</v>
      </c>
      <c r="U2525" s="342">
        <v>0</v>
      </c>
    </row>
    <row r="2526" spans="2:21" s="338" customFormat="1" x14ac:dyDescent="0.3">
      <c r="B2526" s="335"/>
      <c r="C2526" s="336"/>
      <c r="D2526" s="337"/>
      <c r="E2526" s="337"/>
      <c r="G2526" s="335"/>
      <c r="H2526" s="336"/>
      <c r="I2526" s="337"/>
      <c r="J2526" s="337"/>
      <c r="L2526" s="335"/>
      <c r="M2526" s="336"/>
      <c r="N2526" s="337"/>
      <c r="O2526" s="337"/>
      <c r="Q2526" s="339">
        <v>80060004</v>
      </c>
      <c r="R2526" s="340"/>
      <c r="S2526" s="345" t="s">
        <v>1098</v>
      </c>
      <c r="T2526" s="342">
        <v>0</v>
      </c>
      <c r="U2526" s="342">
        <v>0</v>
      </c>
    </row>
    <row r="2527" spans="2:21" s="338" customFormat="1" x14ac:dyDescent="0.3">
      <c r="B2527" s="335"/>
      <c r="C2527" s="336"/>
      <c r="D2527" s="337"/>
      <c r="E2527" s="337"/>
      <c r="G2527" s="335"/>
      <c r="H2527" s="336"/>
      <c r="I2527" s="337"/>
      <c r="J2527" s="337"/>
      <c r="L2527" s="335"/>
      <c r="M2527" s="336"/>
      <c r="N2527" s="337"/>
      <c r="O2527" s="337"/>
      <c r="Q2527" s="339">
        <v>80060005</v>
      </c>
      <c r="R2527" s="340"/>
      <c r="S2527" s="345" t="s">
        <v>1099</v>
      </c>
      <c r="T2527" s="344">
        <f>SUM(T2528:T2552)-SUM(U2528:U2552)</f>
        <v>411374</v>
      </c>
      <c r="U2527" s="342">
        <v>0</v>
      </c>
    </row>
    <row r="2528" spans="2:21" x14ac:dyDescent="0.3">
      <c r="B2528" s="47"/>
      <c r="C2528" s="24"/>
      <c r="D2528" s="312"/>
      <c r="E2528" s="312"/>
      <c r="G2528" s="47"/>
      <c r="H2528" s="24"/>
      <c r="I2528" s="312"/>
      <c r="J2528" s="312"/>
      <c r="L2528" s="47"/>
      <c r="M2528" s="24"/>
      <c r="N2528" s="312"/>
      <c r="O2528" s="312"/>
      <c r="Q2528" s="47"/>
      <c r="R2528" s="136" t="s">
        <v>2156</v>
      </c>
      <c r="S2528" s="25" t="s">
        <v>2157</v>
      </c>
      <c r="T2528" s="155">
        <v>195750</v>
      </c>
      <c r="U2528" s="155">
        <v>0</v>
      </c>
    </row>
    <row r="2529" spans="2:21" x14ac:dyDescent="0.3">
      <c r="B2529" s="47"/>
      <c r="C2529" s="24"/>
      <c r="D2529" s="312"/>
      <c r="E2529" s="312"/>
      <c r="G2529" s="47"/>
      <c r="H2529" s="24"/>
      <c r="I2529" s="312"/>
      <c r="J2529" s="312"/>
      <c r="L2529" s="47"/>
      <c r="M2529" s="24"/>
      <c r="N2529" s="312"/>
      <c r="O2529" s="312"/>
      <c r="Q2529" s="47"/>
      <c r="R2529" s="136" t="s">
        <v>2340</v>
      </c>
      <c r="S2529" s="25" t="s">
        <v>2159</v>
      </c>
      <c r="T2529" s="155">
        <v>6525</v>
      </c>
      <c r="U2529" s="155">
        <v>0</v>
      </c>
    </row>
    <row r="2530" spans="2:21" x14ac:dyDescent="0.3">
      <c r="B2530" s="47"/>
      <c r="C2530" s="24"/>
      <c r="D2530" s="312"/>
      <c r="E2530" s="312"/>
      <c r="G2530" s="47"/>
      <c r="H2530" s="24"/>
      <c r="I2530" s="312"/>
      <c r="J2530" s="312"/>
      <c r="L2530" s="47"/>
      <c r="M2530" s="24"/>
      <c r="N2530" s="312"/>
      <c r="O2530" s="312"/>
      <c r="Q2530" s="47"/>
      <c r="R2530" s="136" t="s">
        <v>1898</v>
      </c>
      <c r="S2530" s="25" t="s">
        <v>2218</v>
      </c>
      <c r="T2530" s="155">
        <v>6525</v>
      </c>
      <c r="U2530" s="155">
        <v>0</v>
      </c>
    </row>
    <row r="2531" spans="2:21" x14ac:dyDescent="0.3">
      <c r="B2531" s="47"/>
      <c r="C2531" s="24"/>
      <c r="D2531" s="312"/>
      <c r="E2531" s="312"/>
      <c r="G2531" s="47"/>
      <c r="H2531" s="24"/>
      <c r="I2531" s="312"/>
      <c r="J2531" s="312"/>
      <c r="L2531" s="47"/>
      <c r="M2531" s="24"/>
      <c r="N2531" s="312"/>
      <c r="O2531" s="312"/>
      <c r="Q2531" s="47"/>
      <c r="R2531" s="136" t="s">
        <v>2199</v>
      </c>
      <c r="S2531" s="25" t="s">
        <v>2200</v>
      </c>
      <c r="T2531" s="155">
        <v>6525</v>
      </c>
      <c r="U2531" s="155">
        <v>0</v>
      </c>
    </row>
    <row r="2532" spans="2:21" x14ac:dyDescent="0.3">
      <c r="B2532" s="47"/>
      <c r="C2532" s="24"/>
      <c r="D2532" s="312"/>
      <c r="E2532" s="312"/>
      <c r="G2532" s="47"/>
      <c r="H2532" s="24"/>
      <c r="I2532" s="312"/>
      <c r="J2532" s="312"/>
      <c r="L2532" s="47"/>
      <c r="M2532" s="24"/>
      <c r="N2532" s="312"/>
      <c r="O2532" s="312"/>
      <c r="Q2532" s="47"/>
      <c r="R2532" s="136" t="s">
        <v>3313</v>
      </c>
      <c r="S2532" s="25" t="s">
        <v>2211</v>
      </c>
      <c r="T2532" s="155">
        <v>6525</v>
      </c>
      <c r="U2532" s="155">
        <v>0</v>
      </c>
    </row>
    <row r="2533" spans="2:21" x14ac:dyDescent="0.3">
      <c r="B2533" s="47"/>
      <c r="C2533" s="24"/>
      <c r="D2533" s="312"/>
      <c r="E2533" s="312"/>
      <c r="G2533" s="47"/>
      <c r="H2533" s="24"/>
      <c r="I2533" s="312"/>
      <c r="J2533" s="312"/>
      <c r="L2533" s="47"/>
      <c r="M2533" s="24"/>
      <c r="N2533" s="312"/>
      <c r="O2533" s="312"/>
      <c r="Q2533" s="47"/>
      <c r="R2533" s="136" t="s">
        <v>2209</v>
      </c>
      <c r="S2533" s="25" t="s">
        <v>2210</v>
      </c>
      <c r="T2533" s="155">
        <v>1740</v>
      </c>
      <c r="U2533" s="155">
        <v>0</v>
      </c>
    </row>
    <row r="2534" spans="2:21" x14ac:dyDescent="0.3">
      <c r="B2534" s="47"/>
      <c r="C2534" s="24"/>
      <c r="D2534" s="312"/>
      <c r="E2534" s="312"/>
      <c r="G2534" s="47"/>
      <c r="H2534" s="24"/>
      <c r="I2534" s="312"/>
      <c r="J2534" s="312"/>
      <c r="L2534" s="47"/>
      <c r="M2534" s="24"/>
      <c r="N2534" s="312"/>
      <c r="O2534" s="312"/>
      <c r="Q2534" s="47"/>
      <c r="R2534" s="136" t="s">
        <v>2168</v>
      </c>
      <c r="S2534" s="25" t="s">
        <v>2169</v>
      </c>
      <c r="T2534" s="155">
        <v>1900</v>
      </c>
      <c r="U2534" s="155">
        <v>0</v>
      </c>
    </row>
    <row r="2535" spans="2:21" x14ac:dyDescent="0.3">
      <c r="B2535" s="47"/>
      <c r="C2535" s="24"/>
      <c r="D2535" s="312"/>
      <c r="E2535" s="312"/>
      <c r="G2535" s="47"/>
      <c r="H2535" s="24"/>
      <c r="I2535" s="312"/>
      <c r="J2535" s="312"/>
      <c r="L2535" s="47"/>
      <c r="M2535" s="24"/>
      <c r="N2535" s="312"/>
      <c r="O2535" s="312"/>
      <c r="Q2535" s="47"/>
      <c r="R2535" s="136" t="s">
        <v>2223</v>
      </c>
      <c r="S2535" s="25" t="s">
        <v>2224</v>
      </c>
      <c r="T2535" s="155">
        <v>1250</v>
      </c>
      <c r="U2535" s="155">
        <v>0</v>
      </c>
    </row>
    <row r="2536" spans="2:21" x14ac:dyDescent="0.3">
      <c r="B2536" s="47"/>
      <c r="C2536" s="24"/>
      <c r="D2536" s="312"/>
      <c r="E2536" s="312"/>
      <c r="G2536" s="47"/>
      <c r="H2536" s="24"/>
      <c r="I2536" s="312"/>
      <c r="J2536" s="312"/>
      <c r="L2536" s="47"/>
      <c r="M2536" s="24"/>
      <c r="N2536" s="312"/>
      <c r="O2536" s="312"/>
      <c r="Q2536" s="47"/>
      <c r="R2536" s="136" t="s">
        <v>2219</v>
      </c>
      <c r="S2536" s="25" t="s">
        <v>2220</v>
      </c>
      <c r="T2536" s="155">
        <v>2360</v>
      </c>
      <c r="U2536" s="155">
        <v>0</v>
      </c>
    </row>
    <row r="2537" spans="2:21" x14ac:dyDescent="0.3">
      <c r="B2537" s="47"/>
      <c r="C2537" s="24"/>
      <c r="D2537" s="312"/>
      <c r="E2537" s="312"/>
      <c r="G2537" s="47"/>
      <c r="H2537" s="24"/>
      <c r="I2537" s="312"/>
      <c r="J2537" s="312"/>
      <c r="L2537" s="47"/>
      <c r="M2537" s="24"/>
      <c r="N2537" s="312"/>
      <c r="O2537" s="312"/>
      <c r="Q2537" s="47"/>
      <c r="R2537" s="136" t="s">
        <v>3291</v>
      </c>
      <c r="S2537" s="25" t="s">
        <v>2171</v>
      </c>
      <c r="T2537" s="155">
        <v>6525</v>
      </c>
      <c r="U2537" s="155">
        <v>0</v>
      </c>
    </row>
    <row r="2538" spans="2:21" x14ac:dyDescent="0.3">
      <c r="B2538" s="47"/>
      <c r="C2538" s="24"/>
      <c r="D2538" s="312"/>
      <c r="E2538" s="312"/>
      <c r="G2538" s="47"/>
      <c r="H2538" s="24"/>
      <c r="I2538" s="312"/>
      <c r="J2538" s="312"/>
      <c r="L2538" s="47"/>
      <c r="M2538" s="24"/>
      <c r="N2538" s="312"/>
      <c r="O2538" s="312"/>
      <c r="Q2538" s="47"/>
      <c r="R2538" s="136" t="s">
        <v>2226</v>
      </c>
      <c r="S2538" s="25" t="s">
        <v>2227</v>
      </c>
      <c r="T2538" s="155">
        <v>2200</v>
      </c>
      <c r="U2538" s="155">
        <v>0</v>
      </c>
    </row>
    <row r="2539" spans="2:21" x14ac:dyDescent="0.3">
      <c r="B2539" s="47"/>
      <c r="C2539" s="24"/>
      <c r="D2539" s="312"/>
      <c r="E2539" s="312"/>
      <c r="G2539" s="47"/>
      <c r="H2539" s="24"/>
      <c r="I2539" s="312"/>
      <c r="J2539" s="312"/>
      <c r="L2539" s="47"/>
      <c r="M2539" s="24"/>
      <c r="N2539" s="312"/>
      <c r="O2539" s="312"/>
      <c r="Q2539" s="47"/>
      <c r="R2539" s="136" t="s">
        <v>2221</v>
      </c>
      <c r="S2539" s="25" t="s">
        <v>2222</v>
      </c>
      <c r="T2539" s="155">
        <v>3250</v>
      </c>
      <c r="U2539" s="155">
        <v>0</v>
      </c>
    </row>
    <row r="2540" spans="2:21" x14ac:dyDescent="0.3">
      <c r="B2540" s="47"/>
      <c r="C2540" s="24"/>
      <c r="D2540" s="312"/>
      <c r="E2540" s="312"/>
      <c r="G2540" s="47"/>
      <c r="H2540" s="24"/>
      <c r="I2540" s="312"/>
      <c r="J2540" s="312"/>
      <c r="L2540" s="47"/>
      <c r="M2540" s="24"/>
      <c r="N2540" s="312"/>
      <c r="O2540" s="312"/>
      <c r="Q2540" s="47"/>
      <c r="R2540" s="136" t="s">
        <v>2201</v>
      </c>
      <c r="S2540" s="25" t="s">
        <v>2202</v>
      </c>
      <c r="T2540" s="155">
        <v>6525</v>
      </c>
      <c r="U2540" s="155">
        <v>0</v>
      </c>
    </row>
    <row r="2541" spans="2:21" x14ac:dyDescent="0.3">
      <c r="B2541" s="47"/>
      <c r="C2541" s="24"/>
      <c r="D2541" s="312"/>
      <c r="E2541" s="312"/>
      <c r="G2541" s="47"/>
      <c r="H2541" s="24"/>
      <c r="I2541" s="312"/>
      <c r="J2541" s="312"/>
      <c r="L2541" s="47"/>
      <c r="M2541" s="24"/>
      <c r="N2541" s="312"/>
      <c r="O2541" s="312"/>
      <c r="Q2541" s="47"/>
      <c r="R2541" s="136" t="s">
        <v>1895</v>
      </c>
      <c r="S2541" s="25" t="s">
        <v>2174</v>
      </c>
      <c r="T2541" s="155">
        <v>6525</v>
      </c>
      <c r="U2541" s="155">
        <v>0</v>
      </c>
    </row>
    <row r="2542" spans="2:21" x14ac:dyDescent="0.3">
      <c r="B2542" s="47"/>
      <c r="C2542" s="24"/>
      <c r="D2542" s="312"/>
      <c r="E2542" s="312"/>
      <c r="G2542" s="47"/>
      <c r="H2542" s="24"/>
      <c r="I2542" s="312"/>
      <c r="J2542" s="312"/>
      <c r="L2542" s="47"/>
      <c r="M2542" s="24"/>
      <c r="N2542" s="312"/>
      <c r="O2542" s="312"/>
      <c r="Q2542" s="47"/>
      <c r="R2542" s="136" t="s">
        <v>2192</v>
      </c>
      <c r="S2542" s="25" t="s">
        <v>2191</v>
      </c>
      <c r="T2542" s="155">
        <v>830</v>
      </c>
      <c r="U2542" s="155">
        <v>0</v>
      </c>
    </row>
    <row r="2543" spans="2:21" x14ac:dyDescent="0.3">
      <c r="B2543" s="47"/>
      <c r="C2543" s="24"/>
      <c r="D2543" s="312"/>
      <c r="E2543" s="312"/>
      <c r="G2543" s="47"/>
      <c r="H2543" s="24"/>
      <c r="I2543" s="312"/>
      <c r="J2543" s="312"/>
      <c r="L2543" s="47"/>
      <c r="M2543" s="24"/>
      <c r="N2543" s="312"/>
      <c r="O2543" s="312"/>
      <c r="Q2543" s="47"/>
      <c r="R2543" s="136" t="s">
        <v>1896</v>
      </c>
      <c r="S2543" s="25" t="s">
        <v>2193</v>
      </c>
      <c r="T2543" s="155">
        <v>2030</v>
      </c>
      <c r="U2543" s="155">
        <v>0</v>
      </c>
    </row>
    <row r="2544" spans="2:21" x14ac:dyDescent="0.3">
      <c r="B2544" s="47"/>
      <c r="C2544" s="24"/>
      <c r="D2544" s="312"/>
      <c r="E2544" s="312"/>
      <c r="G2544" s="47"/>
      <c r="H2544" s="24"/>
      <c r="I2544" s="312"/>
      <c r="J2544" s="312"/>
      <c r="L2544" s="47"/>
      <c r="M2544" s="24"/>
      <c r="N2544" s="312"/>
      <c r="O2544" s="312"/>
      <c r="Q2544" s="47"/>
      <c r="R2544" s="136" t="s">
        <v>2343</v>
      </c>
      <c r="S2544" s="25" t="s">
        <v>2194</v>
      </c>
      <c r="T2544" s="155">
        <v>93380</v>
      </c>
      <c r="U2544" s="155">
        <v>0</v>
      </c>
    </row>
    <row r="2545" spans="2:22" x14ac:dyDescent="0.3">
      <c r="B2545" s="47"/>
      <c r="C2545" s="24"/>
      <c r="D2545" s="312"/>
      <c r="E2545" s="312"/>
      <c r="G2545" s="47"/>
      <c r="H2545" s="24"/>
      <c r="I2545" s="312"/>
      <c r="J2545" s="312"/>
      <c r="L2545" s="47"/>
      <c r="M2545" s="24"/>
      <c r="N2545" s="312"/>
      <c r="O2545" s="312"/>
      <c r="Q2545" s="47"/>
      <c r="R2545" s="136" t="s">
        <v>2216</v>
      </c>
      <c r="S2545" s="25" t="s">
        <v>2217</v>
      </c>
      <c r="T2545" s="155">
        <v>40020</v>
      </c>
      <c r="U2545" s="155">
        <v>0</v>
      </c>
    </row>
    <row r="2546" spans="2:22" x14ac:dyDescent="0.3">
      <c r="B2546" s="47"/>
      <c r="C2546" s="24"/>
      <c r="D2546" s="312"/>
      <c r="E2546" s="312"/>
      <c r="G2546" s="47"/>
      <c r="H2546" s="24"/>
      <c r="I2546" s="312"/>
      <c r="J2546" s="312"/>
      <c r="L2546" s="47"/>
      <c r="M2546" s="24"/>
      <c r="N2546" s="312"/>
      <c r="O2546" s="312"/>
      <c r="Q2546" s="47"/>
      <c r="R2546" s="136" t="s">
        <v>2342</v>
      </c>
      <c r="S2546" s="25" t="s">
        <v>2188</v>
      </c>
      <c r="T2546" s="155">
        <v>1400</v>
      </c>
      <c r="U2546" s="155">
        <v>0</v>
      </c>
    </row>
    <row r="2547" spans="2:22" x14ac:dyDescent="0.3">
      <c r="B2547" s="47"/>
      <c r="C2547" s="24"/>
      <c r="D2547" s="312"/>
      <c r="E2547" s="312"/>
      <c r="G2547" s="47"/>
      <c r="H2547" s="24"/>
      <c r="I2547" s="312"/>
      <c r="J2547" s="312"/>
      <c r="L2547" s="47"/>
      <c r="M2547" s="24"/>
      <c r="N2547" s="312"/>
      <c r="O2547" s="312"/>
      <c r="Q2547" s="47"/>
      <c r="R2547" s="136" t="s">
        <v>2177</v>
      </c>
      <c r="S2547" s="25" t="s">
        <v>2341</v>
      </c>
      <c r="T2547" s="155">
        <v>6525</v>
      </c>
      <c r="U2547" s="155">
        <v>0</v>
      </c>
    </row>
    <row r="2548" spans="2:22" x14ac:dyDescent="0.3">
      <c r="B2548" s="47"/>
      <c r="C2548" s="24"/>
      <c r="D2548" s="312"/>
      <c r="E2548" s="312"/>
      <c r="G2548" s="47"/>
      <c r="H2548" s="24"/>
      <c r="I2548" s="312"/>
      <c r="J2548" s="312"/>
      <c r="L2548" s="47"/>
      <c r="M2548" s="24"/>
      <c r="N2548" s="312"/>
      <c r="O2548" s="312"/>
      <c r="Q2548" s="47"/>
      <c r="R2548" s="136" t="s">
        <v>2190</v>
      </c>
      <c r="S2548" s="25" t="s">
        <v>2189</v>
      </c>
      <c r="T2548" s="155">
        <v>2749</v>
      </c>
      <c r="U2548" s="155">
        <v>0</v>
      </c>
    </row>
    <row r="2549" spans="2:22" x14ac:dyDescent="0.3">
      <c r="B2549" s="47"/>
      <c r="C2549" s="24"/>
      <c r="D2549" s="312"/>
      <c r="E2549" s="312"/>
      <c r="G2549" s="47"/>
      <c r="H2549" s="24"/>
      <c r="I2549" s="312"/>
      <c r="J2549" s="312"/>
      <c r="L2549" s="47"/>
      <c r="M2549" s="24"/>
      <c r="N2549" s="312"/>
      <c r="O2549" s="312"/>
      <c r="Q2549" s="47"/>
      <c r="R2549" s="136" t="s">
        <v>2232</v>
      </c>
      <c r="S2549" s="25" t="s">
        <v>1988</v>
      </c>
      <c r="T2549" s="155">
        <v>1400</v>
      </c>
      <c r="U2549" s="155">
        <v>0</v>
      </c>
    </row>
    <row r="2550" spans="2:22" x14ac:dyDescent="0.3">
      <c r="B2550" s="47"/>
      <c r="C2550" s="24"/>
      <c r="D2550" s="312"/>
      <c r="E2550" s="312"/>
      <c r="G2550" s="47"/>
      <c r="H2550" s="24"/>
      <c r="I2550" s="312"/>
      <c r="J2550" s="312"/>
      <c r="L2550" s="47"/>
      <c r="M2550" s="24"/>
      <c r="N2550" s="312"/>
      <c r="O2550" s="312"/>
      <c r="Q2550" s="47"/>
      <c r="R2550" s="136" t="s">
        <v>1931</v>
      </c>
      <c r="S2550" s="25" t="s">
        <v>1932</v>
      </c>
      <c r="T2550" s="155">
        <v>6525</v>
      </c>
      <c r="U2550" s="155">
        <v>0</v>
      </c>
    </row>
    <row r="2551" spans="2:22" x14ac:dyDescent="0.3">
      <c r="B2551" s="47"/>
      <c r="C2551" s="24"/>
      <c r="D2551" s="312"/>
      <c r="E2551" s="312"/>
      <c r="G2551" s="47"/>
      <c r="H2551" s="24"/>
      <c r="I2551" s="312"/>
      <c r="J2551" s="312"/>
      <c r="L2551" s="47"/>
      <c r="M2551" s="24"/>
      <c r="N2551" s="312"/>
      <c r="O2551" s="312"/>
      <c r="Q2551" s="47"/>
      <c r="R2551" s="136" t="s">
        <v>1934</v>
      </c>
      <c r="S2551" s="25" t="s">
        <v>2196</v>
      </c>
      <c r="T2551" s="155">
        <v>1800</v>
      </c>
      <c r="U2551" s="155">
        <v>0</v>
      </c>
    </row>
    <row r="2552" spans="2:22" x14ac:dyDescent="0.3">
      <c r="B2552" s="47"/>
      <c r="C2552" s="24"/>
      <c r="D2552" s="312"/>
      <c r="E2552" s="312"/>
      <c r="G2552" s="47"/>
      <c r="H2552" s="24"/>
      <c r="I2552" s="312"/>
      <c r="J2552" s="312"/>
      <c r="L2552" s="47"/>
      <c r="M2552" s="24"/>
      <c r="N2552" s="312"/>
      <c r="O2552" s="312"/>
      <c r="Q2552" s="47"/>
      <c r="R2552" s="136" t="s">
        <v>2342</v>
      </c>
      <c r="S2552" s="25" t="s">
        <v>2188</v>
      </c>
      <c r="T2552" s="155">
        <v>590</v>
      </c>
      <c r="U2552" s="155">
        <v>0</v>
      </c>
    </row>
    <row r="2553" spans="2:22" x14ac:dyDescent="0.3">
      <c r="B2553" s="47"/>
      <c r="C2553" s="24"/>
      <c r="D2553" s="312"/>
      <c r="E2553" s="312"/>
      <c r="G2553" s="47"/>
      <c r="H2553" s="24"/>
      <c r="I2553" s="312"/>
      <c r="J2553" s="312"/>
      <c r="L2553" s="47"/>
      <c r="M2553" s="24"/>
      <c r="N2553" s="312"/>
      <c r="O2553" s="312"/>
      <c r="Q2553" s="241">
        <v>80060006</v>
      </c>
      <c r="R2553" s="242"/>
      <c r="S2553" s="246" t="s">
        <v>1100</v>
      </c>
      <c r="T2553" s="240">
        <v>0</v>
      </c>
      <c r="U2553" s="240">
        <v>0</v>
      </c>
    </row>
    <row r="2554" spans="2:22" x14ac:dyDescent="0.3">
      <c r="B2554" s="47"/>
      <c r="C2554" s="24"/>
      <c r="D2554" s="312"/>
      <c r="E2554" s="312"/>
      <c r="G2554" s="47"/>
      <c r="H2554" s="24"/>
      <c r="I2554" s="312"/>
      <c r="J2554" s="312"/>
      <c r="L2554" s="47"/>
      <c r="M2554" s="24"/>
      <c r="N2554" s="312"/>
      <c r="O2554" s="312"/>
      <c r="Q2554" s="241">
        <v>80060007</v>
      </c>
      <c r="R2554" s="242"/>
      <c r="S2554" s="246" t="s">
        <v>1101</v>
      </c>
      <c r="T2554" s="239">
        <f>SUM(T2555:T2556)-SUM(U2555:U2556)</f>
        <v>438900</v>
      </c>
      <c r="U2554" s="240">
        <v>0</v>
      </c>
    </row>
    <row r="2555" spans="2:22" x14ac:dyDescent="0.3">
      <c r="B2555" s="47"/>
      <c r="C2555" s="24"/>
      <c r="D2555" s="312"/>
      <c r="E2555" s="312"/>
      <c r="G2555" s="47"/>
      <c r="H2555" s="24"/>
      <c r="I2555" s="312"/>
      <c r="J2555" s="312"/>
      <c r="L2555" s="47"/>
      <c r="M2555" s="24"/>
      <c r="N2555" s="312"/>
      <c r="O2555" s="312"/>
      <c r="Q2555" s="47"/>
      <c r="R2555" s="136" t="s">
        <v>2138</v>
      </c>
      <c r="S2555" s="25" t="s">
        <v>7</v>
      </c>
      <c r="T2555" s="155">
        <v>362500</v>
      </c>
      <c r="U2555" s="155">
        <v>0</v>
      </c>
    </row>
    <row r="2556" spans="2:22" x14ac:dyDescent="0.3">
      <c r="B2556" s="47"/>
      <c r="C2556" s="24"/>
      <c r="D2556" s="312"/>
      <c r="E2556" s="312"/>
      <c r="G2556" s="47"/>
      <c r="H2556" s="24"/>
      <c r="I2556" s="312"/>
      <c r="J2556" s="312"/>
      <c r="L2556" s="47"/>
      <c r="M2556" s="24"/>
      <c r="N2556" s="312"/>
      <c r="O2556" s="312"/>
      <c r="Q2556" s="47"/>
      <c r="R2556" s="136" t="s">
        <v>1180</v>
      </c>
      <c r="S2556" s="25" t="s">
        <v>2149</v>
      </c>
      <c r="T2556" s="155">
        <v>76400</v>
      </c>
      <c r="U2556" s="155">
        <v>0</v>
      </c>
    </row>
    <row r="2557" spans="2:22" x14ac:dyDescent="0.3">
      <c r="B2557" s="47"/>
      <c r="C2557" s="24"/>
      <c r="D2557" s="312"/>
      <c r="E2557" s="312"/>
      <c r="G2557" s="47"/>
      <c r="H2557" s="24"/>
      <c r="I2557" s="312"/>
      <c r="J2557" s="312"/>
      <c r="L2557" s="47"/>
      <c r="M2557" s="24"/>
      <c r="N2557" s="312"/>
      <c r="O2557" s="312"/>
      <c r="Q2557" s="241">
        <v>80060008</v>
      </c>
      <c r="R2557" s="242"/>
      <c r="S2557" s="246" t="s">
        <v>1102</v>
      </c>
      <c r="T2557" s="240">
        <v>0</v>
      </c>
      <c r="U2557" s="240">
        <v>0</v>
      </c>
    </row>
    <row r="2558" spans="2:22" x14ac:dyDescent="0.3">
      <c r="B2558" s="47"/>
      <c r="C2558" s="24"/>
      <c r="D2558" s="312"/>
      <c r="E2558" s="312"/>
      <c r="G2558" s="47"/>
      <c r="H2558" s="24"/>
      <c r="I2558" s="312"/>
      <c r="J2558" s="312"/>
      <c r="L2558" s="47"/>
      <c r="M2558" s="24"/>
      <c r="N2558" s="312"/>
      <c r="O2558" s="312"/>
      <c r="Q2558" s="47"/>
      <c r="R2558" s="136"/>
      <c r="S2558" s="24"/>
      <c r="T2558" s="155"/>
      <c r="U2558" s="155"/>
      <c r="V2558" s="114"/>
    </row>
    <row r="2559" spans="2:22" s="338" customFormat="1" x14ac:dyDescent="0.3">
      <c r="B2559" s="335"/>
      <c r="C2559" s="336"/>
      <c r="D2559" s="337"/>
      <c r="E2559" s="337"/>
      <c r="G2559" s="335"/>
      <c r="H2559" s="336"/>
      <c r="I2559" s="337"/>
      <c r="J2559" s="337"/>
      <c r="K2559" s="338">
        <v>8007</v>
      </c>
      <c r="L2559" s="339">
        <v>8007</v>
      </c>
      <c r="M2559" s="341" t="s">
        <v>911</v>
      </c>
      <c r="N2559" s="343">
        <f>T2559+T2562+T2564</f>
        <v>1097879</v>
      </c>
      <c r="O2559" s="343">
        <v>0</v>
      </c>
      <c r="Q2559" s="339">
        <v>80070001</v>
      </c>
      <c r="R2559" s="340"/>
      <c r="S2559" s="345" t="s">
        <v>2073</v>
      </c>
      <c r="T2559" s="344">
        <f>SUM(T2560:T2561)-SUM(U2560:U2561)</f>
        <v>1022504</v>
      </c>
      <c r="U2559" s="342">
        <v>0</v>
      </c>
      <c r="V2559" s="346"/>
    </row>
    <row r="2560" spans="2:22" x14ac:dyDescent="0.3">
      <c r="B2560" s="47"/>
      <c r="C2560" s="24"/>
      <c r="D2560" s="312"/>
      <c r="E2560" s="312"/>
      <c r="G2560" s="47"/>
      <c r="H2560" s="24"/>
      <c r="I2560" s="312"/>
      <c r="J2560" s="312"/>
      <c r="L2560" s="47"/>
      <c r="M2560" s="24"/>
      <c r="N2560" s="312"/>
      <c r="O2560" s="312"/>
      <c r="Q2560" s="47"/>
      <c r="R2560" s="136" t="s">
        <v>2154</v>
      </c>
      <c r="S2560" s="25" t="s">
        <v>2155</v>
      </c>
      <c r="T2560" s="155">
        <v>113529</v>
      </c>
      <c r="U2560" s="155">
        <v>0</v>
      </c>
      <c r="V2560" s="113"/>
    </row>
    <row r="2561" spans="2:22" x14ac:dyDescent="0.3">
      <c r="B2561" s="47"/>
      <c r="C2561" s="24"/>
      <c r="D2561" s="312"/>
      <c r="E2561" s="312"/>
      <c r="G2561" s="47"/>
      <c r="H2561" s="24"/>
      <c r="I2561" s="312"/>
      <c r="J2561" s="312"/>
      <c r="L2561" s="47"/>
      <c r="M2561" s="24"/>
      <c r="N2561" s="312"/>
      <c r="O2561" s="312"/>
      <c r="Q2561" s="47"/>
      <c r="R2561" s="136" t="s">
        <v>2156</v>
      </c>
      <c r="S2561" s="25" t="s">
        <v>2157</v>
      </c>
      <c r="T2561" s="155">
        <v>908975</v>
      </c>
      <c r="U2561" s="155">
        <v>0</v>
      </c>
      <c r="V2561" s="113"/>
    </row>
    <row r="2562" spans="2:22" s="338" customFormat="1" x14ac:dyDescent="0.3">
      <c r="B2562" s="335"/>
      <c r="C2562" s="336"/>
      <c r="D2562" s="337"/>
      <c r="E2562" s="337"/>
      <c r="G2562" s="335"/>
      <c r="H2562" s="336"/>
      <c r="I2562" s="337"/>
      <c r="J2562" s="337"/>
      <c r="L2562" s="335"/>
      <c r="M2562" s="336"/>
      <c r="N2562" s="337"/>
      <c r="O2562" s="337"/>
      <c r="Q2562" s="339">
        <v>80070002</v>
      </c>
      <c r="R2562" s="340"/>
      <c r="S2562" s="345" t="s">
        <v>2074</v>
      </c>
      <c r="T2562" s="344">
        <f>SUM(T2563)-SUM(U2563)</f>
        <v>75375</v>
      </c>
      <c r="U2562" s="342">
        <v>0</v>
      </c>
      <c r="V2562" s="346"/>
    </row>
    <row r="2563" spans="2:22" x14ac:dyDescent="0.3">
      <c r="B2563" s="47"/>
      <c r="C2563" s="24"/>
      <c r="D2563" s="312"/>
      <c r="E2563" s="312"/>
      <c r="G2563" s="47"/>
      <c r="H2563" s="24"/>
      <c r="I2563" s="312"/>
      <c r="J2563" s="312"/>
      <c r="L2563" s="47"/>
      <c r="M2563" s="24"/>
      <c r="N2563" s="312"/>
      <c r="O2563" s="312"/>
      <c r="Q2563" s="47"/>
      <c r="R2563" s="136" t="s">
        <v>2156</v>
      </c>
      <c r="S2563" s="25" t="s">
        <v>2157</v>
      </c>
      <c r="T2563" s="155">
        <v>75375</v>
      </c>
      <c r="U2563" s="155">
        <v>0</v>
      </c>
      <c r="V2563" s="113"/>
    </row>
    <row r="2564" spans="2:22" s="338" customFormat="1" x14ac:dyDescent="0.3">
      <c r="B2564" s="335"/>
      <c r="C2564" s="336"/>
      <c r="D2564" s="337"/>
      <c r="E2564" s="337"/>
      <c r="G2564" s="335"/>
      <c r="H2564" s="336"/>
      <c r="I2564" s="337"/>
      <c r="J2564" s="337"/>
      <c r="L2564" s="335"/>
      <c r="M2564" s="336"/>
      <c r="N2564" s="337"/>
      <c r="O2564" s="337"/>
      <c r="Q2564" s="339">
        <v>80070003</v>
      </c>
      <c r="R2564" s="340"/>
      <c r="S2564" s="345" t="s">
        <v>1103</v>
      </c>
      <c r="T2564" s="342">
        <v>0</v>
      </c>
      <c r="U2564" s="342">
        <v>0</v>
      </c>
    </row>
    <row r="2565" spans="2:22" x14ac:dyDescent="0.3">
      <c r="B2565" s="47"/>
      <c r="C2565" s="24"/>
      <c r="D2565" s="312"/>
      <c r="E2565" s="312"/>
      <c r="G2565" s="47"/>
      <c r="H2565" s="24"/>
      <c r="I2565" s="312"/>
      <c r="J2565" s="312"/>
      <c r="L2565" s="47"/>
      <c r="M2565" s="24"/>
      <c r="N2565" s="312"/>
      <c r="O2565" s="312"/>
      <c r="Q2565" s="47"/>
      <c r="R2565" s="136"/>
      <c r="S2565" s="24"/>
      <c r="T2565" s="155"/>
      <c r="U2565" s="155"/>
    </row>
    <row r="2566" spans="2:22" s="338" customFormat="1" x14ac:dyDescent="0.3">
      <c r="B2566" s="335"/>
      <c r="C2566" s="336"/>
      <c r="D2566" s="337"/>
      <c r="E2566" s="337"/>
      <c r="G2566" s="335"/>
      <c r="H2566" s="336"/>
      <c r="I2566" s="337"/>
      <c r="J2566" s="337"/>
      <c r="K2566" s="338">
        <v>8008</v>
      </c>
      <c r="L2566" s="339">
        <v>8008</v>
      </c>
      <c r="M2566" s="341" t="s">
        <v>912</v>
      </c>
      <c r="N2566" s="343">
        <f>T2566+T2575+T2584+T2592+T2632</f>
        <v>2330160</v>
      </c>
      <c r="O2566" s="343">
        <v>0</v>
      </c>
      <c r="Q2566" s="339">
        <v>80080001</v>
      </c>
      <c r="R2566" s="340"/>
      <c r="S2566" s="345" t="s">
        <v>2075</v>
      </c>
      <c r="T2566" s="344">
        <f>SUM(T2567:T2574)-SUM(U2567:U2574)</f>
        <v>673484</v>
      </c>
      <c r="U2566" s="342">
        <v>0</v>
      </c>
    </row>
    <row r="2567" spans="2:22" x14ac:dyDescent="0.3">
      <c r="B2567" s="47"/>
      <c r="C2567" s="24"/>
      <c r="D2567" s="312"/>
      <c r="E2567" s="312"/>
      <c r="G2567" s="47"/>
      <c r="H2567" s="24"/>
      <c r="I2567" s="312"/>
      <c r="J2567" s="312"/>
      <c r="L2567" s="47"/>
      <c r="M2567" s="24"/>
      <c r="N2567" s="312"/>
      <c r="O2567" s="312"/>
      <c r="Q2567" s="47"/>
      <c r="R2567" s="136" t="s">
        <v>1931</v>
      </c>
      <c r="S2567" s="25" t="s">
        <v>1932</v>
      </c>
      <c r="T2567" s="155">
        <v>86590</v>
      </c>
      <c r="U2567" s="155">
        <v>0</v>
      </c>
    </row>
    <row r="2568" spans="2:22" x14ac:dyDescent="0.3">
      <c r="B2568" s="47"/>
      <c r="C2568" s="24"/>
      <c r="D2568" s="312"/>
      <c r="E2568" s="312"/>
      <c r="G2568" s="47"/>
      <c r="H2568" s="24"/>
      <c r="I2568" s="312"/>
      <c r="J2568" s="312"/>
      <c r="L2568" s="47"/>
      <c r="M2568" s="24"/>
      <c r="N2568" s="312"/>
      <c r="O2568" s="312"/>
      <c r="Q2568" s="47"/>
      <c r="R2568" s="136" t="s">
        <v>2156</v>
      </c>
      <c r="S2568" s="25" t="s">
        <v>2157</v>
      </c>
      <c r="T2568" s="155">
        <v>70000</v>
      </c>
      <c r="U2568" s="155">
        <v>0</v>
      </c>
    </row>
    <row r="2569" spans="2:22" x14ac:dyDescent="0.3">
      <c r="B2569" s="47"/>
      <c r="C2569" s="24"/>
      <c r="D2569" s="312"/>
      <c r="E2569" s="312"/>
      <c r="G2569" s="47"/>
      <c r="H2569" s="24"/>
      <c r="I2569" s="312"/>
      <c r="J2569" s="312"/>
      <c r="L2569" s="47"/>
      <c r="M2569" s="24"/>
      <c r="N2569" s="312"/>
      <c r="O2569" s="312"/>
      <c r="Q2569" s="47"/>
      <c r="R2569" s="136" t="s">
        <v>2199</v>
      </c>
      <c r="S2569" s="25" t="s">
        <v>2200</v>
      </c>
      <c r="T2569" s="155">
        <v>83267</v>
      </c>
      <c r="U2569" s="155">
        <v>0</v>
      </c>
    </row>
    <row r="2570" spans="2:22" x14ac:dyDescent="0.3">
      <c r="B2570" s="47"/>
      <c r="C2570" s="24"/>
      <c r="D2570" s="312"/>
      <c r="E2570" s="312"/>
      <c r="G2570" s="47"/>
      <c r="H2570" s="24"/>
      <c r="I2570" s="312"/>
      <c r="J2570" s="312"/>
      <c r="L2570" s="47"/>
      <c r="M2570" s="24"/>
      <c r="N2570" s="312"/>
      <c r="O2570" s="312"/>
      <c r="Q2570" s="47"/>
      <c r="R2570" s="136" t="s">
        <v>2201</v>
      </c>
      <c r="S2570" s="25" t="s">
        <v>2202</v>
      </c>
      <c r="T2570" s="155">
        <v>83267</v>
      </c>
      <c r="U2570" s="155">
        <v>0</v>
      </c>
    </row>
    <row r="2571" spans="2:22" x14ac:dyDescent="0.3">
      <c r="B2571" s="47"/>
      <c r="C2571" s="24"/>
      <c r="D2571" s="312"/>
      <c r="E2571" s="312"/>
      <c r="G2571" s="47"/>
      <c r="H2571" s="24"/>
      <c r="I2571" s="312"/>
      <c r="J2571" s="312"/>
      <c r="L2571" s="47"/>
      <c r="M2571" s="24"/>
      <c r="N2571" s="312"/>
      <c r="O2571" s="312"/>
      <c r="Q2571" s="47"/>
      <c r="R2571" s="136" t="s">
        <v>2340</v>
      </c>
      <c r="S2571" s="25" t="s">
        <v>2159</v>
      </c>
      <c r="T2571" s="155">
        <v>86590</v>
      </c>
      <c r="U2571" s="155">
        <v>0</v>
      </c>
    </row>
    <row r="2572" spans="2:22" x14ac:dyDescent="0.3">
      <c r="B2572" s="47"/>
      <c r="C2572" s="24"/>
      <c r="D2572" s="312"/>
      <c r="E2572" s="312"/>
      <c r="G2572" s="47"/>
      <c r="H2572" s="24"/>
      <c r="I2572" s="312"/>
      <c r="J2572" s="312"/>
      <c r="L2572" s="47"/>
      <c r="M2572" s="24"/>
      <c r="N2572" s="312"/>
      <c r="O2572" s="312"/>
      <c r="Q2572" s="47"/>
      <c r="R2572" s="136" t="s">
        <v>1895</v>
      </c>
      <c r="S2572" s="25" t="s">
        <v>2174</v>
      </c>
      <c r="T2572" s="155">
        <v>90590</v>
      </c>
      <c r="U2572" s="155">
        <v>0</v>
      </c>
    </row>
    <row r="2573" spans="2:22" x14ac:dyDescent="0.3">
      <c r="B2573" s="47"/>
      <c r="C2573" s="24"/>
      <c r="D2573" s="312"/>
      <c r="E2573" s="312"/>
      <c r="G2573" s="47"/>
      <c r="H2573" s="24"/>
      <c r="I2573" s="312"/>
      <c r="J2573" s="312"/>
      <c r="L2573" s="47"/>
      <c r="M2573" s="24"/>
      <c r="N2573" s="312"/>
      <c r="O2573" s="312"/>
      <c r="Q2573" s="47"/>
      <c r="R2573" s="136" t="s">
        <v>2177</v>
      </c>
      <c r="S2573" s="25" t="s">
        <v>2341</v>
      </c>
      <c r="T2573" s="155">
        <v>86590</v>
      </c>
      <c r="U2573" s="155">
        <v>0</v>
      </c>
    </row>
    <row r="2574" spans="2:22" x14ac:dyDescent="0.3">
      <c r="B2574" s="47"/>
      <c r="C2574" s="24"/>
      <c r="D2574" s="312"/>
      <c r="E2574" s="312"/>
      <c r="G2574" s="47"/>
      <c r="H2574" s="24"/>
      <c r="I2574" s="312"/>
      <c r="J2574" s="312"/>
      <c r="L2574" s="47"/>
      <c r="M2574" s="24"/>
      <c r="N2574" s="312"/>
      <c r="O2574" s="312"/>
      <c r="Q2574" s="47"/>
      <c r="R2574" s="136" t="s">
        <v>3291</v>
      </c>
      <c r="S2574" s="25" t="s">
        <v>2171</v>
      </c>
      <c r="T2574" s="155">
        <v>86590</v>
      </c>
      <c r="U2574" s="155">
        <v>0</v>
      </c>
    </row>
    <row r="2575" spans="2:22" s="338" customFormat="1" x14ac:dyDescent="0.3">
      <c r="B2575" s="335"/>
      <c r="C2575" s="336"/>
      <c r="D2575" s="337"/>
      <c r="E2575" s="337"/>
      <c r="G2575" s="335"/>
      <c r="H2575" s="336"/>
      <c r="I2575" s="337"/>
      <c r="J2575" s="337"/>
      <c r="L2575" s="335"/>
      <c r="M2575" s="336"/>
      <c r="N2575" s="337"/>
      <c r="O2575" s="337"/>
      <c r="Q2575" s="339">
        <v>80080002</v>
      </c>
      <c r="R2575" s="340"/>
      <c r="S2575" s="345" t="s">
        <v>2076</v>
      </c>
      <c r="T2575" s="344">
        <f>SUM(T2576:T2583)-SUM(U2576:U2583)</f>
        <v>315384</v>
      </c>
      <c r="U2575" s="342">
        <v>0</v>
      </c>
    </row>
    <row r="2576" spans="2:22" x14ac:dyDescent="0.3">
      <c r="B2576" s="47"/>
      <c r="C2576" s="24"/>
      <c r="D2576" s="312"/>
      <c r="E2576" s="312"/>
      <c r="G2576" s="47"/>
      <c r="H2576" s="24"/>
      <c r="I2576" s="312"/>
      <c r="J2576" s="312"/>
      <c r="L2576" s="47"/>
      <c r="M2576" s="24"/>
      <c r="N2576" s="312"/>
      <c r="O2576" s="312"/>
      <c r="Q2576" s="47"/>
      <c r="R2576" s="136" t="s">
        <v>1931</v>
      </c>
      <c r="S2576" s="25" t="s">
        <v>1932</v>
      </c>
      <c r="T2576" s="155">
        <v>55259</v>
      </c>
      <c r="U2576" s="155">
        <v>0</v>
      </c>
    </row>
    <row r="2577" spans="2:21" x14ac:dyDescent="0.3">
      <c r="B2577" s="47"/>
      <c r="C2577" s="24"/>
      <c r="D2577" s="312"/>
      <c r="E2577" s="312"/>
      <c r="G2577" s="47"/>
      <c r="H2577" s="24"/>
      <c r="I2577" s="312"/>
      <c r="J2577" s="312"/>
      <c r="L2577" s="47"/>
      <c r="M2577" s="24"/>
      <c r="N2577" s="312"/>
      <c r="O2577" s="312"/>
      <c r="Q2577" s="47"/>
      <c r="R2577" s="136" t="s">
        <v>2156</v>
      </c>
      <c r="S2577" s="25" t="s">
        <v>2157</v>
      </c>
      <c r="T2577" s="155">
        <v>20150</v>
      </c>
      <c r="U2577" s="155">
        <v>0</v>
      </c>
    </row>
    <row r="2578" spans="2:21" x14ac:dyDescent="0.3">
      <c r="B2578" s="47"/>
      <c r="C2578" s="24"/>
      <c r="D2578" s="312"/>
      <c r="E2578" s="312"/>
      <c r="G2578" s="47"/>
      <c r="H2578" s="24"/>
      <c r="I2578" s="312"/>
      <c r="J2578" s="312"/>
      <c r="L2578" s="47"/>
      <c r="M2578" s="24"/>
      <c r="N2578" s="312"/>
      <c r="O2578" s="312"/>
      <c r="Q2578" s="47"/>
      <c r="R2578" s="136" t="s">
        <v>2199</v>
      </c>
      <c r="S2578" s="25" t="s">
        <v>2200</v>
      </c>
      <c r="T2578" s="155">
        <v>33524</v>
      </c>
      <c r="U2578" s="155">
        <v>0</v>
      </c>
    </row>
    <row r="2579" spans="2:21" x14ac:dyDescent="0.3">
      <c r="B2579" s="47"/>
      <c r="C2579" s="24"/>
      <c r="D2579" s="312"/>
      <c r="E2579" s="312"/>
      <c r="G2579" s="47"/>
      <c r="H2579" s="24"/>
      <c r="I2579" s="312"/>
      <c r="J2579" s="312"/>
      <c r="L2579" s="47"/>
      <c r="M2579" s="24"/>
      <c r="N2579" s="312"/>
      <c r="O2579" s="312"/>
      <c r="Q2579" s="47"/>
      <c r="R2579" s="136" t="s">
        <v>2201</v>
      </c>
      <c r="S2579" s="25" t="s">
        <v>2202</v>
      </c>
      <c r="T2579" s="155">
        <v>33524</v>
      </c>
      <c r="U2579" s="155">
        <v>0</v>
      </c>
    </row>
    <row r="2580" spans="2:21" x14ac:dyDescent="0.3">
      <c r="B2580" s="47"/>
      <c r="C2580" s="24"/>
      <c r="D2580" s="312"/>
      <c r="E2580" s="312"/>
      <c r="G2580" s="47"/>
      <c r="H2580" s="24"/>
      <c r="I2580" s="312"/>
      <c r="J2580" s="312"/>
      <c r="L2580" s="47"/>
      <c r="M2580" s="24"/>
      <c r="N2580" s="312"/>
      <c r="O2580" s="312"/>
      <c r="Q2580" s="47"/>
      <c r="R2580" s="136" t="s">
        <v>2340</v>
      </c>
      <c r="S2580" s="25" t="s">
        <v>2159</v>
      </c>
      <c r="T2580" s="155">
        <v>39223</v>
      </c>
      <c r="U2580" s="155">
        <v>0</v>
      </c>
    </row>
    <row r="2581" spans="2:21" x14ac:dyDescent="0.3">
      <c r="B2581" s="47"/>
      <c r="C2581" s="24"/>
      <c r="D2581" s="312"/>
      <c r="E2581" s="312"/>
      <c r="G2581" s="47"/>
      <c r="H2581" s="24"/>
      <c r="I2581" s="312"/>
      <c r="J2581" s="312"/>
      <c r="L2581" s="47"/>
      <c r="M2581" s="24"/>
      <c r="N2581" s="312"/>
      <c r="O2581" s="312"/>
      <c r="Q2581" s="47"/>
      <c r="R2581" s="136" t="s">
        <v>1895</v>
      </c>
      <c r="S2581" s="25" t="s">
        <v>2174</v>
      </c>
      <c r="T2581" s="155">
        <v>39222</v>
      </c>
      <c r="U2581" s="155">
        <v>0</v>
      </c>
    </row>
    <row r="2582" spans="2:21" x14ac:dyDescent="0.3">
      <c r="B2582" s="47"/>
      <c r="C2582" s="24"/>
      <c r="D2582" s="312"/>
      <c r="E2582" s="312"/>
      <c r="G2582" s="47"/>
      <c r="H2582" s="24"/>
      <c r="I2582" s="312"/>
      <c r="J2582" s="312"/>
      <c r="L2582" s="47"/>
      <c r="M2582" s="24"/>
      <c r="N2582" s="312"/>
      <c r="O2582" s="312"/>
      <c r="Q2582" s="47"/>
      <c r="R2582" s="136" t="s">
        <v>2177</v>
      </c>
      <c r="S2582" s="25" t="s">
        <v>2341</v>
      </c>
      <c r="T2582" s="155">
        <v>39223</v>
      </c>
      <c r="U2582" s="155">
        <v>0</v>
      </c>
    </row>
    <row r="2583" spans="2:21" x14ac:dyDescent="0.3">
      <c r="B2583" s="47"/>
      <c r="C2583" s="24"/>
      <c r="D2583" s="312"/>
      <c r="E2583" s="312"/>
      <c r="G2583" s="47"/>
      <c r="H2583" s="24"/>
      <c r="I2583" s="312"/>
      <c r="J2583" s="312"/>
      <c r="L2583" s="47"/>
      <c r="M2583" s="24"/>
      <c r="N2583" s="312"/>
      <c r="O2583" s="312"/>
      <c r="Q2583" s="47"/>
      <c r="R2583" s="136" t="s">
        <v>3291</v>
      </c>
      <c r="S2583" s="25" t="s">
        <v>2171</v>
      </c>
      <c r="T2583" s="155">
        <v>55259</v>
      </c>
      <c r="U2583" s="155">
        <v>0</v>
      </c>
    </row>
    <row r="2584" spans="2:21" s="338" customFormat="1" x14ac:dyDescent="0.3">
      <c r="B2584" s="335"/>
      <c r="C2584" s="336"/>
      <c r="D2584" s="337"/>
      <c r="E2584" s="337"/>
      <c r="G2584" s="335"/>
      <c r="H2584" s="336"/>
      <c r="I2584" s="337"/>
      <c r="J2584" s="337"/>
      <c r="L2584" s="335"/>
      <c r="M2584" s="336"/>
      <c r="N2584" s="337"/>
      <c r="O2584" s="337"/>
      <c r="Q2584" s="339">
        <v>80080003</v>
      </c>
      <c r="R2584" s="340"/>
      <c r="S2584" s="345" t="s">
        <v>2077</v>
      </c>
      <c r="T2584" s="344">
        <f>SUM(T2585:T2591)-SUM(U2585:U2591)</f>
        <v>54000</v>
      </c>
      <c r="U2584" s="342">
        <v>0</v>
      </c>
    </row>
    <row r="2585" spans="2:21" x14ac:dyDescent="0.3">
      <c r="B2585" s="47"/>
      <c r="C2585" s="24"/>
      <c r="D2585" s="312"/>
      <c r="E2585" s="312"/>
      <c r="G2585" s="47"/>
      <c r="H2585" s="24"/>
      <c r="I2585" s="312"/>
      <c r="J2585" s="312"/>
      <c r="L2585" s="47"/>
      <c r="M2585" s="24"/>
      <c r="N2585" s="312"/>
      <c r="O2585" s="312"/>
      <c r="Q2585" s="47"/>
      <c r="R2585" s="136" t="s">
        <v>1931</v>
      </c>
      <c r="S2585" s="25" t="s">
        <v>1932</v>
      </c>
      <c r="T2585" s="155">
        <v>9000</v>
      </c>
      <c r="U2585" s="155">
        <v>0</v>
      </c>
    </row>
    <row r="2586" spans="2:21" x14ac:dyDescent="0.3">
      <c r="B2586" s="47"/>
      <c r="C2586" s="24"/>
      <c r="D2586" s="312"/>
      <c r="E2586" s="312"/>
      <c r="G2586" s="47"/>
      <c r="H2586" s="24"/>
      <c r="I2586" s="312"/>
      <c r="J2586" s="312"/>
      <c r="L2586" s="47"/>
      <c r="M2586" s="24"/>
      <c r="N2586" s="312"/>
      <c r="O2586" s="312"/>
      <c r="Q2586" s="47"/>
      <c r="R2586" s="136" t="s">
        <v>2199</v>
      </c>
      <c r="S2586" s="25" t="s">
        <v>2200</v>
      </c>
      <c r="T2586" s="155">
        <v>4500</v>
      </c>
      <c r="U2586" s="155">
        <v>0</v>
      </c>
    </row>
    <row r="2587" spans="2:21" x14ac:dyDescent="0.3">
      <c r="B2587" s="47"/>
      <c r="C2587" s="24"/>
      <c r="D2587" s="312"/>
      <c r="E2587" s="312"/>
      <c r="G2587" s="47"/>
      <c r="H2587" s="24"/>
      <c r="I2587" s="312"/>
      <c r="J2587" s="312"/>
      <c r="L2587" s="47"/>
      <c r="M2587" s="24"/>
      <c r="N2587" s="312"/>
      <c r="O2587" s="312"/>
      <c r="Q2587" s="47"/>
      <c r="R2587" s="136" t="s">
        <v>2201</v>
      </c>
      <c r="S2587" s="25" t="s">
        <v>2202</v>
      </c>
      <c r="T2587" s="155">
        <v>4500</v>
      </c>
      <c r="U2587" s="155">
        <v>0</v>
      </c>
    </row>
    <row r="2588" spans="2:21" x14ac:dyDescent="0.3">
      <c r="B2588" s="47"/>
      <c r="C2588" s="24"/>
      <c r="D2588" s="312"/>
      <c r="E2588" s="312"/>
      <c r="G2588" s="47"/>
      <c r="H2588" s="24"/>
      <c r="I2588" s="312"/>
      <c r="J2588" s="312"/>
      <c r="L2588" s="47"/>
      <c r="M2588" s="24"/>
      <c r="N2588" s="312"/>
      <c r="O2588" s="312"/>
      <c r="Q2588" s="47"/>
      <c r="R2588" s="136" t="s">
        <v>2340</v>
      </c>
      <c r="S2588" s="25" t="s">
        <v>2159</v>
      </c>
      <c r="T2588" s="155">
        <v>9000</v>
      </c>
      <c r="U2588" s="155">
        <v>0</v>
      </c>
    </row>
    <row r="2589" spans="2:21" x14ac:dyDescent="0.3">
      <c r="B2589" s="47"/>
      <c r="C2589" s="24"/>
      <c r="D2589" s="312"/>
      <c r="E2589" s="312"/>
      <c r="G2589" s="47"/>
      <c r="H2589" s="24"/>
      <c r="I2589" s="312"/>
      <c r="J2589" s="312"/>
      <c r="L2589" s="47"/>
      <c r="M2589" s="24"/>
      <c r="N2589" s="312"/>
      <c r="O2589" s="312"/>
      <c r="Q2589" s="47"/>
      <c r="R2589" s="136" t="s">
        <v>1895</v>
      </c>
      <c r="S2589" s="25" t="s">
        <v>2174</v>
      </c>
      <c r="T2589" s="155">
        <v>9000</v>
      </c>
      <c r="U2589" s="155">
        <v>0</v>
      </c>
    </row>
    <row r="2590" spans="2:21" x14ac:dyDescent="0.3">
      <c r="B2590" s="47"/>
      <c r="C2590" s="24"/>
      <c r="D2590" s="312"/>
      <c r="E2590" s="312"/>
      <c r="G2590" s="47"/>
      <c r="H2590" s="24"/>
      <c r="I2590" s="312"/>
      <c r="J2590" s="312"/>
      <c r="L2590" s="47"/>
      <c r="M2590" s="24"/>
      <c r="N2590" s="312"/>
      <c r="O2590" s="312"/>
      <c r="Q2590" s="47"/>
      <c r="R2590" s="136" t="s">
        <v>2177</v>
      </c>
      <c r="S2590" s="25" t="s">
        <v>2341</v>
      </c>
      <c r="T2590" s="155">
        <v>9000</v>
      </c>
      <c r="U2590" s="155">
        <v>0</v>
      </c>
    </row>
    <row r="2591" spans="2:21" x14ac:dyDescent="0.3">
      <c r="B2591" s="47"/>
      <c r="C2591" s="24"/>
      <c r="D2591" s="312"/>
      <c r="E2591" s="312"/>
      <c r="G2591" s="47"/>
      <c r="H2591" s="24"/>
      <c r="I2591" s="312"/>
      <c r="J2591" s="312"/>
      <c r="L2591" s="47"/>
      <c r="M2591" s="24"/>
      <c r="N2591" s="312"/>
      <c r="O2591" s="312"/>
      <c r="Q2591" s="47"/>
      <c r="R2591" s="136" t="s">
        <v>3291</v>
      </c>
      <c r="S2591" s="25" t="s">
        <v>2171</v>
      </c>
      <c r="T2591" s="155">
        <v>9000</v>
      </c>
      <c r="U2591" s="155">
        <v>0</v>
      </c>
    </row>
    <row r="2592" spans="2:21" s="338" customFormat="1" x14ac:dyDescent="0.3">
      <c r="B2592" s="335"/>
      <c r="C2592" s="336"/>
      <c r="D2592" s="337"/>
      <c r="E2592" s="337"/>
      <c r="G2592" s="335"/>
      <c r="H2592" s="336"/>
      <c r="I2592" s="337"/>
      <c r="J2592" s="337"/>
      <c r="L2592" s="335"/>
      <c r="M2592" s="336"/>
      <c r="N2592" s="337"/>
      <c r="O2592" s="337"/>
      <c r="Q2592" s="339">
        <v>80080004</v>
      </c>
      <c r="R2592" s="340"/>
      <c r="S2592" s="345" t="s">
        <v>2078</v>
      </c>
      <c r="T2592" s="344">
        <f>SUM(T2593:T2631)-SUM(U2593:U2631)</f>
        <v>1287292</v>
      </c>
      <c r="U2592" s="342">
        <v>0</v>
      </c>
    </row>
    <row r="2593" spans="2:21" x14ac:dyDescent="0.3">
      <c r="B2593" s="47"/>
      <c r="C2593" s="24"/>
      <c r="D2593" s="312"/>
      <c r="E2593" s="312"/>
      <c r="G2593" s="47"/>
      <c r="H2593" s="24"/>
      <c r="I2593" s="312"/>
      <c r="J2593" s="312"/>
      <c r="L2593" s="47"/>
      <c r="M2593" s="24"/>
      <c r="N2593" s="312"/>
      <c r="O2593" s="312"/>
      <c r="Q2593" s="47"/>
      <c r="R2593" s="136" t="s">
        <v>1931</v>
      </c>
      <c r="S2593" s="25" t="s">
        <v>1932</v>
      </c>
      <c r="T2593" s="155">
        <v>12500</v>
      </c>
      <c r="U2593" s="155">
        <v>0</v>
      </c>
    </row>
    <row r="2594" spans="2:21" x14ac:dyDescent="0.3">
      <c r="B2594" s="47"/>
      <c r="C2594" s="24"/>
      <c r="D2594" s="312"/>
      <c r="E2594" s="312"/>
      <c r="G2594" s="47"/>
      <c r="H2594" s="24"/>
      <c r="I2594" s="312"/>
      <c r="J2594" s="312"/>
      <c r="L2594" s="47"/>
      <c r="M2594" s="24"/>
      <c r="N2594" s="312"/>
      <c r="O2594" s="312"/>
      <c r="Q2594" s="47"/>
      <c r="R2594" s="136" t="s">
        <v>1933</v>
      </c>
      <c r="S2594" s="25" t="s">
        <v>2195</v>
      </c>
      <c r="T2594" s="155">
        <v>10500</v>
      </c>
      <c r="U2594" s="155">
        <v>0</v>
      </c>
    </row>
    <row r="2595" spans="2:21" x14ac:dyDescent="0.3">
      <c r="B2595" s="47"/>
      <c r="C2595" s="24"/>
      <c r="D2595" s="312"/>
      <c r="E2595" s="312"/>
      <c r="G2595" s="47"/>
      <c r="H2595" s="24"/>
      <c r="I2595" s="312"/>
      <c r="J2595" s="312"/>
      <c r="L2595" s="47"/>
      <c r="M2595" s="24"/>
      <c r="N2595" s="312"/>
      <c r="O2595" s="312"/>
      <c r="Q2595" s="47"/>
      <c r="R2595" s="136" t="s">
        <v>1934</v>
      </c>
      <c r="S2595" s="25" t="s">
        <v>2196</v>
      </c>
      <c r="T2595" s="155">
        <v>1300</v>
      </c>
      <c r="U2595" s="155">
        <v>0</v>
      </c>
    </row>
    <row r="2596" spans="2:21" x14ac:dyDescent="0.3">
      <c r="B2596" s="47"/>
      <c r="C2596" s="24"/>
      <c r="D2596" s="312"/>
      <c r="E2596" s="312"/>
      <c r="G2596" s="47"/>
      <c r="H2596" s="24"/>
      <c r="I2596" s="312"/>
      <c r="J2596" s="312"/>
      <c r="L2596" s="47"/>
      <c r="M2596" s="24"/>
      <c r="N2596" s="312"/>
      <c r="O2596" s="312"/>
      <c r="Q2596" s="47"/>
      <c r="R2596" s="136" t="s">
        <v>1179</v>
      </c>
      <c r="S2596" s="25" t="s">
        <v>2148</v>
      </c>
      <c r="T2596" s="155">
        <v>105540</v>
      </c>
      <c r="U2596" s="155">
        <v>0</v>
      </c>
    </row>
    <row r="2597" spans="2:21" x14ac:dyDescent="0.3">
      <c r="B2597" s="47"/>
      <c r="C2597" s="24"/>
      <c r="D2597" s="312"/>
      <c r="E2597" s="312"/>
      <c r="G2597" s="47"/>
      <c r="H2597" s="24"/>
      <c r="I2597" s="312"/>
      <c r="J2597" s="312"/>
      <c r="L2597" s="47"/>
      <c r="M2597" s="24"/>
      <c r="N2597" s="312"/>
      <c r="O2597" s="312"/>
      <c r="Q2597" s="47"/>
      <c r="R2597" s="136" t="s">
        <v>2154</v>
      </c>
      <c r="S2597" s="25" t="s">
        <v>2155</v>
      </c>
      <c r="T2597" s="155">
        <v>4590</v>
      </c>
      <c r="U2597" s="155">
        <v>0</v>
      </c>
    </row>
    <row r="2598" spans="2:21" x14ac:dyDescent="0.3">
      <c r="B2598" s="47"/>
      <c r="C2598" s="24"/>
      <c r="D2598" s="312"/>
      <c r="E2598" s="312"/>
      <c r="G2598" s="47"/>
      <c r="H2598" s="24"/>
      <c r="I2598" s="312"/>
      <c r="J2598" s="312"/>
      <c r="L2598" s="47"/>
      <c r="M2598" s="24"/>
      <c r="N2598" s="312"/>
      <c r="O2598" s="312"/>
      <c r="Q2598" s="47"/>
      <c r="R2598" s="136" t="s">
        <v>2156</v>
      </c>
      <c r="S2598" s="25" t="s">
        <v>2157</v>
      </c>
      <c r="T2598" s="155">
        <v>461575</v>
      </c>
      <c r="U2598" s="155">
        <v>0</v>
      </c>
    </row>
    <row r="2599" spans="2:21" x14ac:dyDescent="0.3">
      <c r="B2599" s="47"/>
      <c r="C2599" s="24"/>
      <c r="D2599" s="312"/>
      <c r="E2599" s="312"/>
      <c r="G2599" s="47"/>
      <c r="H2599" s="24"/>
      <c r="I2599" s="312"/>
      <c r="J2599" s="312"/>
      <c r="L2599" s="47"/>
      <c r="M2599" s="24"/>
      <c r="N2599" s="312"/>
      <c r="O2599" s="312"/>
      <c r="Q2599" s="47"/>
      <c r="R2599" s="136" t="s">
        <v>2199</v>
      </c>
      <c r="S2599" s="25" t="s">
        <v>2200</v>
      </c>
      <c r="T2599" s="155">
        <v>36588</v>
      </c>
      <c r="U2599" s="155">
        <v>0</v>
      </c>
    </row>
    <row r="2600" spans="2:21" x14ac:dyDescent="0.3">
      <c r="B2600" s="47"/>
      <c r="C2600" s="24"/>
      <c r="D2600" s="312"/>
      <c r="E2600" s="312"/>
      <c r="G2600" s="47"/>
      <c r="H2600" s="24"/>
      <c r="I2600" s="312"/>
      <c r="J2600" s="312"/>
      <c r="L2600" s="47"/>
      <c r="M2600" s="24"/>
      <c r="N2600" s="312"/>
      <c r="O2600" s="312"/>
      <c r="Q2600" s="47"/>
      <c r="R2600" s="136" t="s">
        <v>2201</v>
      </c>
      <c r="S2600" s="25" t="s">
        <v>2202</v>
      </c>
      <c r="T2600" s="155">
        <v>21550</v>
      </c>
      <c r="U2600" s="155">
        <v>0</v>
      </c>
    </row>
    <row r="2601" spans="2:21" x14ac:dyDescent="0.3">
      <c r="B2601" s="47"/>
      <c r="C2601" s="24"/>
      <c r="D2601" s="312"/>
      <c r="E2601" s="312"/>
      <c r="G2601" s="47"/>
      <c r="H2601" s="24"/>
      <c r="I2601" s="312"/>
      <c r="J2601" s="312"/>
      <c r="L2601" s="47"/>
      <c r="M2601" s="24"/>
      <c r="N2601" s="312"/>
      <c r="O2601" s="312"/>
      <c r="Q2601" s="47"/>
      <c r="R2601" s="136" t="s">
        <v>2203</v>
      </c>
      <c r="S2601" s="25" t="s">
        <v>2204</v>
      </c>
      <c r="T2601" s="155">
        <v>3470</v>
      </c>
      <c r="U2601" s="155">
        <v>0</v>
      </c>
    </row>
    <row r="2602" spans="2:21" x14ac:dyDescent="0.3">
      <c r="B2602" s="47"/>
      <c r="C2602" s="24"/>
      <c r="D2602" s="312"/>
      <c r="E2602" s="312"/>
      <c r="G2602" s="47"/>
      <c r="H2602" s="24"/>
      <c r="I2602" s="312"/>
      <c r="J2602" s="312"/>
      <c r="L2602" s="47"/>
      <c r="M2602" s="24"/>
      <c r="N2602" s="312"/>
      <c r="O2602" s="312"/>
      <c r="Q2602" s="47"/>
      <c r="R2602" s="136" t="s">
        <v>2205</v>
      </c>
      <c r="S2602" s="25" t="s">
        <v>2206</v>
      </c>
      <c r="T2602" s="155">
        <v>43770</v>
      </c>
      <c r="U2602" s="155">
        <v>0</v>
      </c>
    </row>
    <row r="2603" spans="2:21" x14ac:dyDescent="0.3">
      <c r="B2603" s="47"/>
      <c r="C2603" s="24"/>
      <c r="D2603" s="312"/>
      <c r="E2603" s="312"/>
      <c r="G2603" s="47"/>
      <c r="H2603" s="24"/>
      <c r="I2603" s="312"/>
      <c r="J2603" s="312"/>
      <c r="L2603" s="47"/>
      <c r="M2603" s="24"/>
      <c r="N2603" s="312"/>
      <c r="O2603" s="312"/>
      <c r="Q2603" s="47"/>
      <c r="R2603" s="136" t="s">
        <v>2207</v>
      </c>
      <c r="S2603" s="25" t="s">
        <v>2208</v>
      </c>
      <c r="T2603" s="155">
        <v>49440</v>
      </c>
      <c r="U2603" s="155">
        <v>0</v>
      </c>
    </row>
    <row r="2604" spans="2:21" x14ac:dyDescent="0.3">
      <c r="B2604" s="47"/>
      <c r="C2604" s="24"/>
      <c r="D2604" s="312"/>
      <c r="E2604" s="312"/>
      <c r="G2604" s="47"/>
      <c r="H2604" s="24"/>
      <c r="I2604" s="312"/>
      <c r="J2604" s="312"/>
      <c r="L2604" s="47"/>
      <c r="M2604" s="24"/>
      <c r="N2604" s="312"/>
      <c r="O2604" s="312"/>
      <c r="Q2604" s="47"/>
      <c r="R2604" s="136" t="s">
        <v>2209</v>
      </c>
      <c r="S2604" s="25" t="s">
        <v>2210</v>
      </c>
      <c r="T2604" s="155">
        <v>39730</v>
      </c>
      <c r="U2604" s="155">
        <v>0</v>
      </c>
    </row>
    <row r="2605" spans="2:21" x14ac:dyDescent="0.3">
      <c r="B2605" s="47"/>
      <c r="C2605" s="24"/>
      <c r="D2605" s="312"/>
      <c r="E2605" s="312"/>
      <c r="G2605" s="47"/>
      <c r="H2605" s="24"/>
      <c r="I2605" s="312"/>
      <c r="J2605" s="312"/>
      <c r="L2605" s="47"/>
      <c r="M2605" s="24"/>
      <c r="N2605" s="312"/>
      <c r="O2605" s="312"/>
      <c r="Q2605" s="47"/>
      <c r="R2605" s="136" t="s">
        <v>2340</v>
      </c>
      <c r="S2605" s="25" t="s">
        <v>2159</v>
      </c>
      <c r="T2605" s="155">
        <v>32620</v>
      </c>
      <c r="U2605" s="155">
        <v>0</v>
      </c>
    </row>
    <row r="2606" spans="2:21" x14ac:dyDescent="0.3">
      <c r="B2606" s="47"/>
      <c r="C2606" s="24"/>
      <c r="D2606" s="312"/>
      <c r="E2606" s="312"/>
      <c r="G2606" s="47"/>
      <c r="H2606" s="24"/>
      <c r="I2606" s="312"/>
      <c r="J2606" s="312"/>
      <c r="L2606" s="47"/>
      <c r="M2606" s="24"/>
      <c r="N2606" s="312"/>
      <c r="O2606" s="312"/>
      <c r="Q2606" s="47"/>
      <c r="R2606" s="136" t="s">
        <v>2160</v>
      </c>
      <c r="S2606" s="25" t="s">
        <v>2161</v>
      </c>
      <c r="T2606" s="155">
        <v>14240</v>
      </c>
      <c r="U2606" s="155">
        <v>0</v>
      </c>
    </row>
    <row r="2607" spans="2:21" x14ac:dyDescent="0.3">
      <c r="B2607" s="47"/>
      <c r="C2607" s="24"/>
      <c r="D2607" s="312"/>
      <c r="E2607" s="312"/>
      <c r="G2607" s="47"/>
      <c r="H2607" s="24"/>
      <c r="I2607" s="312"/>
      <c r="J2607" s="312"/>
      <c r="L2607" s="47"/>
      <c r="M2607" s="24"/>
      <c r="N2607" s="312"/>
      <c r="O2607" s="312"/>
      <c r="Q2607" s="47"/>
      <c r="R2607" s="136" t="s">
        <v>2162</v>
      </c>
      <c r="S2607" s="25" t="s">
        <v>2163</v>
      </c>
      <c r="T2607" s="155">
        <v>5350</v>
      </c>
      <c r="U2607" s="155">
        <v>0</v>
      </c>
    </row>
    <row r="2608" spans="2:21" x14ac:dyDescent="0.3">
      <c r="B2608" s="47"/>
      <c r="C2608" s="24"/>
      <c r="D2608" s="312"/>
      <c r="E2608" s="312"/>
      <c r="G2608" s="47"/>
      <c r="H2608" s="24"/>
      <c r="I2608" s="312"/>
      <c r="J2608" s="312"/>
      <c r="L2608" s="47"/>
      <c r="M2608" s="24"/>
      <c r="N2608" s="312"/>
      <c r="O2608" s="312"/>
      <c r="Q2608" s="47"/>
      <c r="R2608" s="136" t="s">
        <v>2165</v>
      </c>
      <c r="S2608" s="25" t="s">
        <v>2166</v>
      </c>
      <c r="T2608" s="155">
        <v>19700</v>
      </c>
      <c r="U2608" s="155">
        <v>0</v>
      </c>
    </row>
    <row r="2609" spans="2:21" x14ac:dyDescent="0.3">
      <c r="B2609" s="47"/>
      <c r="C2609" s="24"/>
      <c r="D2609" s="312"/>
      <c r="E2609" s="312"/>
      <c r="G2609" s="47"/>
      <c r="H2609" s="24"/>
      <c r="I2609" s="312"/>
      <c r="J2609" s="312"/>
      <c r="L2609" s="47"/>
      <c r="M2609" s="24"/>
      <c r="N2609" s="312"/>
      <c r="O2609" s="312"/>
      <c r="Q2609" s="47"/>
      <c r="R2609" s="136" t="s">
        <v>2168</v>
      </c>
      <c r="S2609" s="25" t="s">
        <v>2169</v>
      </c>
      <c r="T2609" s="155">
        <v>14270</v>
      </c>
      <c r="U2609" s="155">
        <v>0</v>
      </c>
    </row>
    <row r="2610" spans="2:21" x14ac:dyDescent="0.3">
      <c r="B2610" s="47"/>
      <c r="C2610" s="24"/>
      <c r="D2610" s="312"/>
      <c r="E2610" s="312"/>
      <c r="G2610" s="47"/>
      <c r="H2610" s="24"/>
      <c r="I2610" s="312"/>
      <c r="J2610" s="312"/>
      <c r="L2610" s="47"/>
      <c r="M2610" s="24"/>
      <c r="N2610" s="312"/>
      <c r="O2610" s="312"/>
      <c r="Q2610" s="47"/>
      <c r="R2610" s="136" t="s">
        <v>3313</v>
      </c>
      <c r="S2610" s="25" t="s">
        <v>2211</v>
      </c>
      <c r="T2610" s="155">
        <v>30600</v>
      </c>
      <c r="U2610" s="155">
        <v>0</v>
      </c>
    </row>
    <row r="2611" spans="2:21" x14ac:dyDescent="0.3">
      <c r="B2611" s="47"/>
      <c r="C2611" s="24"/>
      <c r="D2611" s="312"/>
      <c r="E2611" s="312"/>
      <c r="G2611" s="47"/>
      <c r="H2611" s="24"/>
      <c r="I2611" s="312"/>
      <c r="J2611" s="312"/>
      <c r="L2611" s="47"/>
      <c r="M2611" s="24"/>
      <c r="N2611" s="312"/>
      <c r="O2611" s="312"/>
      <c r="Q2611" s="47"/>
      <c r="R2611" s="136" t="s">
        <v>2212</v>
      </c>
      <c r="S2611" s="25" t="s">
        <v>2213</v>
      </c>
      <c r="T2611" s="155">
        <v>21720</v>
      </c>
      <c r="U2611" s="155">
        <v>0</v>
      </c>
    </row>
    <row r="2612" spans="2:21" x14ac:dyDescent="0.3">
      <c r="B2612" s="47"/>
      <c r="C2612" s="24"/>
      <c r="D2612" s="312"/>
      <c r="E2612" s="312"/>
      <c r="G2612" s="47"/>
      <c r="H2612" s="24"/>
      <c r="I2612" s="312"/>
      <c r="J2612" s="312"/>
      <c r="L2612" s="47"/>
      <c r="M2612" s="24"/>
      <c r="N2612" s="312"/>
      <c r="O2612" s="312"/>
      <c r="Q2612" s="47"/>
      <c r="R2612" s="136" t="s">
        <v>2214</v>
      </c>
      <c r="S2612" s="25" t="s">
        <v>2215</v>
      </c>
      <c r="T2612" s="155">
        <v>24049</v>
      </c>
      <c r="U2612" s="155">
        <v>0</v>
      </c>
    </row>
    <row r="2613" spans="2:21" x14ac:dyDescent="0.3">
      <c r="B2613" s="47"/>
      <c r="C2613" s="24"/>
      <c r="D2613" s="312"/>
      <c r="E2613" s="312"/>
      <c r="G2613" s="47"/>
      <c r="H2613" s="24"/>
      <c r="I2613" s="312"/>
      <c r="J2613" s="312"/>
      <c r="L2613" s="47"/>
      <c r="M2613" s="24"/>
      <c r="N2613" s="312"/>
      <c r="O2613" s="312"/>
      <c r="Q2613" s="47"/>
      <c r="R2613" s="136" t="s">
        <v>1985</v>
      </c>
      <c r="S2613" s="25" t="s">
        <v>2197</v>
      </c>
      <c r="T2613" s="155">
        <v>7000</v>
      </c>
      <c r="U2613" s="155">
        <v>0</v>
      </c>
    </row>
    <row r="2614" spans="2:21" x14ac:dyDescent="0.3">
      <c r="B2614" s="47"/>
      <c r="C2614" s="24"/>
      <c r="D2614" s="312"/>
      <c r="E2614" s="312"/>
      <c r="G2614" s="47"/>
      <c r="H2614" s="24"/>
      <c r="I2614" s="312"/>
      <c r="J2614" s="312"/>
      <c r="L2614" s="47"/>
      <c r="M2614" s="24"/>
      <c r="N2614" s="312"/>
      <c r="O2614" s="312"/>
      <c r="Q2614" s="47"/>
      <c r="R2614" s="136" t="s">
        <v>1895</v>
      </c>
      <c r="S2614" s="25" t="s">
        <v>2174</v>
      </c>
      <c r="T2614" s="155">
        <v>35140</v>
      </c>
      <c r="U2614" s="155">
        <v>0</v>
      </c>
    </row>
    <row r="2615" spans="2:21" x14ac:dyDescent="0.3">
      <c r="B2615" s="47"/>
      <c r="C2615" s="24"/>
      <c r="D2615" s="312"/>
      <c r="E2615" s="312"/>
      <c r="G2615" s="47"/>
      <c r="H2615" s="24"/>
      <c r="I2615" s="312"/>
      <c r="J2615" s="312"/>
      <c r="L2615" s="47"/>
      <c r="M2615" s="24"/>
      <c r="N2615" s="312"/>
      <c r="O2615" s="312"/>
      <c r="Q2615" s="47"/>
      <c r="R2615" s="136" t="s">
        <v>2177</v>
      </c>
      <c r="S2615" s="25" t="s">
        <v>2341</v>
      </c>
      <c r="T2615" s="155">
        <v>34110</v>
      </c>
      <c r="U2615" s="155">
        <v>0</v>
      </c>
    </row>
    <row r="2616" spans="2:21" x14ac:dyDescent="0.3">
      <c r="B2616" s="47"/>
      <c r="C2616" s="24"/>
      <c r="D2616" s="312"/>
      <c r="E2616" s="312"/>
      <c r="G2616" s="47"/>
      <c r="H2616" s="24"/>
      <c r="I2616" s="312"/>
      <c r="J2616" s="312"/>
      <c r="L2616" s="47"/>
      <c r="M2616" s="24"/>
      <c r="N2616" s="312"/>
      <c r="O2616" s="312"/>
      <c r="Q2616" s="47"/>
      <c r="R2616" s="136" t="s">
        <v>2183</v>
      </c>
      <c r="S2616" s="25" t="s">
        <v>2182</v>
      </c>
      <c r="T2616" s="155">
        <v>28120</v>
      </c>
      <c r="U2616" s="155">
        <v>0</v>
      </c>
    </row>
    <row r="2617" spans="2:21" x14ac:dyDescent="0.3">
      <c r="B2617" s="47"/>
      <c r="C2617" s="24"/>
      <c r="D2617" s="312"/>
      <c r="E2617" s="312"/>
      <c r="G2617" s="47"/>
      <c r="H2617" s="24"/>
      <c r="I2617" s="312"/>
      <c r="J2617" s="312"/>
      <c r="L2617" s="47"/>
      <c r="M2617" s="24"/>
      <c r="N2617" s="312"/>
      <c r="O2617" s="312"/>
      <c r="Q2617" s="47"/>
      <c r="R2617" s="136" t="s">
        <v>2185</v>
      </c>
      <c r="S2617" s="25" t="s">
        <v>2184</v>
      </c>
      <c r="T2617" s="155">
        <v>14970</v>
      </c>
      <c r="U2617" s="155">
        <v>0</v>
      </c>
    </row>
    <row r="2618" spans="2:21" x14ac:dyDescent="0.3">
      <c r="B2618" s="47"/>
      <c r="C2618" s="24"/>
      <c r="D2618" s="312"/>
      <c r="E2618" s="312"/>
      <c r="G2618" s="47"/>
      <c r="H2618" s="24"/>
      <c r="I2618" s="312"/>
      <c r="J2618" s="312"/>
      <c r="L2618" s="47"/>
      <c r="M2618" s="24"/>
      <c r="N2618" s="312"/>
      <c r="O2618" s="312"/>
      <c r="Q2618" s="47"/>
      <c r="R2618" s="136" t="s">
        <v>2187</v>
      </c>
      <c r="S2618" s="25" t="s">
        <v>2186</v>
      </c>
      <c r="T2618" s="155">
        <v>16500</v>
      </c>
      <c r="U2618" s="155">
        <v>0</v>
      </c>
    </row>
    <row r="2619" spans="2:21" x14ac:dyDescent="0.3">
      <c r="B2619" s="47"/>
      <c r="C2619" s="24"/>
      <c r="D2619" s="312"/>
      <c r="E2619" s="312"/>
      <c r="G2619" s="47"/>
      <c r="H2619" s="24"/>
      <c r="I2619" s="312"/>
      <c r="J2619" s="312"/>
      <c r="L2619" s="47"/>
      <c r="M2619" s="24"/>
      <c r="N2619" s="312"/>
      <c r="O2619" s="312"/>
      <c r="Q2619" s="47"/>
      <c r="R2619" s="136" t="s">
        <v>2342</v>
      </c>
      <c r="S2619" s="25" t="s">
        <v>2188</v>
      </c>
      <c r="T2619" s="155">
        <v>18830</v>
      </c>
      <c r="U2619" s="155">
        <v>0</v>
      </c>
    </row>
    <row r="2620" spans="2:21" x14ac:dyDescent="0.3">
      <c r="B2620" s="47"/>
      <c r="C2620" s="24"/>
      <c r="D2620" s="312"/>
      <c r="E2620" s="312"/>
      <c r="G2620" s="47"/>
      <c r="H2620" s="24"/>
      <c r="I2620" s="312"/>
      <c r="J2620" s="312"/>
      <c r="L2620" s="47"/>
      <c r="M2620" s="24"/>
      <c r="N2620" s="312"/>
      <c r="O2620" s="312"/>
      <c r="Q2620" s="47"/>
      <c r="R2620" s="136" t="s">
        <v>2190</v>
      </c>
      <c r="S2620" s="25" t="s">
        <v>2189</v>
      </c>
      <c r="T2620" s="155">
        <v>36410</v>
      </c>
      <c r="U2620" s="155">
        <v>0</v>
      </c>
    </row>
    <row r="2621" spans="2:21" x14ac:dyDescent="0.3">
      <c r="B2621" s="47"/>
      <c r="C2621" s="24"/>
      <c r="D2621" s="312"/>
      <c r="E2621" s="312"/>
      <c r="G2621" s="47"/>
      <c r="H2621" s="24"/>
      <c r="I2621" s="312"/>
      <c r="J2621" s="312"/>
      <c r="L2621" s="47"/>
      <c r="M2621" s="24"/>
      <c r="N2621" s="312"/>
      <c r="O2621" s="312"/>
      <c r="Q2621" s="47"/>
      <c r="R2621" s="136" t="s">
        <v>2192</v>
      </c>
      <c r="S2621" s="25" t="s">
        <v>2191</v>
      </c>
      <c r="T2621" s="155">
        <v>15660</v>
      </c>
      <c r="U2621" s="155">
        <v>0</v>
      </c>
    </row>
    <row r="2622" spans="2:21" x14ac:dyDescent="0.3">
      <c r="B2622" s="47"/>
      <c r="C2622" s="24"/>
      <c r="D2622" s="312"/>
      <c r="E2622" s="312"/>
      <c r="G2622" s="47"/>
      <c r="H2622" s="24"/>
      <c r="I2622" s="312"/>
      <c r="J2622" s="312"/>
      <c r="L2622" s="47"/>
      <c r="M2622" s="24"/>
      <c r="N2622" s="312"/>
      <c r="O2622" s="312"/>
      <c r="Q2622" s="47"/>
      <c r="R2622" s="136" t="s">
        <v>1896</v>
      </c>
      <c r="S2622" s="25" t="s">
        <v>2193</v>
      </c>
      <c r="T2622" s="155">
        <v>12310</v>
      </c>
      <c r="U2622" s="155">
        <v>0</v>
      </c>
    </row>
    <row r="2623" spans="2:21" x14ac:dyDescent="0.3">
      <c r="B2623" s="47"/>
      <c r="C2623" s="24"/>
      <c r="D2623" s="312"/>
      <c r="E2623" s="312"/>
      <c r="G2623" s="47"/>
      <c r="H2623" s="24"/>
      <c r="I2623" s="312"/>
      <c r="J2623" s="312"/>
      <c r="L2623" s="47"/>
      <c r="M2623" s="24"/>
      <c r="N2623" s="312"/>
      <c r="O2623" s="312"/>
      <c r="Q2623" s="47"/>
      <c r="R2623" s="136" t="s">
        <v>3291</v>
      </c>
      <c r="S2623" s="25" t="s">
        <v>2171</v>
      </c>
      <c r="T2623" s="155">
        <v>16890</v>
      </c>
      <c r="U2623" s="155">
        <v>0</v>
      </c>
    </row>
    <row r="2624" spans="2:21" x14ac:dyDescent="0.3">
      <c r="B2624" s="47"/>
      <c r="C2624" s="24"/>
      <c r="D2624" s="312"/>
      <c r="E2624" s="312"/>
      <c r="G2624" s="47"/>
      <c r="H2624" s="24"/>
      <c r="I2624" s="312"/>
      <c r="J2624" s="312"/>
      <c r="L2624" s="47"/>
      <c r="M2624" s="24"/>
      <c r="N2624" s="312"/>
      <c r="O2624" s="312"/>
      <c r="Q2624" s="47"/>
      <c r="R2624" s="136" t="s">
        <v>2219</v>
      </c>
      <c r="S2624" s="25" t="s">
        <v>2220</v>
      </c>
      <c r="T2624" s="155">
        <v>11750</v>
      </c>
      <c r="U2624" s="155">
        <v>0</v>
      </c>
    </row>
    <row r="2625" spans="2:21" x14ac:dyDescent="0.3">
      <c r="B2625" s="47"/>
      <c r="C2625" s="24"/>
      <c r="D2625" s="312"/>
      <c r="E2625" s="312"/>
      <c r="G2625" s="47"/>
      <c r="H2625" s="24"/>
      <c r="I2625" s="312"/>
      <c r="J2625" s="312"/>
      <c r="L2625" s="47"/>
      <c r="M2625" s="24"/>
      <c r="N2625" s="312"/>
      <c r="O2625" s="312"/>
      <c r="Q2625" s="47"/>
      <c r="R2625" s="136" t="s">
        <v>2221</v>
      </c>
      <c r="S2625" s="25" t="s">
        <v>2222</v>
      </c>
      <c r="T2625" s="155">
        <v>31900</v>
      </c>
      <c r="U2625" s="155">
        <v>0</v>
      </c>
    </row>
    <row r="2626" spans="2:21" x14ac:dyDescent="0.3">
      <c r="B2626" s="47"/>
      <c r="C2626" s="24"/>
      <c r="D2626" s="312"/>
      <c r="E2626" s="312"/>
      <c r="G2626" s="47"/>
      <c r="H2626" s="24"/>
      <c r="I2626" s="312"/>
      <c r="J2626" s="312"/>
      <c r="L2626" s="47"/>
      <c r="M2626" s="24"/>
      <c r="N2626" s="312"/>
      <c r="O2626" s="312"/>
      <c r="Q2626" s="47"/>
      <c r="R2626" s="136" t="s">
        <v>2223</v>
      </c>
      <c r="S2626" s="25" t="s">
        <v>2224</v>
      </c>
      <c r="T2626" s="155">
        <v>1000</v>
      </c>
      <c r="U2626" s="155">
        <v>0</v>
      </c>
    </row>
    <row r="2627" spans="2:21" x14ac:dyDescent="0.3">
      <c r="B2627" s="47"/>
      <c r="C2627" s="24"/>
      <c r="D2627" s="312"/>
      <c r="E2627" s="312"/>
      <c r="G2627" s="47"/>
      <c r="H2627" s="24"/>
      <c r="I2627" s="312"/>
      <c r="J2627" s="312"/>
      <c r="L2627" s="47"/>
      <c r="M2627" s="24"/>
      <c r="N2627" s="312"/>
      <c r="O2627" s="312"/>
      <c r="Q2627" s="47"/>
      <c r="R2627" s="136" t="s">
        <v>2226</v>
      </c>
      <c r="S2627" s="25" t="s">
        <v>2227</v>
      </c>
      <c r="T2627" s="155">
        <v>28000</v>
      </c>
      <c r="U2627" s="155">
        <v>0</v>
      </c>
    </row>
    <row r="2628" spans="2:21" x14ac:dyDescent="0.3">
      <c r="B2628" s="47"/>
      <c r="C2628" s="24"/>
      <c r="D2628" s="312"/>
      <c r="E2628" s="312"/>
      <c r="G2628" s="47"/>
      <c r="H2628" s="24"/>
      <c r="I2628" s="312"/>
      <c r="J2628" s="312"/>
      <c r="L2628" s="47"/>
      <c r="M2628" s="24"/>
      <c r="N2628" s="312"/>
      <c r="O2628" s="312"/>
      <c r="Q2628" s="47"/>
      <c r="R2628" s="136" t="s">
        <v>2228</v>
      </c>
      <c r="S2628" s="25" t="s">
        <v>1990</v>
      </c>
      <c r="T2628" s="155">
        <v>800</v>
      </c>
      <c r="U2628" s="155">
        <v>0</v>
      </c>
    </row>
    <row r="2629" spans="2:21" x14ac:dyDescent="0.3">
      <c r="B2629" s="47"/>
      <c r="C2629" s="24"/>
      <c r="D2629" s="312"/>
      <c r="E2629" s="312"/>
      <c r="G2629" s="47"/>
      <c r="H2629" s="24"/>
      <c r="I2629" s="312"/>
      <c r="J2629" s="312"/>
      <c r="L2629" s="47"/>
      <c r="M2629" s="24"/>
      <c r="N2629" s="312"/>
      <c r="O2629" s="312"/>
      <c r="Q2629" s="47"/>
      <c r="R2629" s="136" t="s">
        <v>2230</v>
      </c>
      <c r="S2629" s="25" t="s">
        <v>2231</v>
      </c>
      <c r="T2629" s="155">
        <v>10700</v>
      </c>
      <c r="U2629" s="155">
        <v>0</v>
      </c>
    </row>
    <row r="2630" spans="2:21" x14ac:dyDescent="0.3">
      <c r="B2630" s="47"/>
      <c r="C2630" s="24"/>
      <c r="D2630" s="312"/>
      <c r="E2630" s="312"/>
      <c r="G2630" s="47"/>
      <c r="H2630" s="24"/>
      <c r="I2630" s="312"/>
      <c r="J2630" s="312"/>
      <c r="L2630" s="47"/>
      <c r="M2630" s="24"/>
      <c r="N2630" s="312"/>
      <c r="O2630" s="312"/>
      <c r="Q2630" s="47"/>
      <c r="R2630" s="136" t="s">
        <v>2232</v>
      </c>
      <c r="S2630" s="25" t="s">
        <v>1988</v>
      </c>
      <c r="T2630" s="155">
        <v>12000</v>
      </c>
      <c r="U2630" s="155">
        <v>0</v>
      </c>
    </row>
    <row r="2631" spans="2:21" x14ac:dyDescent="0.3">
      <c r="B2631" s="47"/>
      <c r="C2631" s="24"/>
      <c r="D2631" s="312"/>
      <c r="E2631" s="312"/>
      <c r="G2631" s="47"/>
      <c r="H2631" s="24"/>
      <c r="I2631" s="312"/>
      <c r="J2631" s="312"/>
      <c r="L2631" s="47"/>
      <c r="M2631" s="24"/>
      <c r="N2631" s="312"/>
      <c r="O2631" s="312"/>
      <c r="Q2631" s="47"/>
      <c r="R2631" s="136" t="s">
        <v>2234</v>
      </c>
      <c r="S2631" s="25" t="s">
        <v>2235</v>
      </c>
      <c r="T2631" s="155">
        <v>2100</v>
      </c>
      <c r="U2631" s="155">
        <v>0</v>
      </c>
    </row>
    <row r="2632" spans="2:21" s="338" customFormat="1" x14ac:dyDescent="0.3">
      <c r="B2632" s="335"/>
      <c r="C2632" s="336"/>
      <c r="D2632" s="337"/>
      <c r="E2632" s="337"/>
      <c r="G2632" s="335"/>
      <c r="H2632" s="336"/>
      <c r="I2632" s="337"/>
      <c r="J2632" s="337"/>
      <c r="L2632" s="335"/>
      <c r="M2632" s="336"/>
      <c r="N2632" s="337"/>
      <c r="O2632" s="337"/>
      <c r="Q2632" s="339">
        <v>80080005</v>
      </c>
      <c r="R2632" s="340"/>
      <c r="S2632" s="345" t="s">
        <v>1104</v>
      </c>
      <c r="T2632" s="342">
        <v>0</v>
      </c>
      <c r="U2632" s="342">
        <v>0</v>
      </c>
    </row>
    <row r="2633" spans="2:21" x14ac:dyDescent="0.3">
      <c r="B2633" s="47"/>
      <c r="C2633" s="24"/>
      <c r="D2633" s="312"/>
      <c r="E2633" s="312"/>
      <c r="G2633" s="47"/>
      <c r="H2633" s="24"/>
      <c r="I2633" s="312"/>
      <c r="J2633" s="312"/>
      <c r="L2633" s="47"/>
      <c r="M2633" s="24"/>
      <c r="N2633" s="312"/>
      <c r="O2633" s="312"/>
      <c r="Q2633" s="47"/>
      <c r="R2633" s="136"/>
      <c r="S2633" s="24"/>
      <c r="T2633" s="155"/>
      <c r="U2633" s="155"/>
    </row>
    <row r="2634" spans="2:21" x14ac:dyDescent="0.3">
      <c r="B2634" s="47"/>
      <c r="C2634" s="24"/>
      <c r="D2634" s="312"/>
      <c r="E2634" s="312"/>
      <c r="G2634" s="47"/>
      <c r="H2634" s="24"/>
      <c r="I2634" s="312"/>
      <c r="J2634" s="312"/>
      <c r="K2634">
        <v>8009</v>
      </c>
      <c r="L2634" s="241">
        <v>8009</v>
      </c>
      <c r="M2634" s="243" t="s">
        <v>913</v>
      </c>
      <c r="N2634" s="314">
        <f>T2634+T2635+T2636+T2637</f>
        <v>0</v>
      </c>
      <c r="O2634" s="314">
        <v>0</v>
      </c>
      <c r="Q2634" s="241">
        <v>80090001</v>
      </c>
      <c r="R2634" s="242"/>
      <c r="S2634" s="243" t="s">
        <v>1105</v>
      </c>
      <c r="T2634" s="240">
        <v>0</v>
      </c>
      <c r="U2634" s="240">
        <v>0</v>
      </c>
    </row>
    <row r="2635" spans="2:21" x14ac:dyDescent="0.3">
      <c r="B2635" s="47"/>
      <c r="C2635" s="24"/>
      <c r="D2635" s="312"/>
      <c r="E2635" s="312"/>
      <c r="G2635" s="47"/>
      <c r="H2635" s="24"/>
      <c r="I2635" s="312"/>
      <c r="J2635" s="312"/>
      <c r="L2635" s="47"/>
      <c r="M2635" s="24"/>
      <c r="N2635" s="312"/>
      <c r="O2635" s="312"/>
      <c r="Q2635" s="241">
        <v>80090002</v>
      </c>
      <c r="R2635" s="242"/>
      <c r="S2635" s="243" t="s">
        <v>1106</v>
      </c>
      <c r="T2635" s="240">
        <v>0</v>
      </c>
      <c r="U2635" s="240">
        <v>0</v>
      </c>
    </row>
    <row r="2636" spans="2:21" x14ac:dyDescent="0.3">
      <c r="B2636" s="47"/>
      <c r="C2636" s="24"/>
      <c r="D2636" s="312"/>
      <c r="E2636" s="312"/>
      <c r="G2636" s="47"/>
      <c r="H2636" s="24"/>
      <c r="I2636" s="312"/>
      <c r="J2636" s="312"/>
      <c r="L2636" s="47"/>
      <c r="M2636" s="24"/>
      <c r="N2636" s="312"/>
      <c r="O2636" s="312"/>
      <c r="Q2636" s="241">
        <v>80090003</v>
      </c>
      <c r="R2636" s="242"/>
      <c r="S2636" s="243" t="s">
        <v>1107</v>
      </c>
      <c r="T2636" s="240">
        <v>0</v>
      </c>
      <c r="U2636" s="240">
        <v>0</v>
      </c>
    </row>
    <row r="2637" spans="2:21" x14ac:dyDescent="0.3">
      <c r="B2637" s="47"/>
      <c r="C2637" s="24"/>
      <c r="D2637" s="312"/>
      <c r="E2637" s="312"/>
      <c r="G2637" s="47"/>
      <c r="H2637" s="24"/>
      <c r="I2637" s="312"/>
      <c r="J2637" s="312"/>
      <c r="L2637" s="47"/>
      <c r="M2637" s="24"/>
      <c r="N2637" s="312"/>
      <c r="O2637" s="312"/>
      <c r="Q2637" s="244">
        <v>80090004</v>
      </c>
      <c r="R2637" s="245"/>
      <c r="S2637" s="246" t="s">
        <v>1109</v>
      </c>
      <c r="T2637" s="239">
        <v>0</v>
      </c>
      <c r="U2637" s="240">
        <v>0</v>
      </c>
    </row>
    <row r="2638" spans="2:21" x14ac:dyDescent="0.3">
      <c r="B2638" s="47"/>
      <c r="C2638" s="24"/>
      <c r="D2638" s="312"/>
      <c r="E2638" s="312"/>
      <c r="G2638" s="47"/>
      <c r="H2638" s="24"/>
      <c r="I2638" s="312"/>
      <c r="J2638" s="312"/>
      <c r="L2638" s="47"/>
      <c r="M2638" s="24"/>
      <c r="N2638" s="312"/>
      <c r="O2638" s="312"/>
      <c r="Q2638" s="47"/>
      <c r="R2638" s="136"/>
      <c r="S2638" s="24"/>
      <c r="T2638" s="155"/>
      <c r="U2638" s="155"/>
    </row>
    <row r="2639" spans="2:21" x14ac:dyDescent="0.3">
      <c r="B2639" s="47"/>
      <c r="C2639" s="24"/>
      <c r="D2639" s="312"/>
      <c r="E2639" s="312"/>
      <c r="G2639" s="47"/>
      <c r="H2639" s="24"/>
      <c r="I2639" s="312"/>
      <c r="J2639" s="312"/>
      <c r="K2639">
        <v>8010</v>
      </c>
      <c r="L2639" s="241">
        <v>8010</v>
      </c>
      <c r="M2639" s="243" t="s">
        <v>2080</v>
      </c>
      <c r="N2639" s="314">
        <f>T2639</f>
        <v>805531</v>
      </c>
      <c r="O2639" s="314">
        <v>0</v>
      </c>
      <c r="Q2639" s="241">
        <v>80100001</v>
      </c>
      <c r="R2639" s="242"/>
      <c r="S2639" s="243" t="s">
        <v>2080</v>
      </c>
      <c r="T2639" s="239">
        <f>SUM(T2640:T2641)-SUM(U2640:U2641)</f>
        <v>805531</v>
      </c>
      <c r="U2639" s="240">
        <v>0</v>
      </c>
    </row>
    <row r="2640" spans="2:21" x14ac:dyDescent="0.3">
      <c r="B2640" s="47"/>
      <c r="C2640" s="24"/>
      <c r="D2640" s="312"/>
      <c r="E2640" s="312"/>
      <c r="G2640" s="47"/>
      <c r="H2640" s="24"/>
      <c r="I2640" s="312"/>
      <c r="J2640" s="312"/>
      <c r="L2640" s="47"/>
      <c r="M2640" s="24"/>
      <c r="N2640" s="312"/>
      <c r="O2640" s="312"/>
      <c r="Q2640" s="47"/>
      <c r="R2640" s="136" t="s">
        <v>2156</v>
      </c>
      <c r="S2640" s="24" t="s">
        <v>2157</v>
      </c>
      <c r="T2640" s="155">
        <v>545756</v>
      </c>
      <c r="U2640" s="155">
        <v>0</v>
      </c>
    </row>
    <row r="2641" spans="2:22" x14ac:dyDescent="0.3">
      <c r="B2641" s="47"/>
      <c r="C2641" s="24"/>
      <c r="D2641" s="312"/>
      <c r="E2641" s="312"/>
      <c r="G2641" s="47"/>
      <c r="H2641" s="24"/>
      <c r="I2641" s="312"/>
      <c r="J2641" s="312"/>
      <c r="L2641" s="47"/>
      <c r="M2641" s="24"/>
      <c r="N2641" s="312"/>
      <c r="O2641" s="312"/>
      <c r="Q2641" s="47"/>
      <c r="R2641" s="136" t="s">
        <v>2183</v>
      </c>
      <c r="S2641" s="24" t="s">
        <v>2182</v>
      </c>
      <c r="T2641" s="155">
        <v>259775</v>
      </c>
      <c r="U2641" s="155">
        <v>0</v>
      </c>
    </row>
    <row r="2642" spans="2:22" x14ac:dyDescent="0.3">
      <c r="B2642" s="47"/>
      <c r="C2642" s="24"/>
      <c r="D2642" s="312"/>
      <c r="E2642" s="312"/>
      <c r="G2642" s="47"/>
      <c r="H2642" s="24"/>
      <c r="I2642" s="312"/>
      <c r="J2642" s="312"/>
      <c r="L2642" s="47"/>
      <c r="M2642" s="24"/>
      <c r="N2642" s="312"/>
      <c r="O2642" s="312"/>
      <c r="Q2642" s="47"/>
      <c r="R2642" s="136"/>
      <c r="S2642" s="24"/>
      <c r="T2642" s="155"/>
      <c r="U2642" s="155"/>
    </row>
    <row r="2643" spans="2:22" x14ac:dyDescent="0.3">
      <c r="B2643" s="47"/>
      <c r="C2643" s="24"/>
      <c r="D2643" s="312"/>
      <c r="E2643" s="312"/>
      <c r="G2643" s="47"/>
      <c r="H2643" s="24"/>
      <c r="I2643" s="312"/>
      <c r="J2643" s="312"/>
      <c r="K2643">
        <v>8011</v>
      </c>
      <c r="L2643" s="241">
        <v>8011</v>
      </c>
      <c r="M2643" s="243" t="s">
        <v>2107</v>
      </c>
      <c r="N2643" s="314">
        <f>T2643+T2679+T2721+T2722+T2723+T2730+T2731+T2750+T2782+T2820</f>
        <v>97239594</v>
      </c>
      <c r="O2643" s="314">
        <v>0</v>
      </c>
      <c r="Q2643" s="241">
        <v>80110001</v>
      </c>
      <c r="R2643" s="242"/>
      <c r="S2643" s="246" t="s">
        <v>2079</v>
      </c>
      <c r="T2643" s="239">
        <f>SUM(T2644:T2678)-SUM(U2644:U2678)</f>
        <v>75442201</v>
      </c>
      <c r="U2643" s="240">
        <v>0</v>
      </c>
      <c r="V2643" s="113"/>
    </row>
    <row r="2644" spans="2:22" x14ac:dyDescent="0.3">
      <c r="B2644" s="47"/>
      <c r="C2644" s="24"/>
      <c r="D2644" s="312"/>
      <c r="E2644" s="312"/>
      <c r="G2644" s="47"/>
      <c r="H2644" s="24"/>
      <c r="I2644" s="312"/>
      <c r="J2644" s="312"/>
      <c r="L2644" s="47"/>
      <c r="M2644" s="24"/>
      <c r="N2644" s="312"/>
      <c r="O2644" s="312"/>
      <c r="Q2644" s="47"/>
      <c r="R2644" s="136" t="s">
        <v>1931</v>
      </c>
      <c r="S2644" s="25" t="s">
        <v>1932</v>
      </c>
      <c r="T2644" s="155">
        <v>1117200</v>
      </c>
      <c r="U2644" s="155">
        <v>0</v>
      </c>
      <c r="V2644" s="113"/>
    </row>
    <row r="2645" spans="2:22" x14ac:dyDescent="0.3">
      <c r="B2645" s="47"/>
      <c r="C2645" s="24"/>
      <c r="D2645" s="312"/>
      <c r="E2645" s="312"/>
      <c r="G2645" s="47"/>
      <c r="H2645" s="24"/>
      <c r="I2645" s="312"/>
      <c r="J2645" s="312"/>
      <c r="L2645" s="47"/>
      <c r="M2645" s="24"/>
      <c r="N2645" s="312"/>
      <c r="O2645" s="312"/>
      <c r="Q2645" s="47"/>
      <c r="R2645" s="136" t="s">
        <v>1933</v>
      </c>
      <c r="S2645" s="25" t="s">
        <v>2195</v>
      </c>
      <c r="T2645" s="155">
        <v>1784999</v>
      </c>
      <c r="U2645" s="155">
        <v>0</v>
      </c>
      <c r="V2645" s="113"/>
    </row>
    <row r="2646" spans="2:22" x14ac:dyDescent="0.3">
      <c r="B2646" s="47"/>
      <c r="C2646" s="24"/>
      <c r="D2646" s="312"/>
      <c r="E2646" s="312"/>
      <c r="G2646" s="47"/>
      <c r="H2646" s="24"/>
      <c r="I2646" s="312"/>
      <c r="J2646" s="312"/>
      <c r="L2646" s="47"/>
      <c r="M2646" s="24"/>
      <c r="N2646" s="312"/>
      <c r="O2646" s="312"/>
      <c r="Q2646" s="47"/>
      <c r="R2646" s="136" t="s">
        <v>1934</v>
      </c>
      <c r="S2646" s="25" t="s">
        <v>2196</v>
      </c>
      <c r="T2646" s="155">
        <v>418935</v>
      </c>
      <c r="U2646" s="155">
        <v>0</v>
      </c>
      <c r="V2646" s="113"/>
    </row>
    <row r="2647" spans="2:22" x14ac:dyDescent="0.3">
      <c r="B2647" s="47"/>
      <c r="C2647" s="24"/>
      <c r="D2647" s="312"/>
      <c r="E2647" s="312"/>
      <c r="G2647" s="47"/>
      <c r="H2647" s="24"/>
      <c r="I2647" s="312"/>
      <c r="J2647" s="312"/>
      <c r="L2647" s="47"/>
      <c r="M2647" s="24"/>
      <c r="N2647" s="312"/>
      <c r="O2647" s="312"/>
      <c r="Q2647" s="47"/>
      <c r="R2647" s="136" t="s">
        <v>2199</v>
      </c>
      <c r="S2647" s="25" t="s">
        <v>2200</v>
      </c>
      <c r="T2647" s="155">
        <v>3125628</v>
      </c>
      <c r="U2647" s="155">
        <v>0</v>
      </c>
      <c r="V2647" s="113"/>
    </row>
    <row r="2648" spans="2:22" x14ac:dyDescent="0.3">
      <c r="B2648" s="47"/>
      <c r="C2648" s="24"/>
      <c r="D2648" s="312"/>
      <c r="E2648" s="312"/>
      <c r="G2648" s="47"/>
      <c r="H2648" s="24"/>
      <c r="I2648" s="312"/>
      <c r="J2648" s="312"/>
      <c r="L2648" s="47"/>
      <c r="M2648" s="24"/>
      <c r="N2648" s="312"/>
      <c r="O2648" s="312"/>
      <c r="Q2648" s="47"/>
      <c r="R2648" s="136" t="s">
        <v>2201</v>
      </c>
      <c r="S2648" s="25" t="s">
        <v>2202</v>
      </c>
      <c r="T2648" s="155">
        <v>2140320</v>
      </c>
      <c r="U2648" s="155">
        <v>0</v>
      </c>
      <c r="V2648" s="113"/>
    </row>
    <row r="2649" spans="2:22" x14ac:dyDescent="0.3">
      <c r="B2649" s="47"/>
      <c r="C2649" s="24"/>
      <c r="D2649" s="312"/>
      <c r="E2649" s="312"/>
      <c r="G2649" s="47"/>
      <c r="H2649" s="24"/>
      <c r="I2649" s="312"/>
      <c r="J2649" s="312"/>
      <c r="L2649" s="47"/>
      <c r="M2649" s="24"/>
      <c r="N2649" s="312"/>
      <c r="O2649" s="312"/>
      <c r="Q2649" s="47"/>
      <c r="R2649" s="136" t="s">
        <v>2203</v>
      </c>
      <c r="S2649" s="25" t="s">
        <v>2204</v>
      </c>
      <c r="T2649" s="155">
        <v>2439798</v>
      </c>
      <c r="U2649" s="155">
        <v>0</v>
      </c>
      <c r="V2649" s="113"/>
    </row>
    <row r="2650" spans="2:22" x14ac:dyDescent="0.3">
      <c r="B2650" s="47"/>
      <c r="C2650" s="24"/>
      <c r="D2650" s="312"/>
      <c r="E2650" s="312"/>
      <c r="G2650" s="47"/>
      <c r="H2650" s="24"/>
      <c r="I2650" s="312"/>
      <c r="J2650" s="312"/>
      <c r="L2650" s="47"/>
      <c r="M2650" s="24"/>
      <c r="N2650" s="312"/>
      <c r="O2650" s="312"/>
      <c r="Q2650" s="47"/>
      <c r="R2650" s="136" t="s">
        <v>2205</v>
      </c>
      <c r="S2650" s="25" t="s">
        <v>2206</v>
      </c>
      <c r="T2650" s="155">
        <v>2353200</v>
      </c>
      <c r="U2650" s="155">
        <v>0</v>
      </c>
      <c r="V2650" s="113"/>
    </row>
    <row r="2651" spans="2:22" x14ac:dyDescent="0.3">
      <c r="B2651" s="47"/>
      <c r="C2651" s="24"/>
      <c r="D2651" s="312"/>
      <c r="E2651" s="312"/>
      <c r="G2651" s="47"/>
      <c r="H2651" s="24"/>
      <c r="I2651" s="312"/>
      <c r="J2651" s="312"/>
      <c r="L2651" s="47"/>
      <c r="M2651" s="24"/>
      <c r="N2651" s="312"/>
      <c r="O2651" s="312"/>
      <c r="Q2651" s="47"/>
      <c r="R2651" s="136" t="s">
        <v>2207</v>
      </c>
      <c r="S2651" s="25" t="s">
        <v>2208</v>
      </c>
      <c r="T2651" s="155">
        <v>2791225</v>
      </c>
      <c r="U2651" s="155">
        <v>0</v>
      </c>
      <c r="V2651" s="113"/>
    </row>
    <row r="2652" spans="2:22" x14ac:dyDescent="0.3">
      <c r="B2652" s="47"/>
      <c r="C2652" s="24"/>
      <c r="D2652" s="312"/>
      <c r="E2652" s="312"/>
      <c r="G2652" s="47"/>
      <c r="H2652" s="24"/>
      <c r="I2652" s="312"/>
      <c r="J2652" s="312"/>
      <c r="L2652" s="47"/>
      <c r="M2652" s="24"/>
      <c r="N2652" s="312"/>
      <c r="O2652" s="312"/>
      <c r="Q2652" s="47"/>
      <c r="R2652" s="136" t="s">
        <v>2209</v>
      </c>
      <c r="S2652" s="25" t="s">
        <v>2210</v>
      </c>
      <c r="T2652" s="155">
        <v>4140000</v>
      </c>
      <c r="U2652" s="155">
        <v>0</v>
      </c>
      <c r="V2652" s="113"/>
    </row>
    <row r="2653" spans="2:22" x14ac:dyDescent="0.3">
      <c r="B2653" s="47"/>
      <c r="C2653" s="24"/>
      <c r="D2653" s="312"/>
      <c r="E2653" s="312"/>
      <c r="G2653" s="47"/>
      <c r="H2653" s="24"/>
      <c r="I2653" s="312"/>
      <c r="J2653" s="312"/>
      <c r="L2653" s="47"/>
      <c r="M2653" s="24"/>
      <c r="N2653" s="312"/>
      <c r="O2653" s="312"/>
      <c r="Q2653" s="47"/>
      <c r="R2653" s="136" t="s">
        <v>2340</v>
      </c>
      <c r="S2653" s="25" t="s">
        <v>2159</v>
      </c>
      <c r="T2653" s="155">
        <v>3118400</v>
      </c>
      <c r="U2653" s="155">
        <v>0</v>
      </c>
      <c r="V2653" s="113"/>
    </row>
    <row r="2654" spans="2:22" x14ac:dyDescent="0.3">
      <c r="B2654" s="47"/>
      <c r="C2654" s="24"/>
      <c r="D2654" s="312"/>
      <c r="E2654" s="312"/>
      <c r="G2654" s="47"/>
      <c r="H2654" s="24"/>
      <c r="I2654" s="312"/>
      <c r="J2654" s="312"/>
      <c r="L2654" s="47"/>
      <c r="M2654" s="24"/>
      <c r="N2654" s="312"/>
      <c r="O2654" s="312"/>
      <c r="Q2654" s="47"/>
      <c r="R2654" s="136" t="s">
        <v>2160</v>
      </c>
      <c r="S2654" s="25" t="s">
        <v>2161</v>
      </c>
      <c r="T2654" s="155">
        <v>1345414</v>
      </c>
      <c r="U2654" s="155">
        <v>0</v>
      </c>
      <c r="V2654" s="113"/>
    </row>
    <row r="2655" spans="2:22" x14ac:dyDescent="0.3">
      <c r="B2655" s="47"/>
      <c r="C2655" s="24"/>
      <c r="D2655" s="312"/>
      <c r="E2655" s="312"/>
      <c r="G2655" s="47"/>
      <c r="H2655" s="24"/>
      <c r="I2655" s="312"/>
      <c r="J2655" s="312"/>
      <c r="L2655" s="47"/>
      <c r="M2655" s="24"/>
      <c r="N2655" s="312"/>
      <c r="O2655" s="312"/>
      <c r="Q2655" s="47"/>
      <c r="R2655" s="136" t="s">
        <v>2162</v>
      </c>
      <c r="S2655" s="25" t="s">
        <v>2163</v>
      </c>
      <c r="T2655" s="155">
        <v>2330304</v>
      </c>
      <c r="U2655" s="155">
        <v>0</v>
      </c>
      <c r="V2655" s="113"/>
    </row>
    <row r="2656" spans="2:22" x14ac:dyDescent="0.3">
      <c r="B2656" s="47"/>
      <c r="C2656" s="24"/>
      <c r="D2656" s="312"/>
      <c r="E2656" s="312"/>
      <c r="G2656" s="47"/>
      <c r="H2656" s="24"/>
      <c r="I2656" s="312"/>
      <c r="J2656" s="312"/>
      <c r="L2656" s="47"/>
      <c r="M2656" s="24"/>
      <c r="N2656" s="312"/>
      <c r="O2656" s="312"/>
      <c r="Q2656" s="47"/>
      <c r="R2656" s="136" t="s">
        <v>2165</v>
      </c>
      <c r="S2656" s="25" t="s">
        <v>2166</v>
      </c>
      <c r="T2656" s="155">
        <v>2574000</v>
      </c>
      <c r="U2656" s="155">
        <v>0</v>
      </c>
      <c r="V2656" s="113"/>
    </row>
    <row r="2657" spans="2:22" x14ac:dyDescent="0.3">
      <c r="B2657" s="47"/>
      <c r="C2657" s="24"/>
      <c r="D2657" s="312"/>
      <c r="E2657" s="312"/>
      <c r="G2657" s="47"/>
      <c r="H2657" s="24"/>
      <c r="I2657" s="312"/>
      <c r="J2657" s="312"/>
      <c r="L2657" s="47"/>
      <c r="M2657" s="24"/>
      <c r="N2657" s="312"/>
      <c r="O2657" s="312"/>
      <c r="Q2657" s="47"/>
      <c r="R2657" s="136" t="s">
        <v>2168</v>
      </c>
      <c r="S2657" s="25" t="s">
        <v>2169</v>
      </c>
      <c r="T2657" s="155">
        <v>1781910</v>
      </c>
      <c r="U2657" s="155">
        <v>0</v>
      </c>
      <c r="V2657" s="113"/>
    </row>
    <row r="2658" spans="2:22" x14ac:dyDescent="0.3">
      <c r="B2658" s="47"/>
      <c r="C2658" s="24"/>
      <c r="D2658" s="312"/>
      <c r="E2658" s="312"/>
      <c r="G2658" s="47"/>
      <c r="H2658" s="24"/>
      <c r="I2658" s="312"/>
      <c r="J2658" s="312"/>
      <c r="L2658" s="47"/>
      <c r="M2658" s="24"/>
      <c r="N2658" s="312"/>
      <c r="O2658" s="312"/>
      <c r="Q2658" s="47"/>
      <c r="R2658" s="136" t="s">
        <v>2168</v>
      </c>
      <c r="S2658" s="25" t="s">
        <v>2169</v>
      </c>
      <c r="T2658" s="155">
        <v>599850</v>
      </c>
      <c r="U2658" s="155">
        <v>0</v>
      </c>
      <c r="V2658" s="113"/>
    </row>
    <row r="2659" spans="2:22" x14ac:dyDescent="0.3">
      <c r="B2659" s="47"/>
      <c r="C2659" s="24"/>
      <c r="D2659" s="312"/>
      <c r="E2659" s="312"/>
      <c r="G2659" s="47"/>
      <c r="H2659" s="24"/>
      <c r="I2659" s="312"/>
      <c r="J2659" s="312"/>
      <c r="L2659" s="47"/>
      <c r="M2659" s="24"/>
      <c r="N2659" s="312"/>
      <c r="O2659" s="312"/>
      <c r="Q2659" s="47"/>
      <c r="R2659" s="136" t="s">
        <v>3313</v>
      </c>
      <c r="S2659" s="25" t="s">
        <v>2211</v>
      </c>
      <c r="T2659" s="155">
        <v>1229583</v>
      </c>
      <c r="U2659" s="155">
        <v>0</v>
      </c>
      <c r="V2659" s="113"/>
    </row>
    <row r="2660" spans="2:22" x14ac:dyDescent="0.3">
      <c r="B2660" s="47"/>
      <c r="C2660" s="24"/>
      <c r="D2660" s="312"/>
      <c r="E2660" s="312"/>
      <c r="G2660" s="47"/>
      <c r="H2660" s="24"/>
      <c r="I2660" s="312"/>
      <c r="J2660" s="312"/>
      <c r="L2660" s="47"/>
      <c r="M2660" s="24"/>
      <c r="N2660" s="312"/>
      <c r="O2660" s="312"/>
      <c r="Q2660" s="47"/>
      <c r="R2660" s="136" t="s">
        <v>2212</v>
      </c>
      <c r="S2660" s="25" t="s">
        <v>2213</v>
      </c>
      <c r="T2660" s="155">
        <v>1485696</v>
      </c>
      <c r="U2660" s="155">
        <v>0</v>
      </c>
      <c r="V2660" s="113"/>
    </row>
    <row r="2661" spans="2:22" x14ac:dyDescent="0.3">
      <c r="B2661" s="47"/>
      <c r="C2661" s="24"/>
      <c r="D2661" s="312"/>
      <c r="E2661" s="312"/>
      <c r="G2661" s="47"/>
      <c r="H2661" s="24"/>
      <c r="I2661" s="312"/>
      <c r="J2661" s="312"/>
      <c r="L2661" s="47"/>
      <c r="M2661" s="24"/>
      <c r="N2661" s="312"/>
      <c r="O2661" s="312"/>
      <c r="Q2661" s="47"/>
      <c r="R2661" s="136" t="s">
        <v>2214</v>
      </c>
      <c r="S2661" s="25" t="s">
        <v>2215</v>
      </c>
      <c r="T2661" s="155">
        <v>2010615</v>
      </c>
      <c r="U2661" s="155">
        <v>0</v>
      </c>
      <c r="V2661" s="113"/>
    </row>
    <row r="2662" spans="2:22" x14ac:dyDescent="0.3">
      <c r="B2662" s="47"/>
      <c r="C2662" s="24"/>
      <c r="D2662" s="312"/>
      <c r="E2662" s="312"/>
      <c r="G2662" s="47"/>
      <c r="H2662" s="24"/>
      <c r="I2662" s="312"/>
      <c r="J2662" s="312"/>
      <c r="L2662" s="47"/>
      <c r="M2662" s="24"/>
      <c r="N2662" s="312"/>
      <c r="O2662" s="312"/>
      <c r="Q2662" s="47"/>
      <c r="R2662" s="136" t="s">
        <v>1985</v>
      </c>
      <c r="S2662" s="25" t="s">
        <v>2197</v>
      </c>
      <c r="T2662" s="155">
        <v>2173660</v>
      </c>
      <c r="U2662" s="155">
        <v>0</v>
      </c>
      <c r="V2662" s="113"/>
    </row>
    <row r="2663" spans="2:22" x14ac:dyDescent="0.3">
      <c r="B2663" s="47"/>
      <c r="C2663" s="24"/>
      <c r="D2663" s="312"/>
      <c r="E2663" s="312"/>
      <c r="G2663" s="47"/>
      <c r="H2663" s="24"/>
      <c r="I2663" s="312"/>
      <c r="J2663" s="312"/>
      <c r="L2663" s="47"/>
      <c r="M2663" s="24"/>
      <c r="N2663" s="312"/>
      <c r="O2663" s="312"/>
      <c r="Q2663" s="47"/>
      <c r="R2663" s="136" t="s">
        <v>1895</v>
      </c>
      <c r="S2663" s="25" t="s">
        <v>2174</v>
      </c>
      <c r="T2663" s="155">
        <v>2909760</v>
      </c>
      <c r="U2663" s="155">
        <v>0</v>
      </c>
      <c r="V2663" s="113"/>
    </row>
    <row r="2664" spans="2:22" x14ac:dyDescent="0.3">
      <c r="B2664" s="47"/>
      <c r="C2664" s="24"/>
      <c r="D2664" s="312"/>
      <c r="E2664" s="312"/>
      <c r="G2664" s="47"/>
      <c r="H2664" s="24"/>
      <c r="I2664" s="312"/>
      <c r="J2664" s="312"/>
      <c r="L2664" s="47"/>
      <c r="M2664" s="24"/>
      <c r="N2664" s="312"/>
      <c r="O2664" s="312"/>
      <c r="Q2664" s="47"/>
      <c r="R2664" s="136" t="s">
        <v>2177</v>
      </c>
      <c r="S2664" s="25" t="s">
        <v>2341</v>
      </c>
      <c r="T2664" s="155">
        <v>2991999</v>
      </c>
      <c r="U2664" s="155">
        <v>0</v>
      </c>
      <c r="V2664" s="113"/>
    </row>
    <row r="2665" spans="2:22" x14ac:dyDescent="0.3">
      <c r="B2665" s="47"/>
      <c r="C2665" s="24"/>
      <c r="D2665" s="312"/>
      <c r="E2665" s="312"/>
      <c r="G2665" s="47"/>
      <c r="H2665" s="24"/>
      <c r="I2665" s="312"/>
      <c r="J2665" s="312"/>
      <c r="L2665" s="47"/>
      <c r="M2665" s="24"/>
      <c r="N2665" s="312"/>
      <c r="O2665" s="312"/>
      <c r="Q2665" s="47"/>
      <c r="R2665" s="136" t="s">
        <v>2185</v>
      </c>
      <c r="S2665" s="25" t="s">
        <v>2184</v>
      </c>
      <c r="T2665" s="155">
        <v>5973795</v>
      </c>
      <c r="U2665" s="155">
        <v>0</v>
      </c>
      <c r="V2665" s="113"/>
    </row>
    <row r="2666" spans="2:22" x14ac:dyDescent="0.3">
      <c r="B2666" s="47"/>
      <c r="C2666" s="24"/>
      <c r="D2666" s="312"/>
      <c r="E2666" s="312"/>
      <c r="G2666" s="47"/>
      <c r="H2666" s="24"/>
      <c r="I2666" s="312"/>
      <c r="J2666" s="312"/>
      <c r="L2666" s="47"/>
      <c r="M2666" s="24"/>
      <c r="N2666" s="312"/>
      <c r="O2666" s="312"/>
      <c r="Q2666" s="47"/>
      <c r="R2666" s="136" t="s">
        <v>2187</v>
      </c>
      <c r="S2666" s="25" t="s">
        <v>2186</v>
      </c>
      <c r="T2666" s="155">
        <v>5528025</v>
      </c>
      <c r="U2666" s="155">
        <v>0</v>
      </c>
      <c r="V2666" s="113"/>
    </row>
    <row r="2667" spans="2:22" x14ac:dyDescent="0.3">
      <c r="B2667" s="47"/>
      <c r="C2667" s="24"/>
      <c r="D2667" s="312"/>
      <c r="E2667" s="312"/>
      <c r="G2667" s="47"/>
      <c r="H2667" s="24"/>
      <c r="I2667" s="312"/>
      <c r="J2667" s="312"/>
      <c r="L2667" s="47"/>
      <c r="M2667" s="24"/>
      <c r="N2667" s="312"/>
      <c r="O2667" s="312"/>
      <c r="Q2667" s="47"/>
      <c r="R2667" s="136" t="s">
        <v>2342</v>
      </c>
      <c r="S2667" s="25" t="s">
        <v>2188</v>
      </c>
      <c r="T2667" s="155">
        <v>1088100</v>
      </c>
      <c r="U2667" s="155">
        <v>0</v>
      </c>
      <c r="V2667" s="113"/>
    </row>
    <row r="2668" spans="2:22" x14ac:dyDescent="0.3">
      <c r="B2668" s="47"/>
      <c r="C2668" s="24"/>
      <c r="D2668" s="312"/>
      <c r="E2668" s="312"/>
      <c r="G2668" s="47"/>
      <c r="H2668" s="24"/>
      <c r="I2668" s="312"/>
      <c r="J2668" s="312"/>
      <c r="L2668" s="47"/>
      <c r="M2668" s="24"/>
      <c r="N2668" s="312"/>
      <c r="O2668" s="312"/>
      <c r="Q2668" s="47"/>
      <c r="R2668" s="136" t="s">
        <v>2342</v>
      </c>
      <c r="S2668" s="25" t="s">
        <v>2188</v>
      </c>
      <c r="T2668" s="155">
        <v>982335</v>
      </c>
      <c r="U2668" s="155">
        <v>0</v>
      </c>
      <c r="V2668" s="113"/>
    </row>
    <row r="2669" spans="2:22" x14ac:dyDescent="0.3">
      <c r="B2669" s="47"/>
      <c r="C2669" s="24"/>
      <c r="D2669" s="312"/>
      <c r="E2669" s="312"/>
      <c r="G2669" s="47"/>
      <c r="H2669" s="24"/>
      <c r="I2669" s="312"/>
      <c r="J2669" s="312"/>
      <c r="L2669" s="47"/>
      <c r="M2669" s="24"/>
      <c r="N2669" s="312"/>
      <c r="O2669" s="312"/>
      <c r="Q2669" s="47"/>
      <c r="R2669" s="136" t="s">
        <v>2190</v>
      </c>
      <c r="S2669" s="25" t="s">
        <v>2189</v>
      </c>
      <c r="T2669" s="155">
        <v>2529408</v>
      </c>
      <c r="U2669" s="155">
        <v>0</v>
      </c>
      <c r="V2669" s="113"/>
    </row>
    <row r="2670" spans="2:22" x14ac:dyDescent="0.3">
      <c r="B2670" s="47"/>
      <c r="C2670" s="24"/>
      <c r="D2670" s="312"/>
      <c r="E2670" s="312"/>
      <c r="G2670" s="47"/>
      <c r="H2670" s="24"/>
      <c r="I2670" s="312"/>
      <c r="J2670" s="312"/>
      <c r="L2670" s="47"/>
      <c r="M2670" s="24"/>
      <c r="N2670" s="312"/>
      <c r="O2670" s="312"/>
      <c r="Q2670" s="47"/>
      <c r="R2670" s="136" t="s">
        <v>2192</v>
      </c>
      <c r="S2670" s="25" t="s">
        <v>2191</v>
      </c>
      <c r="T2670" s="155">
        <v>2135680</v>
      </c>
      <c r="U2670" s="155">
        <v>0</v>
      </c>
      <c r="V2670" s="113"/>
    </row>
    <row r="2671" spans="2:22" x14ac:dyDescent="0.3">
      <c r="B2671" s="47"/>
      <c r="C2671" s="24"/>
      <c r="D2671" s="312"/>
      <c r="E2671" s="312"/>
      <c r="G2671" s="47"/>
      <c r="H2671" s="24"/>
      <c r="I2671" s="312"/>
      <c r="J2671" s="312"/>
      <c r="L2671" s="47"/>
      <c r="M2671" s="24"/>
      <c r="N2671" s="312"/>
      <c r="O2671" s="312"/>
      <c r="Q2671" s="47"/>
      <c r="R2671" s="136" t="s">
        <v>1896</v>
      </c>
      <c r="S2671" s="25" t="s">
        <v>2193</v>
      </c>
      <c r="T2671" s="155">
        <v>2852280</v>
      </c>
      <c r="U2671" s="155">
        <v>0</v>
      </c>
      <c r="V2671" s="113"/>
    </row>
    <row r="2672" spans="2:22" x14ac:dyDescent="0.3">
      <c r="B2672" s="47"/>
      <c r="C2672" s="24"/>
      <c r="D2672" s="312"/>
      <c r="E2672" s="312"/>
      <c r="G2672" s="47"/>
      <c r="H2672" s="24"/>
      <c r="I2672" s="312"/>
      <c r="J2672" s="312"/>
      <c r="L2672" s="47"/>
      <c r="M2672" s="24"/>
      <c r="N2672" s="312"/>
      <c r="O2672" s="312"/>
      <c r="Q2672" s="47"/>
      <c r="R2672" s="136" t="s">
        <v>3291</v>
      </c>
      <c r="S2672" s="25" t="s">
        <v>2171</v>
      </c>
      <c r="T2672" s="155">
        <v>1505087</v>
      </c>
      <c r="U2672" s="155">
        <v>0</v>
      </c>
      <c r="V2672" s="113"/>
    </row>
    <row r="2673" spans="2:22" x14ac:dyDescent="0.3">
      <c r="B2673" s="47"/>
      <c r="C2673" s="24"/>
      <c r="D2673" s="312"/>
      <c r="E2673" s="312"/>
      <c r="G2673" s="47"/>
      <c r="H2673" s="24"/>
      <c r="I2673" s="312"/>
      <c r="J2673" s="312"/>
      <c r="L2673" s="47"/>
      <c r="M2673" s="24"/>
      <c r="N2673" s="312"/>
      <c r="O2673" s="312"/>
      <c r="Q2673" s="47"/>
      <c r="R2673" s="136" t="s">
        <v>1898</v>
      </c>
      <c r="S2673" s="25" t="s">
        <v>2218</v>
      </c>
      <c r="T2673" s="155">
        <v>776289</v>
      </c>
      <c r="U2673" s="155">
        <v>0</v>
      </c>
      <c r="V2673" s="113"/>
    </row>
    <row r="2674" spans="2:22" x14ac:dyDescent="0.3">
      <c r="B2674" s="47"/>
      <c r="C2674" s="24"/>
      <c r="D2674" s="312"/>
      <c r="E2674" s="312"/>
      <c r="G2674" s="47"/>
      <c r="H2674" s="24"/>
      <c r="I2674" s="312"/>
      <c r="J2674" s="312"/>
      <c r="L2674" s="47"/>
      <c r="M2674" s="24"/>
      <c r="N2674" s="312"/>
      <c r="O2674" s="312"/>
      <c r="Q2674" s="47"/>
      <c r="R2674" s="136" t="s">
        <v>2219</v>
      </c>
      <c r="S2674" s="25" t="s">
        <v>2220</v>
      </c>
      <c r="T2674" s="155">
        <v>1132902</v>
      </c>
      <c r="U2674" s="155">
        <v>0</v>
      </c>
      <c r="V2674" s="113"/>
    </row>
    <row r="2675" spans="2:22" x14ac:dyDescent="0.3">
      <c r="B2675" s="47"/>
      <c r="C2675" s="24"/>
      <c r="D2675" s="312"/>
      <c r="E2675" s="312"/>
      <c r="G2675" s="47"/>
      <c r="H2675" s="24"/>
      <c r="I2675" s="312"/>
      <c r="J2675" s="312"/>
      <c r="L2675" s="47"/>
      <c r="M2675" s="24"/>
      <c r="N2675" s="312"/>
      <c r="O2675" s="312"/>
      <c r="Q2675" s="47"/>
      <c r="R2675" s="136" t="s">
        <v>2221</v>
      </c>
      <c r="S2675" s="25" t="s">
        <v>2222</v>
      </c>
      <c r="T2675" s="155">
        <v>643632</v>
      </c>
      <c r="U2675" s="155">
        <v>0</v>
      </c>
      <c r="V2675" s="113"/>
    </row>
    <row r="2676" spans="2:22" x14ac:dyDescent="0.3">
      <c r="B2676" s="47"/>
      <c r="C2676" s="24"/>
      <c r="D2676" s="312"/>
      <c r="E2676" s="312"/>
      <c r="G2676" s="47"/>
      <c r="H2676" s="24"/>
      <c r="I2676" s="312"/>
      <c r="J2676" s="312"/>
      <c r="L2676" s="47"/>
      <c r="M2676" s="24"/>
      <c r="N2676" s="312"/>
      <c r="O2676" s="312"/>
      <c r="Q2676" s="47"/>
      <c r="R2676" s="136" t="s">
        <v>2223</v>
      </c>
      <c r="S2676" s="25" t="s">
        <v>2224</v>
      </c>
      <c r="T2676" s="155">
        <v>4936396</v>
      </c>
      <c r="U2676" s="155">
        <v>0</v>
      </c>
      <c r="V2676" s="113"/>
    </row>
    <row r="2677" spans="2:22" x14ac:dyDescent="0.3">
      <c r="B2677" s="47"/>
      <c r="C2677" s="24"/>
      <c r="D2677" s="312"/>
      <c r="E2677" s="312"/>
      <c r="G2677" s="47"/>
      <c r="H2677" s="24"/>
      <c r="I2677" s="312"/>
      <c r="J2677" s="312"/>
      <c r="L2677" s="47"/>
      <c r="M2677" s="24"/>
      <c r="N2677" s="312"/>
      <c r="O2677" s="312"/>
      <c r="Q2677" s="47"/>
      <c r="R2677" s="136" t="s">
        <v>2226</v>
      </c>
      <c r="S2677" s="25" t="s">
        <v>2227</v>
      </c>
      <c r="T2677" s="155">
        <v>475776</v>
      </c>
      <c r="U2677" s="155">
        <v>0</v>
      </c>
      <c r="V2677" s="113"/>
    </row>
    <row r="2678" spans="2:22" x14ac:dyDescent="0.3">
      <c r="B2678" s="47"/>
      <c r="C2678" s="24"/>
      <c r="D2678" s="312"/>
      <c r="E2678" s="312"/>
      <c r="G2678" s="47"/>
      <c r="H2678" s="24"/>
      <c r="I2678" s="312"/>
      <c r="J2678" s="312"/>
      <c r="L2678" s="47"/>
      <c r="M2678" s="24"/>
      <c r="N2678" s="312"/>
      <c r="O2678" s="312"/>
      <c r="Q2678" s="47"/>
      <c r="R2678" s="136" t="s">
        <v>2230</v>
      </c>
      <c r="S2678" s="25" t="s">
        <v>2231</v>
      </c>
      <c r="T2678" s="155">
        <v>20000</v>
      </c>
      <c r="U2678" s="155">
        <v>0</v>
      </c>
      <c r="V2678" s="113"/>
    </row>
    <row r="2679" spans="2:22" x14ac:dyDescent="0.3">
      <c r="B2679" s="47"/>
      <c r="C2679" s="24"/>
      <c r="D2679" s="312"/>
      <c r="E2679" s="312"/>
      <c r="G2679" s="47"/>
      <c r="H2679" s="24"/>
      <c r="I2679" s="312"/>
      <c r="J2679" s="312"/>
      <c r="L2679" s="47"/>
      <c r="M2679" s="24"/>
      <c r="N2679" s="312"/>
      <c r="O2679" s="312"/>
      <c r="Q2679" s="241">
        <v>80110002</v>
      </c>
      <c r="R2679" s="242"/>
      <c r="S2679" s="246" t="s">
        <v>1120</v>
      </c>
      <c r="T2679" s="239">
        <f>SUM(T2680:T2720)-SUM(U2680:U2720)</f>
        <v>3580551</v>
      </c>
      <c r="U2679" s="240">
        <v>0</v>
      </c>
    </row>
    <row r="2680" spans="2:22" x14ac:dyDescent="0.3">
      <c r="B2680" s="47"/>
      <c r="C2680" s="24"/>
      <c r="D2680" s="312"/>
      <c r="E2680" s="312"/>
      <c r="G2680" s="47"/>
      <c r="H2680" s="24"/>
      <c r="I2680" s="312"/>
      <c r="J2680" s="312"/>
      <c r="L2680" s="47"/>
      <c r="M2680" s="24"/>
      <c r="N2680" s="312"/>
      <c r="O2680" s="312"/>
      <c r="Q2680" s="47"/>
      <c r="R2680" s="136" t="s">
        <v>1931</v>
      </c>
      <c r="S2680" s="25" t="s">
        <v>1932</v>
      </c>
      <c r="T2680" s="155">
        <v>31245</v>
      </c>
      <c r="U2680" s="155">
        <v>0</v>
      </c>
    </row>
    <row r="2681" spans="2:22" x14ac:dyDescent="0.3">
      <c r="B2681" s="47"/>
      <c r="C2681" s="24"/>
      <c r="D2681" s="312"/>
      <c r="E2681" s="312"/>
      <c r="G2681" s="47"/>
      <c r="H2681" s="24"/>
      <c r="I2681" s="312"/>
      <c r="J2681" s="312"/>
      <c r="L2681" s="47"/>
      <c r="M2681" s="24"/>
      <c r="N2681" s="312"/>
      <c r="O2681" s="312"/>
      <c r="Q2681" s="47"/>
      <c r="R2681" s="136" t="s">
        <v>1933</v>
      </c>
      <c r="S2681" s="25" t="s">
        <v>2195</v>
      </c>
      <c r="T2681" s="155">
        <v>21400</v>
      </c>
      <c r="U2681" s="155">
        <v>0</v>
      </c>
    </row>
    <row r="2682" spans="2:22" x14ac:dyDescent="0.3">
      <c r="B2682" s="47"/>
      <c r="C2682" s="24"/>
      <c r="D2682" s="312"/>
      <c r="E2682" s="312"/>
      <c r="G2682" s="47"/>
      <c r="H2682" s="24"/>
      <c r="I2682" s="312"/>
      <c r="J2682" s="312"/>
      <c r="L2682" s="47"/>
      <c r="M2682" s="24"/>
      <c r="N2682" s="312"/>
      <c r="O2682" s="312"/>
      <c r="Q2682" s="47"/>
      <c r="R2682" s="136" t="s">
        <v>1934</v>
      </c>
      <c r="S2682" s="25" t="s">
        <v>2196</v>
      </c>
      <c r="T2682" s="155">
        <v>41329</v>
      </c>
      <c r="U2682" s="155">
        <v>0</v>
      </c>
    </row>
    <row r="2683" spans="2:22" x14ac:dyDescent="0.3">
      <c r="B2683" s="47"/>
      <c r="C2683" s="24"/>
      <c r="D2683" s="312"/>
      <c r="E2683" s="312"/>
      <c r="G2683" s="47"/>
      <c r="H2683" s="24"/>
      <c r="I2683" s="312"/>
      <c r="J2683" s="312"/>
      <c r="L2683" s="47"/>
      <c r="M2683" s="24"/>
      <c r="N2683" s="312"/>
      <c r="O2683" s="312"/>
      <c r="Q2683" s="47"/>
      <c r="R2683" s="136" t="s">
        <v>2138</v>
      </c>
      <c r="S2683" s="25" t="s">
        <v>7</v>
      </c>
      <c r="T2683" s="155">
        <v>45300</v>
      </c>
      <c r="U2683" s="155">
        <v>0</v>
      </c>
    </row>
    <row r="2684" spans="2:22" x14ac:dyDescent="0.3">
      <c r="B2684" s="47"/>
      <c r="C2684" s="24"/>
      <c r="D2684" s="312"/>
      <c r="E2684" s="312"/>
      <c r="G2684" s="47"/>
      <c r="H2684" s="24"/>
      <c r="I2684" s="312"/>
      <c r="J2684" s="312"/>
      <c r="L2684" s="47"/>
      <c r="M2684" s="24"/>
      <c r="N2684" s="312"/>
      <c r="O2684" s="312"/>
      <c r="Q2684" s="47"/>
      <c r="R2684" s="136" t="s">
        <v>2154</v>
      </c>
      <c r="S2684" s="25" t="s">
        <v>2155</v>
      </c>
      <c r="T2684" s="155">
        <v>1150</v>
      </c>
      <c r="U2684" s="155">
        <v>0</v>
      </c>
    </row>
    <row r="2685" spans="2:22" x14ac:dyDescent="0.3">
      <c r="B2685" s="47"/>
      <c r="C2685" s="24"/>
      <c r="D2685" s="312"/>
      <c r="E2685" s="312"/>
      <c r="G2685" s="47"/>
      <c r="H2685" s="24"/>
      <c r="I2685" s="312"/>
      <c r="J2685" s="312"/>
      <c r="L2685" s="47"/>
      <c r="M2685" s="24"/>
      <c r="N2685" s="312"/>
      <c r="O2685" s="312"/>
      <c r="Q2685" s="47"/>
      <c r="R2685" s="136" t="s">
        <v>2156</v>
      </c>
      <c r="S2685" s="25" t="s">
        <v>2157</v>
      </c>
      <c r="T2685" s="155">
        <v>327815</v>
      </c>
      <c r="U2685" s="155">
        <v>0</v>
      </c>
    </row>
    <row r="2686" spans="2:22" x14ac:dyDescent="0.3">
      <c r="B2686" s="47"/>
      <c r="C2686" s="24"/>
      <c r="D2686" s="312"/>
      <c r="E2686" s="312"/>
      <c r="G2686" s="47"/>
      <c r="H2686" s="24"/>
      <c r="I2686" s="312"/>
      <c r="J2686" s="312"/>
      <c r="L2686" s="47"/>
      <c r="M2686" s="24"/>
      <c r="N2686" s="312"/>
      <c r="O2686" s="312"/>
      <c r="Q2686" s="47"/>
      <c r="R2686" s="136" t="s">
        <v>2199</v>
      </c>
      <c r="S2686" s="25" t="s">
        <v>2200</v>
      </c>
      <c r="T2686" s="155">
        <v>168133</v>
      </c>
      <c r="U2686" s="155">
        <v>0</v>
      </c>
    </row>
    <row r="2687" spans="2:22" x14ac:dyDescent="0.3">
      <c r="B2687" s="47"/>
      <c r="C2687" s="24"/>
      <c r="D2687" s="312"/>
      <c r="E2687" s="312"/>
      <c r="G2687" s="47"/>
      <c r="H2687" s="24"/>
      <c r="I2687" s="312"/>
      <c r="J2687" s="312"/>
      <c r="L2687" s="47"/>
      <c r="M2687" s="24"/>
      <c r="N2687" s="312"/>
      <c r="O2687" s="312"/>
      <c r="Q2687" s="47"/>
      <c r="R2687" s="136" t="s">
        <v>2201</v>
      </c>
      <c r="S2687" s="25" t="s">
        <v>2202</v>
      </c>
      <c r="T2687" s="155">
        <v>77348</v>
      </c>
      <c r="U2687" s="155">
        <v>0</v>
      </c>
    </row>
    <row r="2688" spans="2:22" x14ac:dyDescent="0.3">
      <c r="B2688" s="47"/>
      <c r="C2688" s="24"/>
      <c r="D2688" s="312"/>
      <c r="E2688" s="312"/>
      <c r="G2688" s="47"/>
      <c r="H2688" s="24"/>
      <c r="I2688" s="312"/>
      <c r="J2688" s="312"/>
      <c r="L2688" s="47"/>
      <c r="M2688" s="24"/>
      <c r="N2688" s="312"/>
      <c r="O2688" s="312"/>
      <c r="Q2688" s="47"/>
      <c r="R2688" s="136" t="s">
        <v>2203</v>
      </c>
      <c r="S2688" s="25" t="s">
        <v>2204</v>
      </c>
      <c r="T2688" s="155">
        <v>48460</v>
      </c>
      <c r="U2688" s="155">
        <v>0</v>
      </c>
    </row>
    <row r="2689" spans="2:21" x14ac:dyDescent="0.3">
      <c r="B2689" s="47"/>
      <c r="C2689" s="24"/>
      <c r="D2689" s="312"/>
      <c r="E2689" s="312"/>
      <c r="G2689" s="47"/>
      <c r="H2689" s="24"/>
      <c r="I2689" s="312"/>
      <c r="J2689" s="312"/>
      <c r="L2689" s="47"/>
      <c r="M2689" s="24"/>
      <c r="N2689" s="312"/>
      <c r="O2689" s="312"/>
      <c r="Q2689" s="47"/>
      <c r="R2689" s="136" t="s">
        <v>2205</v>
      </c>
      <c r="S2689" s="25" t="s">
        <v>2206</v>
      </c>
      <c r="T2689" s="155">
        <v>88416</v>
      </c>
      <c r="U2689" s="155">
        <v>0</v>
      </c>
    </row>
    <row r="2690" spans="2:21" x14ac:dyDescent="0.3">
      <c r="B2690" s="47"/>
      <c r="C2690" s="24"/>
      <c r="D2690" s="312"/>
      <c r="E2690" s="312"/>
      <c r="G2690" s="47"/>
      <c r="H2690" s="24"/>
      <c r="I2690" s="312"/>
      <c r="J2690" s="312"/>
      <c r="L2690" s="47"/>
      <c r="M2690" s="24"/>
      <c r="N2690" s="312"/>
      <c r="O2690" s="312"/>
      <c r="Q2690" s="47"/>
      <c r="R2690" s="136" t="s">
        <v>2207</v>
      </c>
      <c r="S2690" s="25" t="s">
        <v>2208</v>
      </c>
      <c r="T2690" s="155">
        <v>21700</v>
      </c>
      <c r="U2690" s="155">
        <v>0</v>
      </c>
    </row>
    <row r="2691" spans="2:21" x14ac:dyDescent="0.3">
      <c r="B2691" s="47"/>
      <c r="C2691" s="24"/>
      <c r="D2691" s="312"/>
      <c r="E2691" s="312"/>
      <c r="G2691" s="47"/>
      <c r="H2691" s="24"/>
      <c r="I2691" s="312"/>
      <c r="J2691" s="312"/>
      <c r="L2691" s="47"/>
      <c r="M2691" s="24"/>
      <c r="N2691" s="312"/>
      <c r="O2691" s="312"/>
      <c r="Q2691" s="47"/>
      <c r="R2691" s="136" t="s">
        <v>2209</v>
      </c>
      <c r="S2691" s="25" t="s">
        <v>2210</v>
      </c>
      <c r="T2691" s="155">
        <v>124885</v>
      </c>
      <c r="U2691" s="155">
        <v>0</v>
      </c>
    </row>
    <row r="2692" spans="2:21" x14ac:dyDescent="0.3">
      <c r="B2692" s="47"/>
      <c r="C2692" s="24"/>
      <c r="D2692" s="312"/>
      <c r="E2692" s="312"/>
      <c r="G2692" s="47"/>
      <c r="H2692" s="24"/>
      <c r="I2692" s="312"/>
      <c r="J2692" s="312"/>
      <c r="L2692" s="47"/>
      <c r="M2692" s="24"/>
      <c r="N2692" s="312"/>
      <c r="O2692" s="312"/>
      <c r="Q2692" s="47"/>
      <c r="R2692" s="136" t="s">
        <v>2340</v>
      </c>
      <c r="S2692" s="25" t="s">
        <v>2159</v>
      </c>
      <c r="T2692" s="155">
        <v>100435</v>
      </c>
      <c r="U2692" s="155">
        <v>0</v>
      </c>
    </row>
    <row r="2693" spans="2:21" x14ac:dyDescent="0.3">
      <c r="B2693" s="47"/>
      <c r="C2693" s="24"/>
      <c r="D2693" s="312"/>
      <c r="E2693" s="312"/>
      <c r="G2693" s="47"/>
      <c r="H2693" s="24"/>
      <c r="I2693" s="312"/>
      <c r="J2693" s="312"/>
      <c r="L2693" s="47"/>
      <c r="M2693" s="24"/>
      <c r="N2693" s="312"/>
      <c r="O2693" s="312"/>
      <c r="Q2693" s="47"/>
      <c r="R2693" s="136" t="s">
        <v>2160</v>
      </c>
      <c r="S2693" s="25" t="s">
        <v>2161</v>
      </c>
      <c r="T2693" s="155">
        <v>13070</v>
      </c>
      <c r="U2693" s="155">
        <v>0</v>
      </c>
    </row>
    <row r="2694" spans="2:21" x14ac:dyDescent="0.3">
      <c r="B2694" s="47"/>
      <c r="C2694" s="24"/>
      <c r="D2694" s="312"/>
      <c r="E2694" s="312"/>
      <c r="G2694" s="47"/>
      <c r="H2694" s="24"/>
      <c r="I2694" s="312"/>
      <c r="J2694" s="312"/>
      <c r="L2694" s="47"/>
      <c r="M2694" s="24"/>
      <c r="N2694" s="312"/>
      <c r="O2694" s="312"/>
      <c r="Q2694" s="47"/>
      <c r="R2694" s="136" t="s">
        <v>2162</v>
      </c>
      <c r="S2694" s="25" t="s">
        <v>2163</v>
      </c>
      <c r="T2694" s="155">
        <v>63307</v>
      </c>
      <c r="U2694" s="155">
        <v>0</v>
      </c>
    </row>
    <row r="2695" spans="2:21" x14ac:dyDescent="0.3">
      <c r="B2695" s="47"/>
      <c r="C2695" s="24"/>
      <c r="D2695" s="312"/>
      <c r="E2695" s="312"/>
      <c r="G2695" s="47"/>
      <c r="H2695" s="24"/>
      <c r="I2695" s="312"/>
      <c r="J2695" s="312"/>
      <c r="L2695" s="47"/>
      <c r="M2695" s="24"/>
      <c r="N2695" s="312"/>
      <c r="O2695" s="312"/>
      <c r="Q2695" s="47"/>
      <c r="R2695" s="136" t="s">
        <v>2165</v>
      </c>
      <c r="S2695" s="25" t="s">
        <v>2166</v>
      </c>
      <c r="T2695" s="155">
        <v>401804</v>
      </c>
      <c r="U2695" s="155">
        <v>0</v>
      </c>
    </row>
    <row r="2696" spans="2:21" x14ac:dyDescent="0.3">
      <c r="B2696" s="47"/>
      <c r="C2696" s="24"/>
      <c r="D2696" s="312"/>
      <c r="E2696" s="312"/>
      <c r="G2696" s="47"/>
      <c r="H2696" s="24"/>
      <c r="I2696" s="312"/>
      <c r="J2696" s="312"/>
      <c r="L2696" s="47"/>
      <c r="M2696" s="24"/>
      <c r="N2696" s="312"/>
      <c r="O2696" s="312"/>
      <c r="Q2696" s="47"/>
      <c r="R2696" s="136" t="s">
        <v>2168</v>
      </c>
      <c r="S2696" s="25" t="s">
        <v>2169</v>
      </c>
      <c r="T2696" s="155">
        <v>24868</v>
      </c>
      <c r="U2696" s="155">
        <v>0</v>
      </c>
    </row>
    <row r="2697" spans="2:21" x14ac:dyDescent="0.3">
      <c r="B2697" s="47"/>
      <c r="C2697" s="24"/>
      <c r="D2697" s="312"/>
      <c r="E2697" s="312"/>
      <c r="G2697" s="47"/>
      <c r="H2697" s="24"/>
      <c r="I2697" s="312"/>
      <c r="J2697" s="312"/>
      <c r="L2697" s="47"/>
      <c r="M2697" s="24"/>
      <c r="N2697" s="312"/>
      <c r="O2697" s="312"/>
      <c r="Q2697" s="47"/>
      <c r="R2697" s="136" t="s">
        <v>3313</v>
      </c>
      <c r="S2697" s="25" t="s">
        <v>2211</v>
      </c>
      <c r="T2697" s="155">
        <v>98865</v>
      </c>
      <c r="U2697" s="155">
        <v>0</v>
      </c>
    </row>
    <row r="2698" spans="2:21" x14ac:dyDescent="0.3">
      <c r="B2698" s="47"/>
      <c r="C2698" s="24"/>
      <c r="D2698" s="312"/>
      <c r="E2698" s="312"/>
      <c r="G2698" s="47"/>
      <c r="H2698" s="24"/>
      <c r="I2698" s="312"/>
      <c r="J2698" s="312"/>
      <c r="L2698" s="47"/>
      <c r="M2698" s="24"/>
      <c r="N2698" s="312"/>
      <c r="O2698" s="312"/>
      <c r="Q2698" s="47"/>
      <c r="R2698" s="136" t="s">
        <v>2212</v>
      </c>
      <c r="S2698" s="25" t="s">
        <v>2213</v>
      </c>
      <c r="T2698" s="155">
        <v>27641</v>
      </c>
      <c r="U2698" s="155">
        <v>0</v>
      </c>
    </row>
    <row r="2699" spans="2:21" x14ac:dyDescent="0.3">
      <c r="B2699" s="47"/>
      <c r="C2699" s="24"/>
      <c r="D2699" s="312"/>
      <c r="E2699" s="312"/>
      <c r="G2699" s="47"/>
      <c r="H2699" s="24"/>
      <c r="I2699" s="312"/>
      <c r="J2699" s="312"/>
      <c r="L2699" s="47"/>
      <c r="M2699" s="24"/>
      <c r="N2699" s="312"/>
      <c r="O2699" s="312"/>
      <c r="Q2699" s="47"/>
      <c r="R2699" s="136" t="s">
        <v>2214</v>
      </c>
      <c r="S2699" s="25" t="s">
        <v>2215</v>
      </c>
      <c r="T2699" s="155">
        <v>22600</v>
      </c>
      <c r="U2699" s="155">
        <v>0</v>
      </c>
    </row>
    <row r="2700" spans="2:21" x14ac:dyDescent="0.3">
      <c r="B2700" s="47"/>
      <c r="C2700" s="24"/>
      <c r="D2700" s="312"/>
      <c r="E2700" s="312"/>
      <c r="G2700" s="47"/>
      <c r="H2700" s="24"/>
      <c r="I2700" s="312"/>
      <c r="J2700" s="312"/>
      <c r="L2700" s="47"/>
      <c r="M2700" s="24"/>
      <c r="N2700" s="312"/>
      <c r="O2700" s="312"/>
      <c r="Q2700" s="47"/>
      <c r="R2700" s="136" t="s">
        <v>1985</v>
      </c>
      <c r="S2700" s="25" t="s">
        <v>2197</v>
      </c>
      <c r="T2700" s="155">
        <v>27636</v>
      </c>
      <c r="U2700" s="155">
        <v>0</v>
      </c>
    </row>
    <row r="2701" spans="2:21" x14ac:dyDescent="0.3">
      <c r="B2701" s="47"/>
      <c r="C2701" s="24"/>
      <c r="D2701" s="312"/>
      <c r="E2701" s="312"/>
      <c r="G2701" s="47"/>
      <c r="H2701" s="24"/>
      <c r="I2701" s="312"/>
      <c r="J2701" s="312"/>
      <c r="L2701" s="47"/>
      <c r="M2701" s="24"/>
      <c r="N2701" s="312"/>
      <c r="O2701" s="312"/>
      <c r="Q2701" s="47"/>
      <c r="R2701" s="136" t="s">
        <v>1986</v>
      </c>
      <c r="S2701" s="25" t="s">
        <v>2198</v>
      </c>
      <c r="T2701" s="155">
        <v>600</v>
      </c>
      <c r="U2701" s="155">
        <v>0</v>
      </c>
    </row>
    <row r="2702" spans="2:21" x14ac:dyDescent="0.3">
      <c r="B2702" s="47"/>
      <c r="C2702" s="24"/>
      <c r="D2702" s="312"/>
      <c r="E2702" s="312"/>
      <c r="G2702" s="47"/>
      <c r="H2702" s="24"/>
      <c r="I2702" s="312"/>
      <c r="J2702" s="312"/>
      <c r="L2702" s="47"/>
      <c r="M2702" s="24"/>
      <c r="N2702" s="312"/>
      <c r="O2702" s="312"/>
      <c r="Q2702" s="47"/>
      <c r="R2702" s="136" t="s">
        <v>1895</v>
      </c>
      <c r="S2702" s="25" t="s">
        <v>2174</v>
      </c>
      <c r="T2702" s="155">
        <v>269725</v>
      </c>
      <c r="U2702" s="155">
        <v>0</v>
      </c>
    </row>
    <row r="2703" spans="2:21" x14ac:dyDescent="0.3">
      <c r="B2703" s="47"/>
      <c r="C2703" s="24"/>
      <c r="D2703" s="312"/>
      <c r="E2703" s="312"/>
      <c r="G2703" s="47"/>
      <c r="H2703" s="24"/>
      <c r="I2703" s="312"/>
      <c r="J2703" s="312"/>
      <c r="L2703" s="47"/>
      <c r="M2703" s="24"/>
      <c r="N2703" s="312"/>
      <c r="O2703" s="312"/>
      <c r="Q2703" s="47"/>
      <c r="R2703" s="136" t="s">
        <v>2177</v>
      </c>
      <c r="S2703" s="25" t="s">
        <v>2341</v>
      </c>
      <c r="T2703" s="155">
        <v>243283</v>
      </c>
      <c r="U2703" s="155">
        <v>0</v>
      </c>
    </row>
    <row r="2704" spans="2:21" x14ac:dyDescent="0.3">
      <c r="B2704" s="47"/>
      <c r="C2704" s="24"/>
      <c r="D2704" s="312"/>
      <c r="E2704" s="312"/>
      <c r="G2704" s="47"/>
      <c r="H2704" s="24"/>
      <c r="I2704" s="312"/>
      <c r="J2704" s="312"/>
      <c r="L2704" s="47"/>
      <c r="M2704" s="24"/>
      <c r="N2704" s="312"/>
      <c r="O2704" s="312"/>
      <c r="Q2704" s="47"/>
      <c r="R2704" s="136" t="s">
        <v>2183</v>
      </c>
      <c r="S2704" s="25" t="s">
        <v>2182</v>
      </c>
      <c r="T2704" s="155">
        <v>18300</v>
      </c>
      <c r="U2704" s="155">
        <v>0</v>
      </c>
    </row>
    <row r="2705" spans="2:21" x14ac:dyDescent="0.3">
      <c r="B2705" s="47"/>
      <c r="C2705" s="24"/>
      <c r="D2705" s="312"/>
      <c r="E2705" s="312"/>
      <c r="G2705" s="47"/>
      <c r="H2705" s="24"/>
      <c r="I2705" s="312"/>
      <c r="J2705" s="312"/>
      <c r="L2705" s="47"/>
      <c r="M2705" s="24"/>
      <c r="N2705" s="312"/>
      <c r="O2705" s="312"/>
      <c r="Q2705" s="47"/>
      <c r="R2705" s="136" t="s">
        <v>2185</v>
      </c>
      <c r="S2705" s="25" t="s">
        <v>2184</v>
      </c>
      <c r="T2705" s="155">
        <v>89620</v>
      </c>
      <c r="U2705" s="155">
        <v>0</v>
      </c>
    </row>
    <row r="2706" spans="2:21" x14ac:dyDescent="0.3">
      <c r="B2706" s="47"/>
      <c r="C2706" s="24"/>
      <c r="D2706" s="312"/>
      <c r="E2706" s="312"/>
      <c r="G2706" s="47"/>
      <c r="H2706" s="24"/>
      <c r="I2706" s="312"/>
      <c r="J2706" s="312"/>
      <c r="L2706" s="47"/>
      <c r="M2706" s="24"/>
      <c r="N2706" s="312"/>
      <c r="O2706" s="312"/>
      <c r="Q2706" s="47"/>
      <c r="R2706" s="136" t="s">
        <v>2187</v>
      </c>
      <c r="S2706" s="25" t="s">
        <v>2186</v>
      </c>
      <c r="T2706" s="155">
        <v>19240</v>
      </c>
      <c r="U2706" s="155">
        <v>0</v>
      </c>
    </row>
    <row r="2707" spans="2:21" x14ac:dyDescent="0.3">
      <c r="B2707" s="47"/>
      <c r="C2707" s="24"/>
      <c r="D2707" s="312"/>
      <c r="E2707" s="312"/>
      <c r="G2707" s="47"/>
      <c r="H2707" s="24"/>
      <c r="I2707" s="312"/>
      <c r="J2707" s="312"/>
      <c r="L2707" s="47"/>
      <c r="M2707" s="24"/>
      <c r="N2707" s="312"/>
      <c r="O2707" s="312"/>
      <c r="Q2707" s="47"/>
      <c r="R2707" s="136" t="s">
        <v>2342</v>
      </c>
      <c r="S2707" s="25" t="s">
        <v>2188</v>
      </c>
      <c r="T2707" s="155">
        <v>13000</v>
      </c>
      <c r="U2707" s="155">
        <v>0</v>
      </c>
    </row>
    <row r="2708" spans="2:21" x14ac:dyDescent="0.3">
      <c r="B2708" s="47"/>
      <c r="C2708" s="24"/>
      <c r="D2708" s="312"/>
      <c r="E2708" s="312"/>
      <c r="G2708" s="47"/>
      <c r="H2708" s="24"/>
      <c r="I2708" s="312"/>
      <c r="J2708" s="312"/>
      <c r="L2708" s="47"/>
      <c r="M2708" s="24"/>
      <c r="N2708" s="312"/>
      <c r="O2708" s="312"/>
      <c r="Q2708" s="47"/>
      <c r="R2708" s="136" t="s">
        <v>2190</v>
      </c>
      <c r="S2708" s="25" t="s">
        <v>2189</v>
      </c>
      <c r="T2708" s="155">
        <v>304907</v>
      </c>
      <c r="U2708" s="155">
        <v>0</v>
      </c>
    </row>
    <row r="2709" spans="2:21" x14ac:dyDescent="0.3">
      <c r="B2709" s="47"/>
      <c r="C2709" s="24"/>
      <c r="D2709" s="312"/>
      <c r="E2709" s="312"/>
      <c r="G2709" s="47"/>
      <c r="H2709" s="24"/>
      <c r="I2709" s="312"/>
      <c r="J2709" s="312"/>
      <c r="L2709" s="47"/>
      <c r="M2709" s="24"/>
      <c r="N2709" s="312"/>
      <c r="O2709" s="312"/>
      <c r="Q2709" s="47"/>
      <c r="R2709" s="136" t="s">
        <v>2192</v>
      </c>
      <c r="S2709" s="25" t="s">
        <v>2191</v>
      </c>
      <c r="T2709" s="155">
        <v>8793</v>
      </c>
      <c r="U2709" s="155">
        <v>0</v>
      </c>
    </row>
    <row r="2710" spans="2:21" x14ac:dyDescent="0.3">
      <c r="B2710" s="47"/>
      <c r="C2710" s="24"/>
      <c r="D2710" s="312"/>
      <c r="E2710" s="312"/>
      <c r="G2710" s="47"/>
      <c r="H2710" s="24"/>
      <c r="I2710" s="312"/>
      <c r="J2710" s="312"/>
      <c r="L2710" s="47"/>
      <c r="M2710" s="24"/>
      <c r="N2710" s="312"/>
      <c r="O2710" s="312"/>
      <c r="Q2710" s="47"/>
      <c r="R2710" s="136" t="s">
        <v>1896</v>
      </c>
      <c r="S2710" s="25" t="s">
        <v>2193</v>
      </c>
      <c r="T2710" s="155">
        <v>222934</v>
      </c>
      <c r="U2710" s="155">
        <v>0</v>
      </c>
    </row>
    <row r="2711" spans="2:21" x14ac:dyDescent="0.3">
      <c r="B2711" s="47"/>
      <c r="C2711" s="24"/>
      <c r="D2711" s="312"/>
      <c r="E2711" s="312"/>
      <c r="G2711" s="47"/>
      <c r="H2711" s="24"/>
      <c r="I2711" s="312"/>
      <c r="J2711" s="312"/>
      <c r="L2711" s="47"/>
      <c r="M2711" s="24"/>
      <c r="N2711" s="312"/>
      <c r="O2711" s="312"/>
      <c r="Q2711" s="47"/>
      <c r="R2711" s="136" t="s">
        <v>2343</v>
      </c>
      <c r="S2711" s="25" t="s">
        <v>2194</v>
      </c>
      <c r="T2711" s="155">
        <v>3450</v>
      </c>
      <c r="U2711" s="155">
        <v>0</v>
      </c>
    </row>
    <row r="2712" spans="2:21" x14ac:dyDescent="0.3">
      <c r="B2712" s="47"/>
      <c r="C2712" s="24"/>
      <c r="D2712" s="312"/>
      <c r="E2712" s="312"/>
      <c r="G2712" s="47"/>
      <c r="H2712" s="24"/>
      <c r="I2712" s="312"/>
      <c r="J2712" s="312"/>
      <c r="L2712" s="47"/>
      <c r="M2712" s="24"/>
      <c r="N2712" s="312"/>
      <c r="O2712" s="312"/>
      <c r="Q2712" s="47"/>
      <c r="R2712" s="136" t="s">
        <v>3291</v>
      </c>
      <c r="S2712" s="25" t="s">
        <v>2171</v>
      </c>
      <c r="T2712" s="155">
        <v>94570</v>
      </c>
      <c r="U2712" s="155">
        <v>0</v>
      </c>
    </row>
    <row r="2713" spans="2:21" x14ac:dyDescent="0.3">
      <c r="B2713" s="47"/>
      <c r="C2713" s="24"/>
      <c r="D2713" s="312"/>
      <c r="E2713" s="312"/>
      <c r="G2713" s="47"/>
      <c r="H2713" s="24"/>
      <c r="I2713" s="312"/>
      <c r="J2713" s="312"/>
      <c r="L2713" s="47"/>
      <c r="M2713" s="24"/>
      <c r="N2713" s="312"/>
      <c r="O2713" s="312"/>
      <c r="Q2713" s="47"/>
      <c r="R2713" s="136" t="s">
        <v>1898</v>
      </c>
      <c r="S2713" s="25" t="s">
        <v>2218</v>
      </c>
      <c r="T2713" s="155">
        <v>33933</v>
      </c>
      <c r="U2713" s="155">
        <v>0</v>
      </c>
    </row>
    <row r="2714" spans="2:21" x14ac:dyDescent="0.3">
      <c r="B2714" s="47"/>
      <c r="C2714" s="24"/>
      <c r="D2714" s="312"/>
      <c r="E2714" s="312"/>
      <c r="G2714" s="47"/>
      <c r="H2714" s="24"/>
      <c r="I2714" s="312"/>
      <c r="J2714" s="312"/>
      <c r="L2714" s="47"/>
      <c r="M2714" s="24"/>
      <c r="N2714" s="312"/>
      <c r="O2714" s="312"/>
      <c r="Q2714" s="47"/>
      <c r="R2714" s="136" t="s">
        <v>2219</v>
      </c>
      <c r="S2714" s="25" t="s">
        <v>2220</v>
      </c>
      <c r="T2714" s="155">
        <v>60175</v>
      </c>
      <c r="U2714" s="155">
        <v>0</v>
      </c>
    </row>
    <row r="2715" spans="2:21" x14ac:dyDescent="0.3">
      <c r="B2715" s="47"/>
      <c r="C2715" s="24"/>
      <c r="D2715" s="312"/>
      <c r="E2715" s="312"/>
      <c r="G2715" s="47"/>
      <c r="H2715" s="24"/>
      <c r="I2715" s="312"/>
      <c r="J2715" s="312"/>
      <c r="L2715" s="47"/>
      <c r="M2715" s="24"/>
      <c r="N2715" s="312"/>
      <c r="O2715" s="312"/>
      <c r="Q2715" s="47"/>
      <c r="R2715" s="136" t="s">
        <v>2221</v>
      </c>
      <c r="S2715" s="25" t="s">
        <v>2222</v>
      </c>
      <c r="T2715" s="155">
        <v>42018</v>
      </c>
      <c r="U2715" s="155">
        <v>0</v>
      </c>
    </row>
    <row r="2716" spans="2:21" x14ac:dyDescent="0.3">
      <c r="B2716" s="47"/>
      <c r="C2716" s="24"/>
      <c r="D2716" s="312"/>
      <c r="E2716" s="312"/>
      <c r="G2716" s="47"/>
      <c r="H2716" s="24"/>
      <c r="I2716" s="312"/>
      <c r="J2716" s="312"/>
      <c r="L2716" s="47"/>
      <c r="M2716" s="24"/>
      <c r="N2716" s="312"/>
      <c r="O2716" s="312"/>
      <c r="Q2716" s="47"/>
      <c r="R2716" s="136" t="s">
        <v>2223</v>
      </c>
      <c r="S2716" s="25" t="s">
        <v>2224</v>
      </c>
      <c r="T2716" s="155">
        <v>64250</v>
      </c>
      <c r="U2716" s="155">
        <v>0</v>
      </c>
    </row>
    <row r="2717" spans="2:21" x14ac:dyDescent="0.3">
      <c r="B2717" s="47"/>
      <c r="C2717" s="24"/>
      <c r="D2717" s="312"/>
      <c r="E2717" s="312"/>
      <c r="G2717" s="47"/>
      <c r="H2717" s="24"/>
      <c r="I2717" s="312"/>
      <c r="J2717" s="312"/>
      <c r="L2717" s="47"/>
      <c r="M2717" s="24"/>
      <c r="N2717" s="312"/>
      <c r="O2717" s="312"/>
      <c r="Q2717" s="47"/>
      <c r="R2717" s="136" t="s">
        <v>2226</v>
      </c>
      <c r="S2717" s="25" t="s">
        <v>2227</v>
      </c>
      <c r="T2717" s="155">
        <v>306146</v>
      </c>
      <c r="U2717" s="155">
        <v>0</v>
      </c>
    </row>
    <row r="2718" spans="2:21" x14ac:dyDescent="0.3">
      <c r="B2718" s="47"/>
      <c r="C2718" s="24"/>
      <c r="D2718" s="312"/>
      <c r="E2718" s="312"/>
      <c r="G2718" s="47"/>
      <c r="H2718" s="24"/>
      <c r="I2718" s="312"/>
      <c r="J2718" s="312"/>
      <c r="L2718" s="47"/>
      <c r="M2718" s="24"/>
      <c r="N2718" s="312"/>
      <c r="O2718" s="312"/>
      <c r="Q2718" s="47"/>
      <c r="R2718" s="136" t="s">
        <v>2228</v>
      </c>
      <c r="S2718" s="25" t="s">
        <v>1990</v>
      </c>
      <c r="T2718" s="155">
        <v>3800</v>
      </c>
      <c r="U2718" s="155">
        <v>0</v>
      </c>
    </row>
    <row r="2719" spans="2:21" x14ac:dyDescent="0.3">
      <c r="B2719" s="47"/>
      <c r="C2719" s="24"/>
      <c r="D2719" s="312"/>
      <c r="E2719" s="312"/>
      <c r="G2719" s="47"/>
      <c r="H2719" s="24"/>
      <c r="I2719" s="312"/>
      <c r="J2719" s="312"/>
      <c r="L2719" s="47"/>
      <c r="M2719" s="24"/>
      <c r="N2719" s="312"/>
      <c r="O2719" s="312"/>
      <c r="Q2719" s="47"/>
      <c r="R2719" s="136" t="s">
        <v>2232</v>
      </c>
      <c r="S2719" s="25" t="s">
        <v>1988</v>
      </c>
      <c r="T2719" s="155">
        <v>3200</v>
      </c>
      <c r="U2719" s="155">
        <v>0</v>
      </c>
    </row>
    <row r="2720" spans="2:21" x14ac:dyDescent="0.3">
      <c r="B2720" s="47"/>
      <c r="C2720" s="24"/>
      <c r="D2720" s="312"/>
      <c r="E2720" s="312"/>
      <c r="G2720" s="47"/>
      <c r="H2720" s="24"/>
      <c r="I2720" s="312"/>
      <c r="J2720" s="312"/>
      <c r="L2720" s="47"/>
      <c r="M2720" s="24"/>
      <c r="N2720" s="312"/>
      <c r="O2720" s="312"/>
      <c r="Q2720" s="47"/>
      <c r="R2720" s="136" t="s">
        <v>2233</v>
      </c>
      <c r="S2720" s="25" t="s">
        <v>1989</v>
      </c>
      <c r="T2720" s="155">
        <v>1200</v>
      </c>
      <c r="U2720" s="155">
        <v>0</v>
      </c>
    </row>
    <row r="2721" spans="2:22" x14ac:dyDescent="0.3">
      <c r="B2721" s="47"/>
      <c r="C2721" s="24"/>
      <c r="D2721" s="312"/>
      <c r="E2721" s="312"/>
      <c r="G2721" s="47"/>
      <c r="H2721" s="24"/>
      <c r="I2721" s="312"/>
      <c r="J2721" s="312"/>
      <c r="L2721" s="47"/>
      <c r="M2721" s="24"/>
      <c r="N2721" s="312"/>
      <c r="O2721" s="312"/>
      <c r="Q2721" s="241">
        <v>80110003</v>
      </c>
      <c r="R2721" s="242"/>
      <c r="S2721" s="246" t="s">
        <v>1117</v>
      </c>
      <c r="T2721" s="240">
        <v>0</v>
      </c>
      <c r="U2721" s="240">
        <v>0</v>
      </c>
    </row>
    <row r="2722" spans="2:22" x14ac:dyDescent="0.3">
      <c r="B2722" s="47"/>
      <c r="C2722" s="24"/>
      <c r="D2722" s="312"/>
      <c r="E2722" s="312"/>
      <c r="G2722" s="47"/>
      <c r="H2722" s="24"/>
      <c r="I2722" s="312"/>
      <c r="J2722" s="312"/>
      <c r="L2722" s="47"/>
      <c r="M2722" s="24"/>
      <c r="N2722" s="312"/>
      <c r="O2722" s="312"/>
      <c r="Q2722" s="241">
        <v>80110004</v>
      </c>
      <c r="R2722" s="242"/>
      <c r="S2722" s="246" t="s">
        <v>1119</v>
      </c>
      <c r="T2722" s="240">
        <v>0</v>
      </c>
      <c r="U2722" s="240">
        <v>0</v>
      </c>
    </row>
    <row r="2723" spans="2:22" x14ac:dyDescent="0.3">
      <c r="B2723" s="47"/>
      <c r="C2723" s="24"/>
      <c r="D2723" s="312"/>
      <c r="E2723" s="312"/>
      <c r="G2723" s="47"/>
      <c r="H2723" s="24"/>
      <c r="I2723" s="312"/>
      <c r="J2723" s="312"/>
      <c r="L2723" s="47"/>
      <c r="M2723" s="24"/>
      <c r="N2723" s="312"/>
      <c r="O2723" s="312"/>
      <c r="Q2723" s="241">
        <v>80110005</v>
      </c>
      <c r="R2723" s="242"/>
      <c r="S2723" s="246" t="s">
        <v>1118</v>
      </c>
      <c r="T2723" s="239">
        <f>SUM(T2724:T2729)-SUM(U2724:U2729)</f>
        <v>11875660</v>
      </c>
      <c r="U2723" s="240">
        <v>0</v>
      </c>
      <c r="V2723" s="113"/>
    </row>
    <row r="2724" spans="2:22" x14ac:dyDescent="0.3">
      <c r="B2724" s="47"/>
      <c r="C2724" s="24"/>
      <c r="D2724" s="312"/>
      <c r="E2724" s="312"/>
      <c r="G2724" s="47"/>
      <c r="H2724" s="24"/>
      <c r="I2724" s="312"/>
      <c r="J2724" s="312"/>
      <c r="L2724" s="47"/>
      <c r="M2724" s="24"/>
      <c r="N2724" s="312"/>
      <c r="O2724" s="312"/>
      <c r="Q2724" s="47"/>
      <c r="R2724" s="136" t="s">
        <v>2156</v>
      </c>
      <c r="S2724" s="25" t="s">
        <v>2157</v>
      </c>
      <c r="T2724" s="155">
        <v>579500</v>
      </c>
      <c r="U2724" s="155">
        <v>0</v>
      </c>
      <c r="V2724" s="113"/>
    </row>
    <row r="2725" spans="2:22" x14ac:dyDescent="0.3">
      <c r="B2725" s="47"/>
      <c r="C2725" s="24"/>
      <c r="D2725" s="312"/>
      <c r="E2725" s="312"/>
      <c r="G2725" s="47"/>
      <c r="H2725" s="24"/>
      <c r="I2725" s="312"/>
      <c r="J2725" s="312"/>
      <c r="L2725" s="47"/>
      <c r="M2725" s="24"/>
      <c r="N2725" s="312"/>
      <c r="O2725" s="312"/>
      <c r="Q2725" s="47"/>
      <c r="R2725" s="136" t="s">
        <v>2138</v>
      </c>
      <c r="S2725" s="25" t="s">
        <v>7</v>
      </c>
      <c r="T2725" s="155">
        <v>4441883</v>
      </c>
      <c r="U2725" s="155">
        <v>0</v>
      </c>
      <c r="V2725" s="113"/>
    </row>
    <row r="2726" spans="2:22" x14ac:dyDescent="0.3">
      <c r="B2726" s="47"/>
      <c r="C2726" s="24"/>
      <c r="D2726" s="312"/>
      <c r="E2726" s="312"/>
      <c r="G2726" s="47"/>
      <c r="H2726" s="24"/>
      <c r="I2726" s="312"/>
      <c r="J2726" s="312"/>
      <c r="L2726" s="47"/>
      <c r="M2726" s="24"/>
      <c r="N2726" s="312"/>
      <c r="O2726" s="312"/>
      <c r="Q2726" s="47"/>
      <c r="R2726" s="136" t="s">
        <v>2343</v>
      </c>
      <c r="S2726" s="25" t="s">
        <v>2194</v>
      </c>
      <c r="T2726" s="155">
        <v>6620277</v>
      </c>
      <c r="U2726" s="155">
        <v>0</v>
      </c>
      <c r="V2726" s="113"/>
    </row>
    <row r="2727" spans="2:22" x14ac:dyDescent="0.3">
      <c r="B2727" s="47"/>
      <c r="C2727" s="24"/>
      <c r="D2727" s="312"/>
      <c r="E2727" s="312"/>
      <c r="G2727" s="47"/>
      <c r="H2727" s="24"/>
      <c r="I2727" s="312"/>
      <c r="J2727" s="312"/>
      <c r="L2727" s="47"/>
      <c r="M2727" s="24"/>
      <c r="N2727" s="312"/>
      <c r="O2727" s="312"/>
      <c r="Q2727" s="47"/>
      <c r="R2727" s="136" t="s">
        <v>1985</v>
      </c>
      <c r="S2727" s="25" t="s">
        <v>2197</v>
      </c>
      <c r="T2727" s="155">
        <v>78000</v>
      </c>
      <c r="U2727" s="155">
        <v>0</v>
      </c>
      <c r="V2727" s="113"/>
    </row>
    <row r="2728" spans="2:22" x14ac:dyDescent="0.3">
      <c r="B2728" s="47"/>
      <c r="C2728" s="24"/>
      <c r="D2728" s="312"/>
      <c r="E2728" s="312"/>
      <c r="G2728" s="47"/>
      <c r="H2728" s="24"/>
      <c r="I2728" s="312"/>
      <c r="J2728" s="312"/>
      <c r="L2728" s="47"/>
      <c r="M2728" s="24"/>
      <c r="N2728" s="312"/>
      <c r="O2728" s="312"/>
      <c r="Q2728" s="47"/>
      <c r="R2728" s="136" t="s">
        <v>1933</v>
      </c>
      <c r="S2728" s="25" t="s">
        <v>2195</v>
      </c>
      <c r="T2728" s="155">
        <v>78000</v>
      </c>
      <c r="U2728" s="155">
        <v>0</v>
      </c>
      <c r="V2728" s="113"/>
    </row>
    <row r="2729" spans="2:22" x14ac:dyDescent="0.3">
      <c r="B2729" s="47"/>
      <c r="C2729" s="24"/>
      <c r="D2729" s="312"/>
      <c r="E2729" s="312"/>
      <c r="G2729" s="47"/>
      <c r="H2729" s="24"/>
      <c r="I2729" s="312"/>
      <c r="J2729" s="312"/>
      <c r="L2729" s="47"/>
      <c r="M2729" s="24"/>
      <c r="N2729" s="312"/>
      <c r="O2729" s="312"/>
      <c r="Q2729" s="47"/>
      <c r="R2729" s="136" t="s">
        <v>1934</v>
      </c>
      <c r="S2729" s="25" t="s">
        <v>2196</v>
      </c>
      <c r="T2729" s="155">
        <v>78000</v>
      </c>
      <c r="U2729" s="155">
        <v>0</v>
      </c>
      <c r="V2729" s="113"/>
    </row>
    <row r="2730" spans="2:22" x14ac:dyDescent="0.3">
      <c r="B2730" s="47"/>
      <c r="C2730" s="24"/>
      <c r="D2730" s="312"/>
      <c r="E2730" s="312"/>
      <c r="G2730" s="47"/>
      <c r="H2730" s="24"/>
      <c r="I2730" s="312"/>
      <c r="J2730" s="312"/>
      <c r="L2730" s="47"/>
      <c r="M2730" s="24"/>
      <c r="N2730" s="312"/>
      <c r="O2730" s="312"/>
      <c r="Q2730" s="241">
        <v>80110006</v>
      </c>
      <c r="R2730" s="242"/>
      <c r="S2730" s="246" t="s">
        <v>1121</v>
      </c>
      <c r="T2730" s="240">
        <v>0</v>
      </c>
      <c r="U2730" s="240">
        <v>0</v>
      </c>
    </row>
    <row r="2731" spans="2:22" x14ac:dyDescent="0.3">
      <c r="B2731" s="47"/>
      <c r="C2731" s="24"/>
      <c r="D2731" s="312"/>
      <c r="E2731" s="312"/>
      <c r="G2731" s="47"/>
      <c r="H2731" s="24"/>
      <c r="I2731" s="312"/>
      <c r="J2731" s="312"/>
      <c r="L2731" s="47"/>
      <c r="M2731" s="24"/>
      <c r="N2731" s="312"/>
      <c r="O2731" s="312"/>
      <c r="Q2731" s="241">
        <v>80110007</v>
      </c>
      <c r="R2731" s="242"/>
      <c r="S2731" s="246" t="s">
        <v>1122</v>
      </c>
      <c r="T2731" s="239">
        <f>SUM(T2732:T2749)-SUM(U2732:U2749)</f>
        <v>2113211</v>
      </c>
      <c r="U2731" s="240">
        <v>0</v>
      </c>
    </row>
    <row r="2732" spans="2:22" x14ac:dyDescent="0.3">
      <c r="B2732" s="47"/>
      <c r="C2732" s="24"/>
      <c r="D2732" s="312"/>
      <c r="E2732" s="312"/>
      <c r="G2732" s="47"/>
      <c r="H2732" s="24"/>
      <c r="I2732" s="312"/>
      <c r="J2732" s="312"/>
      <c r="L2732" s="47"/>
      <c r="M2732" s="24"/>
      <c r="N2732" s="312"/>
      <c r="O2732" s="312"/>
      <c r="Q2732" s="47"/>
      <c r="R2732" s="136" t="s">
        <v>1933</v>
      </c>
      <c r="S2732" s="25" t="s">
        <v>2195</v>
      </c>
      <c r="T2732" s="155">
        <v>917450</v>
      </c>
      <c r="U2732" s="155">
        <v>0</v>
      </c>
    </row>
    <row r="2733" spans="2:22" x14ac:dyDescent="0.3">
      <c r="B2733" s="47"/>
      <c r="C2733" s="24"/>
      <c r="D2733" s="312"/>
      <c r="E2733" s="312"/>
      <c r="G2733" s="47"/>
      <c r="H2733" s="24"/>
      <c r="I2733" s="312"/>
      <c r="J2733" s="312"/>
      <c r="L2733" s="47"/>
      <c r="M2733" s="24"/>
      <c r="N2733" s="312"/>
      <c r="O2733" s="312"/>
      <c r="Q2733" s="47"/>
      <c r="R2733" s="136" t="s">
        <v>2138</v>
      </c>
      <c r="S2733" s="25" t="s">
        <v>7</v>
      </c>
      <c r="T2733" s="155">
        <v>392900</v>
      </c>
      <c r="U2733" s="155">
        <v>0</v>
      </c>
    </row>
    <row r="2734" spans="2:22" x14ac:dyDescent="0.3">
      <c r="B2734" s="47"/>
      <c r="C2734" s="24"/>
      <c r="D2734" s="312"/>
      <c r="E2734" s="312"/>
      <c r="G2734" s="47"/>
      <c r="H2734" s="24"/>
      <c r="I2734" s="312"/>
      <c r="J2734" s="312"/>
      <c r="L2734" s="47"/>
      <c r="M2734" s="24"/>
      <c r="N2734" s="312"/>
      <c r="O2734" s="312"/>
      <c r="Q2734" s="47"/>
      <c r="R2734" s="136" t="s">
        <v>2154</v>
      </c>
      <c r="S2734" s="25" t="s">
        <v>2155</v>
      </c>
      <c r="T2734" s="155">
        <v>10683</v>
      </c>
      <c r="U2734" s="155">
        <v>0</v>
      </c>
    </row>
    <row r="2735" spans="2:22" x14ac:dyDescent="0.3">
      <c r="B2735" s="47"/>
      <c r="C2735" s="24"/>
      <c r="D2735" s="312"/>
      <c r="E2735" s="312"/>
      <c r="G2735" s="47"/>
      <c r="H2735" s="24"/>
      <c r="I2735" s="312"/>
      <c r="J2735" s="312"/>
      <c r="L2735" s="47"/>
      <c r="M2735" s="24"/>
      <c r="N2735" s="312"/>
      <c r="O2735" s="312"/>
      <c r="Q2735" s="47"/>
      <c r="R2735" s="136" t="s">
        <v>2156</v>
      </c>
      <c r="S2735" s="25" t="s">
        <v>2157</v>
      </c>
      <c r="T2735" s="155">
        <v>53031</v>
      </c>
      <c r="U2735" s="155">
        <v>0</v>
      </c>
    </row>
    <row r="2736" spans="2:22" x14ac:dyDescent="0.3">
      <c r="B2736" s="47"/>
      <c r="C2736" s="24"/>
      <c r="D2736" s="312"/>
      <c r="E2736" s="312"/>
      <c r="G2736" s="47"/>
      <c r="H2736" s="24"/>
      <c r="I2736" s="312"/>
      <c r="J2736" s="312"/>
      <c r="L2736" s="47"/>
      <c r="M2736" s="24"/>
      <c r="N2736" s="312"/>
      <c r="O2736" s="312"/>
      <c r="Q2736" s="47"/>
      <c r="R2736" s="136" t="s">
        <v>2199</v>
      </c>
      <c r="S2736" s="25" t="s">
        <v>2200</v>
      </c>
      <c r="T2736" s="155">
        <v>33520</v>
      </c>
      <c r="U2736" s="155">
        <v>0</v>
      </c>
    </row>
    <row r="2737" spans="2:21" x14ac:dyDescent="0.3">
      <c r="B2737" s="47"/>
      <c r="C2737" s="24"/>
      <c r="D2737" s="312"/>
      <c r="E2737" s="312"/>
      <c r="G2737" s="47"/>
      <c r="H2737" s="24"/>
      <c r="I2737" s="312"/>
      <c r="J2737" s="312"/>
      <c r="L2737" s="47"/>
      <c r="M2737" s="24"/>
      <c r="N2737" s="312"/>
      <c r="O2737" s="312"/>
      <c r="Q2737" s="47"/>
      <c r="R2737" s="136" t="s">
        <v>2201</v>
      </c>
      <c r="S2737" s="25" t="s">
        <v>2202</v>
      </c>
      <c r="T2737" s="155">
        <v>86095</v>
      </c>
      <c r="U2737" s="155">
        <v>0</v>
      </c>
    </row>
    <row r="2738" spans="2:21" x14ac:dyDescent="0.3">
      <c r="B2738" s="47"/>
      <c r="C2738" s="24"/>
      <c r="D2738" s="312"/>
      <c r="E2738" s="312"/>
      <c r="G2738" s="47"/>
      <c r="H2738" s="24"/>
      <c r="I2738" s="312"/>
      <c r="J2738" s="312"/>
      <c r="L2738" s="47"/>
      <c r="M2738" s="24"/>
      <c r="N2738" s="312"/>
      <c r="O2738" s="312"/>
      <c r="Q2738" s="47"/>
      <c r="R2738" s="136" t="s">
        <v>2209</v>
      </c>
      <c r="S2738" s="25" t="s">
        <v>2210</v>
      </c>
      <c r="T2738" s="155">
        <v>183762</v>
      </c>
      <c r="U2738" s="155">
        <v>0</v>
      </c>
    </row>
    <row r="2739" spans="2:21" x14ac:dyDescent="0.3">
      <c r="B2739" s="47"/>
      <c r="C2739" s="24"/>
      <c r="D2739" s="312"/>
      <c r="E2739" s="312"/>
      <c r="G2739" s="47"/>
      <c r="H2739" s="24"/>
      <c r="I2739" s="312"/>
      <c r="J2739" s="312"/>
      <c r="L2739" s="47"/>
      <c r="M2739" s="24"/>
      <c r="N2739" s="312"/>
      <c r="O2739" s="312"/>
      <c r="Q2739" s="47"/>
      <c r="R2739" s="136" t="s">
        <v>2340</v>
      </c>
      <c r="S2739" s="25" t="s">
        <v>2159</v>
      </c>
      <c r="T2739" s="155">
        <v>39686</v>
      </c>
      <c r="U2739" s="155">
        <v>0</v>
      </c>
    </row>
    <row r="2740" spans="2:21" x14ac:dyDescent="0.3">
      <c r="B2740" s="47"/>
      <c r="C2740" s="24"/>
      <c r="D2740" s="312"/>
      <c r="E2740" s="312"/>
      <c r="G2740" s="47"/>
      <c r="H2740" s="24"/>
      <c r="I2740" s="312"/>
      <c r="J2740" s="312"/>
      <c r="L2740" s="47"/>
      <c r="M2740" s="24"/>
      <c r="N2740" s="312"/>
      <c r="O2740" s="312"/>
      <c r="Q2740" s="47"/>
      <c r="R2740" s="136" t="s">
        <v>2165</v>
      </c>
      <c r="S2740" s="25" t="s">
        <v>2166</v>
      </c>
      <c r="T2740" s="155">
        <v>11175</v>
      </c>
      <c r="U2740" s="155">
        <v>0</v>
      </c>
    </row>
    <row r="2741" spans="2:21" x14ac:dyDescent="0.3">
      <c r="B2741" s="47"/>
      <c r="C2741" s="24"/>
      <c r="D2741" s="312"/>
      <c r="E2741" s="312"/>
      <c r="G2741" s="47"/>
      <c r="H2741" s="24"/>
      <c r="I2741" s="312"/>
      <c r="J2741" s="312"/>
      <c r="L2741" s="47"/>
      <c r="M2741" s="24"/>
      <c r="N2741" s="312"/>
      <c r="O2741" s="312"/>
      <c r="Q2741" s="47"/>
      <c r="R2741" s="136" t="s">
        <v>3313</v>
      </c>
      <c r="S2741" s="25" t="s">
        <v>2211</v>
      </c>
      <c r="T2741" s="155">
        <v>8940</v>
      </c>
      <c r="U2741" s="155">
        <v>0</v>
      </c>
    </row>
    <row r="2742" spans="2:21" x14ac:dyDescent="0.3">
      <c r="B2742" s="47"/>
      <c r="C2742" s="24"/>
      <c r="D2742" s="312"/>
      <c r="E2742" s="312"/>
      <c r="G2742" s="47"/>
      <c r="H2742" s="24"/>
      <c r="I2742" s="312"/>
      <c r="J2742" s="312"/>
      <c r="L2742" s="47"/>
      <c r="M2742" s="24"/>
      <c r="N2742" s="312"/>
      <c r="O2742" s="312"/>
      <c r="Q2742" s="47"/>
      <c r="R2742" s="136" t="s">
        <v>1895</v>
      </c>
      <c r="S2742" s="25" t="s">
        <v>2174</v>
      </c>
      <c r="T2742" s="155">
        <v>27515</v>
      </c>
      <c r="U2742" s="155">
        <v>0</v>
      </c>
    </row>
    <row r="2743" spans="2:21" x14ac:dyDescent="0.3">
      <c r="B2743" s="47"/>
      <c r="C2743" s="24"/>
      <c r="D2743" s="312"/>
      <c r="E2743" s="312"/>
      <c r="G2743" s="47"/>
      <c r="H2743" s="24"/>
      <c r="I2743" s="312"/>
      <c r="J2743" s="312"/>
      <c r="L2743" s="47"/>
      <c r="M2743" s="24"/>
      <c r="N2743" s="312"/>
      <c r="O2743" s="312"/>
      <c r="Q2743" s="47"/>
      <c r="R2743" s="136" t="s">
        <v>2177</v>
      </c>
      <c r="S2743" s="25" t="s">
        <v>2341</v>
      </c>
      <c r="T2743" s="155">
        <v>30169</v>
      </c>
      <c r="U2743" s="155">
        <v>0</v>
      </c>
    </row>
    <row r="2744" spans="2:21" x14ac:dyDescent="0.3">
      <c r="B2744" s="47"/>
      <c r="C2744" s="24"/>
      <c r="D2744" s="312"/>
      <c r="E2744" s="312"/>
      <c r="G2744" s="47"/>
      <c r="H2744" s="24"/>
      <c r="I2744" s="312"/>
      <c r="J2744" s="312"/>
      <c r="L2744" s="47"/>
      <c r="M2744" s="24"/>
      <c r="N2744" s="312"/>
      <c r="O2744" s="312"/>
      <c r="Q2744" s="47"/>
      <c r="R2744" s="136" t="s">
        <v>1896</v>
      </c>
      <c r="S2744" s="25" t="s">
        <v>2193</v>
      </c>
      <c r="T2744" s="155">
        <v>6200</v>
      </c>
      <c r="U2744" s="155">
        <v>0</v>
      </c>
    </row>
    <row r="2745" spans="2:21" x14ac:dyDescent="0.3">
      <c r="B2745" s="47"/>
      <c r="C2745" s="24"/>
      <c r="D2745" s="312"/>
      <c r="E2745" s="312"/>
      <c r="G2745" s="47"/>
      <c r="H2745" s="24"/>
      <c r="I2745" s="312"/>
      <c r="J2745" s="312"/>
      <c r="L2745" s="47"/>
      <c r="M2745" s="24"/>
      <c r="N2745" s="312"/>
      <c r="O2745" s="312"/>
      <c r="Q2745" s="47"/>
      <c r="R2745" s="136" t="s">
        <v>3291</v>
      </c>
      <c r="S2745" s="25" t="s">
        <v>2171</v>
      </c>
      <c r="T2745" s="155">
        <v>42087</v>
      </c>
      <c r="U2745" s="155">
        <v>0</v>
      </c>
    </row>
    <row r="2746" spans="2:21" x14ac:dyDescent="0.3">
      <c r="B2746" s="47"/>
      <c r="C2746" s="24"/>
      <c r="D2746" s="312"/>
      <c r="E2746" s="312"/>
      <c r="G2746" s="47"/>
      <c r="H2746" s="24"/>
      <c r="I2746" s="312"/>
      <c r="J2746" s="312"/>
      <c r="L2746" s="47"/>
      <c r="M2746" s="24"/>
      <c r="N2746" s="312"/>
      <c r="O2746" s="312"/>
      <c r="Q2746" s="47"/>
      <c r="R2746" s="136" t="s">
        <v>1898</v>
      </c>
      <c r="S2746" s="25" t="s">
        <v>2218</v>
      </c>
      <c r="T2746" s="155">
        <v>189095</v>
      </c>
      <c r="U2746" s="155">
        <v>0</v>
      </c>
    </row>
    <row r="2747" spans="2:21" x14ac:dyDescent="0.3">
      <c r="B2747" s="47"/>
      <c r="C2747" s="24"/>
      <c r="D2747" s="312"/>
      <c r="E2747" s="312"/>
      <c r="G2747" s="47"/>
      <c r="H2747" s="24"/>
      <c r="I2747" s="312"/>
      <c r="J2747" s="312"/>
      <c r="L2747" s="47"/>
      <c r="M2747" s="24"/>
      <c r="N2747" s="312"/>
      <c r="O2747" s="312"/>
      <c r="Q2747" s="47"/>
      <c r="R2747" s="136" t="s">
        <v>2223</v>
      </c>
      <c r="S2747" s="25" t="s">
        <v>2224</v>
      </c>
      <c r="T2747" s="155">
        <v>55400</v>
      </c>
      <c r="U2747" s="155">
        <v>0</v>
      </c>
    </row>
    <row r="2748" spans="2:21" x14ac:dyDescent="0.3">
      <c r="B2748" s="47"/>
      <c r="C2748" s="24"/>
      <c r="D2748" s="312"/>
      <c r="E2748" s="312"/>
      <c r="G2748" s="47"/>
      <c r="H2748" s="24"/>
      <c r="I2748" s="312"/>
      <c r="J2748" s="312"/>
      <c r="L2748" s="47"/>
      <c r="M2748" s="24"/>
      <c r="N2748" s="312"/>
      <c r="O2748" s="312"/>
      <c r="Q2748" s="47"/>
      <c r="R2748" s="136" t="s">
        <v>2226</v>
      </c>
      <c r="S2748" s="25" t="s">
        <v>2227</v>
      </c>
      <c r="T2748" s="155">
        <v>8100</v>
      </c>
      <c r="U2748" s="155">
        <v>0</v>
      </c>
    </row>
    <row r="2749" spans="2:21" x14ac:dyDescent="0.3">
      <c r="B2749" s="47"/>
      <c r="C2749" s="24"/>
      <c r="D2749" s="312"/>
      <c r="E2749" s="312"/>
      <c r="G2749" s="47"/>
      <c r="H2749" s="24"/>
      <c r="I2749" s="312"/>
      <c r="J2749" s="312"/>
      <c r="L2749" s="47"/>
      <c r="M2749" s="24"/>
      <c r="N2749" s="312"/>
      <c r="O2749" s="312"/>
      <c r="Q2749" s="47"/>
      <c r="R2749" s="136" t="s">
        <v>2228</v>
      </c>
      <c r="S2749" s="25" t="s">
        <v>1990</v>
      </c>
      <c r="T2749" s="155">
        <v>17403</v>
      </c>
      <c r="U2749" s="155">
        <v>0</v>
      </c>
    </row>
    <row r="2750" spans="2:21" x14ac:dyDescent="0.3">
      <c r="B2750" s="47"/>
      <c r="C2750" s="24"/>
      <c r="D2750" s="312"/>
      <c r="E2750" s="312"/>
      <c r="G2750" s="47"/>
      <c r="H2750" s="24"/>
      <c r="I2750" s="312"/>
      <c r="J2750" s="312"/>
      <c r="L2750" s="47"/>
      <c r="M2750" s="24"/>
      <c r="N2750" s="312"/>
      <c r="O2750" s="312"/>
      <c r="Q2750" s="241">
        <v>80110008</v>
      </c>
      <c r="R2750" s="242"/>
      <c r="S2750" s="246" t="s">
        <v>1123</v>
      </c>
      <c r="T2750" s="239">
        <f>SUM(T2751:T2781)-SUM(U2751:U2781)</f>
        <v>3003333</v>
      </c>
      <c r="U2750" s="240">
        <v>0</v>
      </c>
    </row>
    <row r="2751" spans="2:21" x14ac:dyDescent="0.3">
      <c r="B2751" s="47"/>
      <c r="C2751" s="24"/>
      <c r="D2751" s="312"/>
      <c r="E2751" s="312"/>
      <c r="G2751" s="47"/>
      <c r="H2751" s="24"/>
      <c r="I2751" s="312"/>
      <c r="J2751" s="312"/>
      <c r="L2751" s="47"/>
      <c r="M2751" s="24"/>
      <c r="N2751" s="312"/>
      <c r="O2751" s="312"/>
      <c r="Q2751" s="47"/>
      <c r="R2751" s="136" t="s">
        <v>1931</v>
      </c>
      <c r="S2751" s="25" t="s">
        <v>1932</v>
      </c>
      <c r="T2751" s="155">
        <v>122500</v>
      </c>
      <c r="U2751" s="155">
        <v>0</v>
      </c>
    </row>
    <row r="2752" spans="2:21" x14ac:dyDescent="0.3">
      <c r="B2752" s="47"/>
      <c r="C2752" s="24"/>
      <c r="D2752" s="312"/>
      <c r="E2752" s="312"/>
      <c r="G2752" s="47"/>
      <c r="H2752" s="24"/>
      <c r="I2752" s="312"/>
      <c r="J2752" s="312"/>
      <c r="L2752" s="47"/>
      <c r="M2752" s="24"/>
      <c r="N2752" s="312"/>
      <c r="O2752" s="312"/>
      <c r="Q2752" s="47"/>
      <c r="R2752" s="136" t="s">
        <v>2156</v>
      </c>
      <c r="S2752" s="25" t="s">
        <v>2157</v>
      </c>
      <c r="T2752" s="155">
        <v>168333</v>
      </c>
      <c r="U2752" s="155">
        <v>0</v>
      </c>
    </row>
    <row r="2753" spans="2:21" x14ac:dyDescent="0.3">
      <c r="B2753" s="47"/>
      <c r="C2753" s="24"/>
      <c r="D2753" s="312"/>
      <c r="E2753" s="312"/>
      <c r="G2753" s="47"/>
      <c r="H2753" s="24"/>
      <c r="I2753" s="312"/>
      <c r="J2753" s="312"/>
      <c r="L2753" s="47"/>
      <c r="M2753" s="24"/>
      <c r="N2753" s="312"/>
      <c r="O2753" s="312"/>
      <c r="Q2753" s="47"/>
      <c r="R2753" s="136" t="s">
        <v>2199</v>
      </c>
      <c r="S2753" s="25" t="s">
        <v>2200</v>
      </c>
      <c r="T2753" s="155">
        <v>175000</v>
      </c>
      <c r="U2753" s="155">
        <v>0</v>
      </c>
    </row>
    <row r="2754" spans="2:21" x14ac:dyDescent="0.3">
      <c r="B2754" s="47"/>
      <c r="C2754" s="24"/>
      <c r="D2754" s="312"/>
      <c r="E2754" s="312"/>
      <c r="G2754" s="47"/>
      <c r="H2754" s="24"/>
      <c r="I2754" s="312"/>
      <c r="J2754" s="312"/>
      <c r="L2754" s="47"/>
      <c r="M2754" s="24"/>
      <c r="N2754" s="312"/>
      <c r="O2754" s="312"/>
      <c r="Q2754" s="47"/>
      <c r="R2754" s="136" t="s">
        <v>2201</v>
      </c>
      <c r="S2754" s="25" t="s">
        <v>2202</v>
      </c>
      <c r="T2754" s="155">
        <v>122500</v>
      </c>
      <c r="U2754" s="155">
        <v>0</v>
      </c>
    </row>
    <row r="2755" spans="2:21" x14ac:dyDescent="0.3">
      <c r="B2755" s="47"/>
      <c r="C2755" s="24"/>
      <c r="D2755" s="312"/>
      <c r="E2755" s="312"/>
      <c r="G2755" s="47"/>
      <c r="H2755" s="24"/>
      <c r="I2755" s="312"/>
      <c r="J2755" s="312"/>
      <c r="L2755" s="47"/>
      <c r="M2755" s="24"/>
      <c r="N2755" s="312"/>
      <c r="O2755" s="312"/>
      <c r="Q2755" s="47"/>
      <c r="R2755" s="136" t="s">
        <v>2203</v>
      </c>
      <c r="S2755" s="25" t="s">
        <v>2204</v>
      </c>
      <c r="T2755" s="155">
        <v>66500</v>
      </c>
      <c r="U2755" s="155">
        <v>0</v>
      </c>
    </row>
    <row r="2756" spans="2:21" x14ac:dyDescent="0.3">
      <c r="B2756" s="47"/>
      <c r="C2756" s="24"/>
      <c r="D2756" s="312"/>
      <c r="E2756" s="312"/>
      <c r="G2756" s="47"/>
      <c r="H2756" s="24"/>
      <c r="I2756" s="312"/>
      <c r="J2756" s="312"/>
      <c r="L2756" s="47"/>
      <c r="M2756" s="24"/>
      <c r="N2756" s="312"/>
      <c r="O2756" s="312"/>
      <c r="Q2756" s="47"/>
      <c r="R2756" s="136" t="s">
        <v>2205</v>
      </c>
      <c r="S2756" s="25" t="s">
        <v>2206</v>
      </c>
      <c r="T2756" s="155">
        <v>49500</v>
      </c>
      <c r="U2756" s="155">
        <v>0</v>
      </c>
    </row>
    <row r="2757" spans="2:21" x14ac:dyDescent="0.3">
      <c r="B2757" s="47"/>
      <c r="C2757" s="24"/>
      <c r="D2757" s="312"/>
      <c r="E2757" s="312"/>
      <c r="G2757" s="47"/>
      <c r="H2757" s="24"/>
      <c r="I2757" s="312"/>
      <c r="J2757" s="312"/>
      <c r="L2757" s="47"/>
      <c r="M2757" s="24"/>
      <c r="N2757" s="312"/>
      <c r="O2757" s="312"/>
      <c r="Q2757" s="47"/>
      <c r="R2757" s="136" t="s">
        <v>2207</v>
      </c>
      <c r="S2757" s="25" t="s">
        <v>2208</v>
      </c>
      <c r="T2757" s="155">
        <v>70000</v>
      </c>
      <c r="U2757" s="155">
        <v>0</v>
      </c>
    </row>
    <row r="2758" spans="2:21" x14ac:dyDescent="0.3">
      <c r="B2758" s="47"/>
      <c r="C2758" s="24"/>
      <c r="D2758" s="312"/>
      <c r="E2758" s="312"/>
      <c r="G2758" s="47"/>
      <c r="H2758" s="24"/>
      <c r="I2758" s="312"/>
      <c r="J2758" s="312"/>
      <c r="L2758" s="47"/>
      <c r="M2758" s="24"/>
      <c r="N2758" s="312"/>
      <c r="O2758" s="312"/>
      <c r="Q2758" s="47"/>
      <c r="R2758" s="136" t="s">
        <v>2209</v>
      </c>
      <c r="S2758" s="25" t="s">
        <v>2210</v>
      </c>
      <c r="T2758" s="155">
        <v>126000</v>
      </c>
      <c r="U2758" s="155">
        <v>0</v>
      </c>
    </row>
    <row r="2759" spans="2:21" x14ac:dyDescent="0.3">
      <c r="B2759" s="47"/>
      <c r="C2759" s="24"/>
      <c r="D2759" s="312"/>
      <c r="E2759" s="312"/>
      <c r="G2759" s="47"/>
      <c r="H2759" s="24"/>
      <c r="I2759" s="312"/>
      <c r="J2759" s="312"/>
      <c r="L2759" s="47"/>
      <c r="M2759" s="24"/>
      <c r="N2759" s="312"/>
      <c r="O2759" s="312"/>
      <c r="Q2759" s="47"/>
      <c r="R2759" s="136" t="s">
        <v>2340</v>
      </c>
      <c r="S2759" s="25" t="s">
        <v>2159</v>
      </c>
      <c r="T2759" s="155">
        <v>175000</v>
      </c>
      <c r="U2759" s="155">
        <v>0</v>
      </c>
    </row>
    <row r="2760" spans="2:21" x14ac:dyDescent="0.3">
      <c r="B2760" s="47"/>
      <c r="C2760" s="24"/>
      <c r="D2760" s="312"/>
      <c r="E2760" s="312"/>
      <c r="G2760" s="47"/>
      <c r="H2760" s="24"/>
      <c r="I2760" s="312"/>
      <c r="J2760" s="312"/>
      <c r="L2760" s="47"/>
      <c r="M2760" s="24"/>
      <c r="N2760" s="312"/>
      <c r="O2760" s="312"/>
      <c r="Q2760" s="47"/>
      <c r="R2760" s="136" t="s">
        <v>2160</v>
      </c>
      <c r="S2760" s="25" t="s">
        <v>2161</v>
      </c>
      <c r="T2760" s="155">
        <v>94500</v>
      </c>
      <c r="U2760" s="155">
        <v>0</v>
      </c>
    </row>
    <row r="2761" spans="2:21" x14ac:dyDescent="0.3">
      <c r="B2761" s="47"/>
      <c r="C2761" s="24"/>
      <c r="D2761" s="312"/>
      <c r="E2761" s="312"/>
      <c r="G2761" s="47"/>
      <c r="H2761" s="24"/>
      <c r="I2761" s="312"/>
      <c r="J2761" s="312"/>
      <c r="L2761" s="47"/>
      <c r="M2761" s="24"/>
      <c r="N2761" s="312"/>
      <c r="O2761" s="312"/>
      <c r="Q2761" s="47"/>
      <c r="R2761" s="136" t="s">
        <v>2162</v>
      </c>
      <c r="S2761" s="25" t="s">
        <v>2163</v>
      </c>
      <c r="T2761" s="155">
        <v>49500</v>
      </c>
      <c r="U2761" s="155">
        <v>0</v>
      </c>
    </row>
    <row r="2762" spans="2:21" x14ac:dyDescent="0.3">
      <c r="B2762" s="47"/>
      <c r="C2762" s="24"/>
      <c r="D2762" s="312"/>
      <c r="E2762" s="312"/>
      <c r="G2762" s="47"/>
      <c r="H2762" s="24"/>
      <c r="I2762" s="312"/>
      <c r="J2762" s="312"/>
      <c r="L2762" s="47"/>
      <c r="M2762" s="24"/>
      <c r="N2762" s="312"/>
      <c r="O2762" s="312"/>
      <c r="Q2762" s="47"/>
      <c r="R2762" s="136" t="s">
        <v>2165</v>
      </c>
      <c r="S2762" s="25" t="s">
        <v>2166</v>
      </c>
      <c r="T2762" s="155">
        <v>126000</v>
      </c>
      <c r="U2762" s="155">
        <v>0</v>
      </c>
    </row>
    <row r="2763" spans="2:21" x14ac:dyDescent="0.3">
      <c r="B2763" s="47"/>
      <c r="C2763" s="24"/>
      <c r="D2763" s="312"/>
      <c r="E2763" s="312"/>
      <c r="G2763" s="47"/>
      <c r="H2763" s="24"/>
      <c r="I2763" s="312"/>
      <c r="J2763" s="312"/>
      <c r="L2763" s="47"/>
      <c r="M2763" s="24"/>
      <c r="N2763" s="312"/>
      <c r="O2763" s="312"/>
      <c r="Q2763" s="47"/>
      <c r="R2763" s="136" t="s">
        <v>2168</v>
      </c>
      <c r="S2763" s="25" t="s">
        <v>2169</v>
      </c>
      <c r="T2763" s="155">
        <v>126000</v>
      </c>
      <c r="U2763" s="155">
        <v>0</v>
      </c>
    </row>
    <row r="2764" spans="2:21" x14ac:dyDescent="0.3">
      <c r="B2764" s="47"/>
      <c r="C2764" s="24"/>
      <c r="D2764" s="312"/>
      <c r="E2764" s="312"/>
      <c r="G2764" s="47"/>
      <c r="H2764" s="24"/>
      <c r="I2764" s="312"/>
      <c r="J2764" s="312"/>
      <c r="L2764" s="47"/>
      <c r="M2764" s="24"/>
      <c r="N2764" s="312"/>
      <c r="O2764" s="312"/>
      <c r="Q2764" s="47"/>
      <c r="R2764" s="136" t="s">
        <v>3313</v>
      </c>
      <c r="S2764" s="25" t="s">
        <v>2211</v>
      </c>
      <c r="T2764" s="155">
        <v>52500</v>
      </c>
      <c r="U2764" s="155">
        <v>0</v>
      </c>
    </row>
    <row r="2765" spans="2:21" x14ac:dyDescent="0.3">
      <c r="B2765" s="47"/>
      <c r="C2765" s="24"/>
      <c r="D2765" s="312"/>
      <c r="E2765" s="312"/>
      <c r="G2765" s="47"/>
      <c r="H2765" s="24"/>
      <c r="I2765" s="312"/>
      <c r="J2765" s="312"/>
      <c r="L2765" s="47"/>
      <c r="M2765" s="24"/>
      <c r="N2765" s="312"/>
      <c r="O2765" s="312"/>
      <c r="Q2765" s="47"/>
      <c r="R2765" s="136" t="s">
        <v>2212</v>
      </c>
      <c r="S2765" s="25" t="s">
        <v>2213</v>
      </c>
      <c r="T2765" s="155">
        <v>42000</v>
      </c>
      <c r="U2765" s="155">
        <v>0</v>
      </c>
    </row>
    <row r="2766" spans="2:21" x14ac:dyDescent="0.3">
      <c r="B2766" s="47"/>
      <c r="C2766" s="24"/>
      <c r="D2766" s="312"/>
      <c r="E2766" s="312"/>
      <c r="G2766" s="47"/>
      <c r="H2766" s="24"/>
      <c r="I2766" s="312"/>
      <c r="J2766" s="312"/>
      <c r="L2766" s="47"/>
      <c r="M2766" s="24"/>
      <c r="N2766" s="312"/>
      <c r="O2766" s="312"/>
      <c r="Q2766" s="47"/>
      <c r="R2766" s="136" t="s">
        <v>2214</v>
      </c>
      <c r="S2766" s="25" t="s">
        <v>2215</v>
      </c>
      <c r="T2766" s="155">
        <v>70000</v>
      </c>
      <c r="U2766" s="155">
        <v>0</v>
      </c>
    </row>
    <row r="2767" spans="2:21" x14ac:dyDescent="0.3">
      <c r="B2767" s="47"/>
      <c r="C2767" s="24"/>
      <c r="D2767" s="312"/>
      <c r="E2767" s="312"/>
      <c r="G2767" s="47"/>
      <c r="H2767" s="24"/>
      <c r="I2767" s="312"/>
      <c r="J2767" s="312"/>
      <c r="L2767" s="47"/>
      <c r="M2767" s="24"/>
      <c r="N2767" s="312"/>
      <c r="O2767" s="312"/>
      <c r="Q2767" s="47"/>
      <c r="R2767" s="136" t="s">
        <v>1895</v>
      </c>
      <c r="S2767" s="25" t="s">
        <v>2174</v>
      </c>
      <c r="T2767" s="155">
        <v>122500</v>
      </c>
      <c r="U2767" s="155">
        <v>0</v>
      </c>
    </row>
    <row r="2768" spans="2:21" x14ac:dyDescent="0.3">
      <c r="B2768" s="47"/>
      <c r="C2768" s="24"/>
      <c r="D2768" s="312"/>
      <c r="E2768" s="312"/>
      <c r="G2768" s="47"/>
      <c r="H2768" s="24"/>
      <c r="I2768" s="312"/>
      <c r="J2768" s="312"/>
      <c r="L2768" s="47"/>
      <c r="M2768" s="24"/>
      <c r="N2768" s="312"/>
      <c r="O2768" s="312"/>
      <c r="Q2768" s="47"/>
      <c r="R2768" s="136" t="s">
        <v>2177</v>
      </c>
      <c r="S2768" s="25" t="s">
        <v>2341</v>
      </c>
      <c r="T2768" s="155">
        <v>175000</v>
      </c>
      <c r="U2768" s="155">
        <v>0</v>
      </c>
    </row>
    <row r="2769" spans="2:21" x14ac:dyDescent="0.3">
      <c r="B2769" s="47"/>
      <c r="C2769" s="24"/>
      <c r="D2769" s="312"/>
      <c r="E2769" s="312"/>
      <c r="G2769" s="47"/>
      <c r="H2769" s="24"/>
      <c r="I2769" s="312"/>
      <c r="J2769" s="312"/>
      <c r="L2769" s="47"/>
      <c r="M2769" s="24"/>
      <c r="N2769" s="312"/>
      <c r="O2769" s="312"/>
      <c r="Q2769" s="47"/>
      <c r="R2769" s="136" t="s">
        <v>2183</v>
      </c>
      <c r="S2769" s="25" t="s">
        <v>2182</v>
      </c>
      <c r="T2769" s="155">
        <v>119500</v>
      </c>
      <c r="U2769" s="155">
        <v>0</v>
      </c>
    </row>
    <row r="2770" spans="2:21" x14ac:dyDescent="0.3">
      <c r="B2770" s="47"/>
      <c r="C2770" s="24"/>
      <c r="D2770" s="312"/>
      <c r="E2770" s="312"/>
      <c r="G2770" s="47"/>
      <c r="H2770" s="24"/>
      <c r="I2770" s="312"/>
      <c r="J2770" s="312"/>
      <c r="L2770" s="47"/>
      <c r="M2770" s="24"/>
      <c r="N2770" s="312"/>
      <c r="O2770" s="312"/>
      <c r="Q2770" s="47"/>
      <c r="R2770" s="136" t="s">
        <v>2185</v>
      </c>
      <c r="S2770" s="25" t="s">
        <v>2184</v>
      </c>
      <c r="T2770" s="155">
        <v>126000</v>
      </c>
      <c r="U2770" s="155">
        <v>0</v>
      </c>
    </row>
    <row r="2771" spans="2:21" x14ac:dyDescent="0.3">
      <c r="B2771" s="47"/>
      <c r="C2771" s="24"/>
      <c r="D2771" s="312"/>
      <c r="E2771" s="312"/>
      <c r="G2771" s="47"/>
      <c r="H2771" s="24"/>
      <c r="I2771" s="312"/>
      <c r="J2771" s="312"/>
      <c r="L2771" s="47"/>
      <c r="M2771" s="24"/>
      <c r="N2771" s="312"/>
      <c r="O2771" s="312"/>
      <c r="Q2771" s="47"/>
      <c r="R2771" s="136" t="s">
        <v>2187</v>
      </c>
      <c r="S2771" s="25" t="s">
        <v>2186</v>
      </c>
      <c r="T2771" s="155">
        <v>105000</v>
      </c>
      <c r="U2771" s="155">
        <v>0</v>
      </c>
    </row>
    <row r="2772" spans="2:21" x14ac:dyDescent="0.3">
      <c r="B2772" s="47"/>
      <c r="C2772" s="24"/>
      <c r="D2772" s="312"/>
      <c r="E2772" s="312"/>
      <c r="G2772" s="47"/>
      <c r="H2772" s="24"/>
      <c r="I2772" s="312"/>
      <c r="J2772" s="312"/>
      <c r="L2772" s="47"/>
      <c r="M2772" s="24"/>
      <c r="N2772" s="312"/>
      <c r="O2772" s="312"/>
      <c r="Q2772" s="47"/>
      <c r="R2772" s="136" t="s">
        <v>2342</v>
      </c>
      <c r="S2772" s="25" t="s">
        <v>2188</v>
      </c>
      <c r="T2772" s="155">
        <v>63500</v>
      </c>
      <c r="U2772" s="155">
        <v>0</v>
      </c>
    </row>
    <row r="2773" spans="2:21" x14ac:dyDescent="0.3">
      <c r="B2773" s="47"/>
      <c r="C2773" s="24"/>
      <c r="D2773" s="312"/>
      <c r="E2773" s="312"/>
      <c r="G2773" s="47"/>
      <c r="H2773" s="24"/>
      <c r="I2773" s="312"/>
      <c r="J2773" s="312"/>
      <c r="L2773" s="47"/>
      <c r="M2773" s="24"/>
      <c r="N2773" s="312"/>
      <c r="O2773" s="312"/>
      <c r="Q2773" s="47"/>
      <c r="R2773" s="136" t="s">
        <v>2190</v>
      </c>
      <c r="S2773" s="25" t="s">
        <v>2189</v>
      </c>
      <c r="T2773" s="155">
        <v>108500</v>
      </c>
      <c r="U2773" s="155">
        <v>0</v>
      </c>
    </row>
    <row r="2774" spans="2:21" x14ac:dyDescent="0.3">
      <c r="B2774" s="47"/>
      <c r="C2774" s="24"/>
      <c r="D2774" s="312"/>
      <c r="E2774" s="312"/>
      <c r="G2774" s="47"/>
      <c r="H2774" s="24"/>
      <c r="I2774" s="312"/>
      <c r="J2774" s="312"/>
      <c r="L2774" s="47"/>
      <c r="M2774" s="24"/>
      <c r="N2774" s="312"/>
      <c r="O2774" s="312"/>
      <c r="Q2774" s="47"/>
      <c r="R2774" s="136" t="s">
        <v>2192</v>
      </c>
      <c r="S2774" s="25" t="s">
        <v>2191</v>
      </c>
      <c r="T2774" s="155">
        <v>38500</v>
      </c>
      <c r="U2774" s="155">
        <v>0</v>
      </c>
    </row>
    <row r="2775" spans="2:21" x14ac:dyDescent="0.3">
      <c r="B2775" s="47"/>
      <c r="C2775" s="24"/>
      <c r="D2775" s="312"/>
      <c r="E2775" s="312"/>
      <c r="G2775" s="47"/>
      <c r="H2775" s="24"/>
      <c r="I2775" s="312"/>
      <c r="J2775" s="312"/>
      <c r="L2775" s="47"/>
      <c r="M2775" s="24"/>
      <c r="N2775" s="312"/>
      <c r="O2775" s="312"/>
      <c r="Q2775" s="47"/>
      <c r="R2775" s="136" t="s">
        <v>1896</v>
      </c>
      <c r="S2775" s="25" t="s">
        <v>2193</v>
      </c>
      <c r="T2775" s="155">
        <v>55500</v>
      </c>
      <c r="U2775" s="155">
        <v>0</v>
      </c>
    </row>
    <row r="2776" spans="2:21" x14ac:dyDescent="0.3">
      <c r="B2776" s="47"/>
      <c r="C2776" s="24"/>
      <c r="D2776" s="312"/>
      <c r="E2776" s="312"/>
      <c r="G2776" s="47"/>
      <c r="H2776" s="24"/>
      <c r="I2776" s="312"/>
      <c r="J2776" s="312"/>
      <c r="L2776" s="47"/>
      <c r="M2776" s="24"/>
      <c r="N2776" s="312"/>
      <c r="O2776" s="312"/>
      <c r="Q2776" s="47"/>
      <c r="R2776" s="136" t="s">
        <v>3291</v>
      </c>
      <c r="S2776" s="25" t="s">
        <v>2171</v>
      </c>
      <c r="T2776" s="155">
        <v>175000</v>
      </c>
      <c r="U2776" s="155">
        <v>0</v>
      </c>
    </row>
    <row r="2777" spans="2:21" x14ac:dyDescent="0.3">
      <c r="B2777" s="47"/>
      <c r="C2777" s="24"/>
      <c r="D2777" s="312"/>
      <c r="E2777" s="312"/>
      <c r="G2777" s="47"/>
      <c r="H2777" s="24"/>
      <c r="I2777" s="312"/>
      <c r="J2777" s="312"/>
      <c r="L2777" s="47"/>
      <c r="M2777" s="24"/>
      <c r="N2777" s="312"/>
      <c r="O2777" s="312"/>
      <c r="Q2777" s="47"/>
      <c r="R2777" s="136" t="s">
        <v>1898</v>
      </c>
      <c r="S2777" s="25" t="s">
        <v>2218</v>
      </c>
      <c r="T2777" s="155">
        <v>52500</v>
      </c>
      <c r="U2777" s="155">
        <v>0</v>
      </c>
    </row>
    <row r="2778" spans="2:21" x14ac:dyDescent="0.3">
      <c r="B2778" s="47"/>
      <c r="C2778" s="24"/>
      <c r="D2778" s="312"/>
      <c r="E2778" s="312"/>
      <c r="G2778" s="47"/>
      <c r="H2778" s="24"/>
      <c r="I2778" s="312"/>
      <c r="J2778" s="312"/>
      <c r="L2778" s="47"/>
      <c r="M2778" s="24"/>
      <c r="N2778" s="312"/>
      <c r="O2778" s="312"/>
      <c r="Q2778" s="47"/>
      <c r="R2778" s="136" t="s">
        <v>2219</v>
      </c>
      <c r="S2778" s="25" t="s">
        <v>2220</v>
      </c>
      <c r="T2778" s="155">
        <v>49500</v>
      </c>
      <c r="U2778" s="155">
        <v>0</v>
      </c>
    </row>
    <row r="2779" spans="2:21" x14ac:dyDescent="0.3">
      <c r="B2779" s="47"/>
      <c r="C2779" s="24"/>
      <c r="D2779" s="312"/>
      <c r="E2779" s="312"/>
      <c r="G2779" s="47"/>
      <c r="H2779" s="24"/>
      <c r="I2779" s="312"/>
      <c r="J2779" s="312"/>
      <c r="L2779" s="47"/>
      <c r="M2779" s="24"/>
      <c r="N2779" s="312"/>
      <c r="O2779" s="312"/>
      <c r="Q2779" s="47"/>
      <c r="R2779" s="136" t="s">
        <v>2221</v>
      </c>
      <c r="S2779" s="25" t="s">
        <v>2222</v>
      </c>
      <c r="T2779" s="155">
        <v>63500</v>
      </c>
      <c r="U2779" s="155">
        <v>0</v>
      </c>
    </row>
    <row r="2780" spans="2:21" x14ac:dyDescent="0.3">
      <c r="B2780" s="47"/>
      <c r="C2780" s="24"/>
      <c r="D2780" s="312"/>
      <c r="E2780" s="312"/>
      <c r="G2780" s="47"/>
      <c r="H2780" s="24"/>
      <c r="I2780" s="312"/>
      <c r="J2780" s="312"/>
      <c r="L2780" s="47"/>
      <c r="M2780" s="24"/>
      <c r="N2780" s="312"/>
      <c r="O2780" s="312"/>
      <c r="Q2780" s="47"/>
      <c r="R2780" s="136" t="s">
        <v>2223</v>
      </c>
      <c r="S2780" s="25" t="s">
        <v>2224</v>
      </c>
      <c r="T2780" s="155">
        <v>63500</v>
      </c>
      <c r="U2780" s="155">
        <v>0</v>
      </c>
    </row>
    <row r="2781" spans="2:21" x14ac:dyDescent="0.3">
      <c r="B2781" s="47"/>
      <c r="C2781" s="24"/>
      <c r="D2781" s="312"/>
      <c r="E2781" s="312"/>
      <c r="G2781" s="47"/>
      <c r="H2781" s="24"/>
      <c r="I2781" s="312"/>
      <c r="J2781" s="312"/>
      <c r="L2781" s="47"/>
      <c r="M2781" s="24"/>
      <c r="N2781" s="312"/>
      <c r="O2781" s="312"/>
      <c r="Q2781" s="47"/>
      <c r="R2781" s="136" t="s">
        <v>2226</v>
      </c>
      <c r="S2781" s="25" t="s">
        <v>2227</v>
      </c>
      <c r="T2781" s="155">
        <v>49500</v>
      </c>
      <c r="U2781" s="155">
        <v>0</v>
      </c>
    </row>
    <row r="2782" spans="2:21" x14ac:dyDescent="0.3">
      <c r="B2782" s="47"/>
      <c r="C2782" s="24"/>
      <c r="D2782" s="312"/>
      <c r="E2782" s="312"/>
      <c r="G2782" s="47"/>
      <c r="H2782" s="24"/>
      <c r="I2782" s="312"/>
      <c r="J2782" s="312"/>
      <c r="L2782" s="47"/>
      <c r="M2782" s="24"/>
      <c r="N2782" s="312"/>
      <c r="O2782" s="312"/>
      <c r="Q2782" s="241">
        <v>80110009</v>
      </c>
      <c r="R2782" s="242"/>
      <c r="S2782" s="246" t="s">
        <v>1124</v>
      </c>
      <c r="T2782" s="239">
        <f>SUM(T2783:T2819)-SUM(U2783:U2819)</f>
        <v>1224638</v>
      </c>
      <c r="U2782" s="240">
        <v>0</v>
      </c>
    </row>
    <row r="2783" spans="2:21" x14ac:dyDescent="0.3">
      <c r="B2783" s="47"/>
      <c r="C2783" s="24"/>
      <c r="D2783" s="312"/>
      <c r="E2783" s="312"/>
      <c r="G2783" s="47"/>
      <c r="H2783" s="24"/>
      <c r="I2783" s="312"/>
      <c r="J2783" s="312"/>
      <c r="L2783" s="47"/>
      <c r="M2783" s="24"/>
      <c r="N2783" s="312"/>
      <c r="O2783" s="312"/>
      <c r="Q2783" s="47"/>
      <c r="R2783" s="136" t="s">
        <v>2160</v>
      </c>
      <c r="S2783" s="25" t="s">
        <v>2161</v>
      </c>
      <c r="T2783" s="155">
        <v>26371</v>
      </c>
      <c r="U2783" s="155">
        <v>0</v>
      </c>
    </row>
    <row r="2784" spans="2:21" x14ac:dyDescent="0.3">
      <c r="B2784" s="47"/>
      <c r="C2784" s="24"/>
      <c r="D2784" s="312"/>
      <c r="E2784" s="312"/>
      <c r="G2784" s="47"/>
      <c r="H2784" s="24"/>
      <c r="I2784" s="312"/>
      <c r="J2784" s="312"/>
      <c r="L2784" s="47"/>
      <c r="M2784" s="24"/>
      <c r="N2784" s="312"/>
      <c r="O2784" s="312"/>
      <c r="Q2784" s="47"/>
      <c r="R2784" s="136" t="s">
        <v>2156</v>
      </c>
      <c r="S2784" s="25" t="s">
        <v>2157</v>
      </c>
      <c r="T2784" s="155">
        <v>173125</v>
      </c>
      <c r="U2784" s="155">
        <v>0</v>
      </c>
    </row>
    <row r="2785" spans="2:21" x14ac:dyDescent="0.3">
      <c r="B2785" s="47"/>
      <c r="C2785" s="24"/>
      <c r="D2785" s="312"/>
      <c r="E2785" s="312"/>
      <c r="G2785" s="47"/>
      <c r="H2785" s="24"/>
      <c r="I2785" s="312"/>
      <c r="J2785" s="312"/>
      <c r="L2785" s="47"/>
      <c r="M2785" s="24"/>
      <c r="N2785" s="312"/>
      <c r="O2785" s="312"/>
      <c r="Q2785" s="47"/>
      <c r="R2785" s="136" t="s">
        <v>2340</v>
      </c>
      <c r="S2785" s="25" t="s">
        <v>2159</v>
      </c>
      <c r="T2785" s="155">
        <v>65720</v>
      </c>
      <c r="U2785" s="155">
        <v>0</v>
      </c>
    </row>
    <row r="2786" spans="2:21" x14ac:dyDescent="0.3">
      <c r="B2786" s="47"/>
      <c r="C2786" s="24"/>
      <c r="D2786" s="312"/>
      <c r="E2786" s="312"/>
      <c r="G2786" s="47"/>
      <c r="H2786" s="24"/>
      <c r="I2786" s="312"/>
      <c r="J2786" s="312"/>
      <c r="L2786" s="47"/>
      <c r="M2786" s="24"/>
      <c r="N2786" s="312"/>
      <c r="O2786" s="312"/>
      <c r="Q2786" s="47"/>
      <c r="R2786" s="136" t="s">
        <v>1898</v>
      </c>
      <c r="S2786" s="25" t="s">
        <v>2218</v>
      </c>
      <c r="T2786" s="155">
        <v>43690</v>
      </c>
      <c r="U2786" s="155">
        <v>0</v>
      </c>
    </row>
    <row r="2787" spans="2:21" x14ac:dyDescent="0.3">
      <c r="B2787" s="47"/>
      <c r="C2787" s="24"/>
      <c r="D2787" s="312"/>
      <c r="E2787" s="312"/>
      <c r="G2787" s="47"/>
      <c r="H2787" s="24"/>
      <c r="I2787" s="312"/>
      <c r="J2787" s="312"/>
      <c r="L2787" s="47"/>
      <c r="M2787" s="24"/>
      <c r="N2787" s="312"/>
      <c r="O2787" s="312"/>
      <c r="Q2787" s="47"/>
      <c r="R2787" s="136" t="s">
        <v>2199</v>
      </c>
      <c r="S2787" s="25" t="s">
        <v>2200</v>
      </c>
      <c r="T2787" s="155">
        <v>103215</v>
      </c>
      <c r="U2787" s="155">
        <v>0</v>
      </c>
    </row>
    <row r="2788" spans="2:21" x14ac:dyDescent="0.3">
      <c r="B2788" s="47"/>
      <c r="C2788" s="24"/>
      <c r="D2788" s="312"/>
      <c r="E2788" s="312"/>
      <c r="G2788" s="47"/>
      <c r="H2788" s="24"/>
      <c r="I2788" s="312"/>
      <c r="J2788" s="312"/>
      <c r="L2788" s="47"/>
      <c r="M2788" s="24"/>
      <c r="N2788" s="312"/>
      <c r="O2788" s="312"/>
      <c r="Q2788" s="47"/>
      <c r="R2788" s="136" t="s">
        <v>3313</v>
      </c>
      <c r="S2788" s="25" t="s">
        <v>2211</v>
      </c>
      <c r="T2788" s="155">
        <v>52580</v>
      </c>
      <c r="U2788" s="155">
        <v>0</v>
      </c>
    </row>
    <row r="2789" spans="2:21" x14ac:dyDescent="0.3">
      <c r="B2789" s="47"/>
      <c r="C2789" s="24"/>
      <c r="D2789" s="312"/>
      <c r="E2789" s="312"/>
      <c r="G2789" s="47"/>
      <c r="H2789" s="24"/>
      <c r="I2789" s="312"/>
      <c r="J2789" s="312"/>
      <c r="L2789" s="47"/>
      <c r="M2789" s="24"/>
      <c r="N2789" s="312"/>
      <c r="O2789" s="312"/>
      <c r="Q2789" s="47"/>
      <c r="R2789" s="136" t="s">
        <v>2209</v>
      </c>
      <c r="S2789" s="25" t="s">
        <v>2210</v>
      </c>
      <c r="T2789" s="155">
        <v>24812</v>
      </c>
      <c r="U2789" s="155">
        <v>0</v>
      </c>
    </row>
    <row r="2790" spans="2:21" x14ac:dyDescent="0.3">
      <c r="B2790" s="47"/>
      <c r="C2790" s="24"/>
      <c r="D2790" s="312"/>
      <c r="E2790" s="312"/>
      <c r="G2790" s="47"/>
      <c r="H2790" s="24"/>
      <c r="I2790" s="312"/>
      <c r="J2790" s="312"/>
      <c r="L2790" s="47"/>
      <c r="M2790" s="24"/>
      <c r="N2790" s="312"/>
      <c r="O2790" s="312"/>
      <c r="Q2790" s="47"/>
      <c r="R2790" s="136" t="s">
        <v>2165</v>
      </c>
      <c r="S2790" s="25" t="s">
        <v>2166</v>
      </c>
      <c r="T2790" s="155">
        <v>10708</v>
      </c>
      <c r="U2790" s="155">
        <v>0</v>
      </c>
    </row>
    <row r="2791" spans="2:21" x14ac:dyDescent="0.3">
      <c r="B2791" s="47"/>
      <c r="C2791" s="24"/>
      <c r="D2791" s="312"/>
      <c r="E2791" s="312"/>
      <c r="G2791" s="47"/>
      <c r="H2791" s="24"/>
      <c r="I2791" s="312"/>
      <c r="J2791" s="312"/>
      <c r="L2791" s="47"/>
      <c r="M2791" s="24"/>
      <c r="N2791" s="312"/>
      <c r="O2791" s="312"/>
      <c r="Q2791" s="47"/>
      <c r="R2791" s="136" t="s">
        <v>2168</v>
      </c>
      <c r="S2791" s="25" t="s">
        <v>2169</v>
      </c>
      <c r="T2791" s="155">
        <v>11250</v>
      </c>
      <c r="U2791" s="155">
        <v>0</v>
      </c>
    </row>
    <row r="2792" spans="2:21" x14ac:dyDescent="0.3">
      <c r="B2792" s="47"/>
      <c r="C2792" s="24"/>
      <c r="D2792" s="312"/>
      <c r="E2792" s="312"/>
      <c r="G2792" s="47"/>
      <c r="H2792" s="24"/>
      <c r="I2792" s="312"/>
      <c r="J2792" s="312"/>
      <c r="L2792" s="47"/>
      <c r="M2792" s="24"/>
      <c r="N2792" s="312"/>
      <c r="O2792" s="312"/>
      <c r="Q2792" s="47"/>
      <c r="R2792" s="136" t="s">
        <v>2223</v>
      </c>
      <c r="S2792" s="25" t="s">
        <v>2224</v>
      </c>
      <c r="T2792" s="155">
        <v>20250</v>
      </c>
      <c r="U2792" s="155">
        <v>0</v>
      </c>
    </row>
    <row r="2793" spans="2:21" x14ac:dyDescent="0.3">
      <c r="B2793" s="47"/>
      <c r="C2793" s="24"/>
      <c r="D2793" s="312"/>
      <c r="E2793" s="312"/>
      <c r="G2793" s="47"/>
      <c r="H2793" s="24"/>
      <c r="I2793" s="312"/>
      <c r="J2793" s="312"/>
      <c r="L2793" s="47"/>
      <c r="M2793" s="24"/>
      <c r="N2793" s="312"/>
      <c r="O2793" s="312"/>
      <c r="Q2793" s="47"/>
      <c r="R2793" s="136" t="s">
        <v>2219</v>
      </c>
      <c r="S2793" s="25" t="s">
        <v>2220</v>
      </c>
      <c r="T2793" s="155">
        <v>32960</v>
      </c>
      <c r="U2793" s="155">
        <v>0</v>
      </c>
    </row>
    <row r="2794" spans="2:21" x14ac:dyDescent="0.3">
      <c r="B2794" s="47"/>
      <c r="C2794" s="24"/>
      <c r="D2794" s="312"/>
      <c r="E2794" s="312"/>
      <c r="G2794" s="47"/>
      <c r="H2794" s="24"/>
      <c r="I2794" s="312"/>
      <c r="J2794" s="312"/>
      <c r="L2794" s="47"/>
      <c r="M2794" s="24"/>
      <c r="N2794" s="312"/>
      <c r="O2794" s="312"/>
      <c r="Q2794" s="47"/>
      <c r="R2794" s="136" t="s">
        <v>2203</v>
      </c>
      <c r="S2794" s="25" t="s">
        <v>2204</v>
      </c>
      <c r="T2794" s="155">
        <v>27127</v>
      </c>
      <c r="U2794" s="155">
        <v>0</v>
      </c>
    </row>
    <row r="2795" spans="2:21" x14ac:dyDescent="0.3">
      <c r="B2795" s="47"/>
      <c r="C2795" s="24"/>
      <c r="D2795" s="312"/>
      <c r="E2795" s="312"/>
      <c r="G2795" s="47"/>
      <c r="H2795" s="24"/>
      <c r="I2795" s="312"/>
      <c r="J2795" s="312"/>
      <c r="L2795" s="47"/>
      <c r="M2795" s="24"/>
      <c r="N2795" s="312"/>
      <c r="O2795" s="312"/>
      <c r="Q2795" s="47"/>
      <c r="R2795" s="136" t="s">
        <v>2162</v>
      </c>
      <c r="S2795" s="25" t="s">
        <v>2163</v>
      </c>
      <c r="T2795" s="155">
        <v>22381</v>
      </c>
      <c r="U2795" s="155">
        <v>0</v>
      </c>
    </row>
    <row r="2796" spans="2:21" x14ac:dyDescent="0.3">
      <c r="B2796" s="47"/>
      <c r="C2796" s="24"/>
      <c r="D2796" s="312"/>
      <c r="E2796" s="312"/>
      <c r="G2796" s="47"/>
      <c r="H2796" s="24"/>
      <c r="I2796" s="312"/>
      <c r="J2796" s="312"/>
      <c r="L2796" s="47"/>
      <c r="M2796" s="24"/>
      <c r="N2796" s="312"/>
      <c r="O2796" s="312"/>
      <c r="Q2796" s="47"/>
      <c r="R2796" s="136" t="s">
        <v>2205</v>
      </c>
      <c r="S2796" s="25" t="s">
        <v>2206</v>
      </c>
      <c r="T2796" s="155">
        <v>39750</v>
      </c>
      <c r="U2796" s="155">
        <v>0</v>
      </c>
    </row>
    <row r="2797" spans="2:21" x14ac:dyDescent="0.3">
      <c r="B2797" s="47"/>
      <c r="C2797" s="24"/>
      <c r="D2797" s="312"/>
      <c r="E2797" s="312"/>
      <c r="G2797" s="47"/>
      <c r="H2797" s="24"/>
      <c r="I2797" s="312"/>
      <c r="J2797" s="312"/>
      <c r="L2797" s="47"/>
      <c r="M2797" s="24"/>
      <c r="N2797" s="312"/>
      <c r="O2797" s="312"/>
      <c r="Q2797" s="47"/>
      <c r="R2797" s="136" t="s">
        <v>3291</v>
      </c>
      <c r="S2797" s="25" t="s">
        <v>2171</v>
      </c>
      <c r="T2797" s="155">
        <v>45855</v>
      </c>
      <c r="U2797" s="155">
        <v>0</v>
      </c>
    </row>
    <row r="2798" spans="2:21" x14ac:dyDescent="0.3">
      <c r="B2798" s="47"/>
      <c r="C2798" s="24"/>
      <c r="D2798" s="312"/>
      <c r="E2798" s="312"/>
      <c r="G2798" s="47"/>
      <c r="H2798" s="24"/>
      <c r="I2798" s="312"/>
      <c r="J2798" s="312"/>
      <c r="L2798" s="47"/>
      <c r="M2798" s="24"/>
      <c r="N2798" s="312"/>
      <c r="O2798" s="312"/>
      <c r="Q2798" s="47"/>
      <c r="R2798" s="136" t="s">
        <v>2183</v>
      </c>
      <c r="S2798" s="25" t="s">
        <v>2182</v>
      </c>
      <c r="T2798" s="155">
        <v>28880</v>
      </c>
      <c r="U2798" s="155">
        <v>0</v>
      </c>
    </row>
    <row r="2799" spans="2:21" x14ac:dyDescent="0.3">
      <c r="B2799" s="47"/>
      <c r="C2799" s="24"/>
      <c r="D2799" s="312"/>
      <c r="E2799" s="312"/>
      <c r="G2799" s="47"/>
      <c r="H2799" s="24"/>
      <c r="I2799" s="312"/>
      <c r="J2799" s="312"/>
      <c r="L2799" s="47"/>
      <c r="M2799" s="24"/>
      <c r="N2799" s="312"/>
      <c r="O2799" s="312"/>
      <c r="Q2799" s="47"/>
      <c r="R2799" s="136" t="s">
        <v>2226</v>
      </c>
      <c r="S2799" s="25" t="s">
        <v>2227</v>
      </c>
      <c r="T2799" s="155">
        <v>41300</v>
      </c>
      <c r="U2799" s="155">
        <v>0</v>
      </c>
    </row>
    <row r="2800" spans="2:21" x14ac:dyDescent="0.3">
      <c r="B2800" s="47"/>
      <c r="C2800" s="24"/>
      <c r="D2800" s="312"/>
      <c r="E2800" s="312"/>
      <c r="G2800" s="47"/>
      <c r="H2800" s="24"/>
      <c r="I2800" s="312"/>
      <c r="J2800" s="312"/>
      <c r="L2800" s="47"/>
      <c r="M2800" s="24"/>
      <c r="N2800" s="312"/>
      <c r="O2800" s="312"/>
      <c r="Q2800" s="47"/>
      <c r="R2800" s="136" t="s">
        <v>2221</v>
      </c>
      <c r="S2800" s="25" t="s">
        <v>2222</v>
      </c>
      <c r="T2800" s="155">
        <v>23813</v>
      </c>
      <c r="U2800" s="155">
        <v>0</v>
      </c>
    </row>
    <row r="2801" spans="2:21" x14ac:dyDescent="0.3">
      <c r="B2801" s="47"/>
      <c r="C2801" s="24"/>
      <c r="D2801" s="312"/>
      <c r="E2801" s="312"/>
      <c r="G2801" s="47"/>
      <c r="H2801" s="24"/>
      <c r="I2801" s="312"/>
      <c r="J2801" s="312"/>
      <c r="L2801" s="47"/>
      <c r="M2801" s="24"/>
      <c r="N2801" s="312"/>
      <c r="O2801" s="312"/>
      <c r="Q2801" s="47"/>
      <c r="R2801" s="136" t="s">
        <v>2201</v>
      </c>
      <c r="S2801" s="25" t="s">
        <v>2202</v>
      </c>
      <c r="T2801" s="155">
        <v>53515</v>
      </c>
      <c r="U2801" s="155">
        <v>0</v>
      </c>
    </row>
    <row r="2802" spans="2:21" x14ac:dyDescent="0.3">
      <c r="B2802" s="47"/>
      <c r="C2802" s="24"/>
      <c r="D2802" s="312"/>
      <c r="E2802" s="312"/>
      <c r="G2802" s="47"/>
      <c r="H2802" s="24"/>
      <c r="I2802" s="312"/>
      <c r="J2802" s="312"/>
      <c r="L2802" s="47"/>
      <c r="M2802" s="24"/>
      <c r="N2802" s="312"/>
      <c r="O2802" s="312"/>
      <c r="Q2802" s="47"/>
      <c r="R2802" s="136" t="s">
        <v>1895</v>
      </c>
      <c r="S2802" s="25" t="s">
        <v>2174</v>
      </c>
      <c r="T2802" s="155">
        <v>55875</v>
      </c>
      <c r="U2802" s="155">
        <v>0</v>
      </c>
    </row>
    <row r="2803" spans="2:21" x14ac:dyDescent="0.3">
      <c r="B2803" s="47"/>
      <c r="C2803" s="24"/>
      <c r="D2803" s="312"/>
      <c r="E2803" s="312"/>
      <c r="G2803" s="47"/>
      <c r="H2803" s="24"/>
      <c r="I2803" s="312"/>
      <c r="J2803" s="312"/>
      <c r="L2803" s="47"/>
      <c r="M2803" s="24"/>
      <c r="N2803" s="312"/>
      <c r="O2803" s="312"/>
      <c r="Q2803" s="47"/>
      <c r="R2803" s="136" t="s">
        <v>2192</v>
      </c>
      <c r="S2803" s="25" t="s">
        <v>2191</v>
      </c>
      <c r="T2803" s="155">
        <v>12100</v>
      </c>
      <c r="U2803" s="155">
        <v>0</v>
      </c>
    </row>
    <row r="2804" spans="2:21" x14ac:dyDescent="0.3">
      <c r="B2804" s="47"/>
      <c r="C2804" s="24"/>
      <c r="D2804" s="312"/>
      <c r="E2804" s="312"/>
      <c r="G2804" s="47"/>
      <c r="H2804" s="24"/>
      <c r="I2804" s="312"/>
      <c r="J2804" s="312"/>
      <c r="L2804" s="47"/>
      <c r="M2804" s="24"/>
      <c r="N2804" s="312"/>
      <c r="O2804" s="312"/>
      <c r="Q2804" s="47"/>
      <c r="R2804" s="136" t="s">
        <v>1896</v>
      </c>
      <c r="S2804" s="25" t="s">
        <v>2193</v>
      </c>
      <c r="T2804" s="155">
        <v>16330</v>
      </c>
      <c r="U2804" s="155">
        <v>0</v>
      </c>
    </row>
    <row r="2805" spans="2:21" x14ac:dyDescent="0.3">
      <c r="B2805" s="47"/>
      <c r="C2805" s="24"/>
      <c r="D2805" s="312"/>
      <c r="E2805" s="312"/>
      <c r="G2805" s="47"/>
      <c r="H2805" s="24"/>
      <c r="I2805" s="312"/>
      <c r="J2805" s="312"/>
      <c r="L2805" s="47"/>
      <c r="M2805" s="24"/>
      <c r="N2805" s="312"/>
      <c r="O2805" s="312"/>
      <c r="Q2805" s="47"/>
      <c r="R2805" s="136" t="s">
        <v>2185</v>
      </c>
      <c r="S2805" s="25" t="s">
        <v>2184</v>
      </c>
      <c r="T2805" s="155">
        <v>19262</v>
      </c>
      <c r="U2805" s="155">
        <v>0</v>
      </c>
    </row>
    <row r="2806" spans="2:21" x14ac:dyDescent="0.3">
      <c r="B2806" s="47"/>
      <c r="C2806" s="24"/>
      <c r="D2806" s="312"/>
      <c r="E2806" s="312"/>
      <c r="G2806" s="47"/>
      <c r="H2806" s="24"/>
      <c r="I2806" s="312"/>
      <c r="J2806" s="312"/>
      <c r="L2806" s="47"/>
      <c r="M2806" s="24"/>
      <c r="N2806" s="312"/>
      <c r="O2806" s="312"/>
      <c r="Q2806" s="47"/>
      <c r="R2806" s="136" t="s">
        <v>2212</v>
      </c>
      <c r="S2806" s="25" t="s">
        <v>2213</v>
      </c>
      <c r="T2806" s="155">
        <v>29255</v>
      </c>
      <c r="U2806" s="155">
        <v>0</v>
      </c>
    </row>
    <row r="2807" spans="2:21" x14ac:dyDescent="0.3">
      <c r="B2807" s="47"/>
      <c r="C2807" s="24"/>
      <c r="D2807" s="312"/>
      <c r="E2807" s="312"/>
      <c r="G2807" s="47"/>
      <c r="H2807" s="24"/>
      <c r="I2807" s="312"/>
      <c r="J2807" s="312"/>
      <c r="L2807" s="47"/>
      <c r="M2807" s="24"/>
      <c r="N2807" s="312"/>
      <c r="O2807" s="312"/>
      <c r="Q2807" s="47"/>
      <c r="R2807" s="136" t="s">
        <v>2343</v>
      </c>
      <c r="S2807" s="25" t="s">
        <v>2194</v>
      </c>
      <c r="T2807" s="155">
        <v>550</v>
      </c>
      <c r="U2807" s="155">
        <v>0</v>
      </c>
    </row>
    <row r="2808" spans="2:21" x14ac:dyDescent="0.3">
      <c r="B2808" s="47"/>
      <c r="C2808" s="24"/>
      <c r="D2808" s="312"/>
      <c r="E2808" s="312"/>
      <c r="G2808" s="47"/>
      <c r="H2808" s="24"/>
      <c r="I2808" s="312"/>
      <c r="J2808" s="312"/>
      <c r="L2808" s="47"/>
      <c r="M2808" s="24"/>
      <c r="N2808" s="312"/>
      <c r="O2808" s="312"/>
      <c r="Q2808" s="47"/>
      <c r="R2808" s="136" t="s">
        <v>2230</v>
      </c>
      <c r="S2808" s="25" t="s">
        <v>2231</v>
      </c>
      <c r="T2808" s="155">
        <v>6050</v>
      </c>
      <c r="U2808" s="155">
        <v>0</v>
      </c>
    </row>
    <row r="2809" spans="2:21" x14ac:dyDescent="0.3">
      <c r="B2809" s="47"/>
      <c r="C2809" s="24"/>
      <c r="D2809" s="312"/>
      <c r="E2809" s="312"/>
      <c r="G2809" s="47"/>
      <c r="H2809" s="24"/>
      <c r="I2809" s="312"/>
      <c r="J2809" s="312"/>
      <c r="L2809" s="47"/>
      <c r="M2809" s="24"/>
      <c r="N2809" s="312"/>
      <c r="O2809" s="312"/>
      <c r="Q2809" s="47"/>
      <c r="R2809" s="136" t="s">
        <v>2342</v>
      </c>
      <c r="S2809" s="25" t="s">
        <v>2188</v>
      </c>
      <c r="T2809" s="155">
        <v>14280</v>
      </c>
      <c r="U2809" s="155">
        <v>0</v>
      </c>
    </row>
    <row r="2810" spans="2:21" x14ac:dyDescent="0.3">
      <c r="B2810" s="47"/>
      <c r="C2810" s="24"/>
      <c r="D2810" s="312"/>
      <c r="E2810" s="312"/>
      <c r="G2810" s="47"/>
      <c r="H2810" s="24"/>
      <c r="I2810" s="312"/>
      <c r="J2810" s="312"/>
      <c r="L2810" s="47"/>
      <c r="M2810" s="24"/>
      <c r="N2810" s="312"/>
      <c r="O2810" s="312"/>
      <c r="Q2810" s="47"/>
      <c r="R2810" s="136" t="s">
        <v>2177</v>
      </c>
      <c r="S2810" s="25" t="s">
        <v>2341</v>
      </c>
      <c r="T2810" s="155">
        <v>56100</v>
      </c>
      <c r="U2810" s="155">
        <v>0</v>
      </c>
    </row>
    <row r="2811" spans="2:21" x14ac:dyDescent="0.3">
      <c r="B2811" s="47"/>
      <c r="C2811" s="24"/>
      <c r="D2811" s="312"/>
      <c r="E2811" s="312"/>
      <c r="G2811" s="47"/>
      <c r="H2811" s="24"/>
      <c r="I2811" s="312"/>
      <c r="J2811" s="312"/>
      <c r="L2811" s="47"/>
      <c r="M2811" s="24"/>
      <c r="N2811" s="312"/>
      <c r="O2811" s="312"/>
      <c r="Q2811" s="47"/>
      <c r="R2811" s="136" t="s">
        <v>2190</v>
      </c>
      <c r="S2811" s="25" t="s">
        <v>2189</v>
      </c>
      <c r="T2811" s="155">
        <v>21310</v>
      </c>
      <c r="U2811" s="155">
        <v>0</v>
      </c>
    </row>
    <row r="2812" spans="2:21" x14ac:dyDescent="0.3">
      <c r="B2812" s="47"/>
      <c r="C2812" s="24"/>
      <c r="D2812" s="312"/>
      <c r="E2812" s="312"/>
      <c r="G2812" s="47"/>
      <c r="H2812" s="24"/>
      <c r="I2812" s="312"/>
      <c r="J2812" s="312"/>
      <c r="L2812" s="47"/>
      <c r="M2812" s="24"/>
      <c r="N2812" s="312"/>
      <c r="O2812" s="312"/>
      <c r="Q2812" s="47"/>
      <c r="R2812" s="136" t="s">
        <v>2207</v>
      </c>
      <c r="S2812" s="25" t="s">
        <v>2208</v>
      </c>
      <c r="T2812" s="155">
        <v>32032</v>
      </c>
      <c r="U2812" s="155">
        <v>0</v>
      </c>
    </row>
    <row r="2813" spans="2:21" x14ac:dyDescent="0.3">
      <c r="B2813" s="47"/>
      <c r="C2813" s="24"/>
      <c r="D2813" s="312"/>
      <c r="E2813" s="312"/>
      <c r="G2813" s="47"/>
      <c r="H2813" s="24"/>
      <c r="I2813" s="312"/>
      <c r="J2813" s="312"/>
      <c r="L2813" s="47"/>
      <c r="M2813" s="24"/>
      <c r="N2813" s="312"/>
      <c r="O2813" s="312"/>
      <c r="Q2813" s="47"/>
      <c r="R2813" s="136" t="s">
        <v>2214</v>
      </c>
      <c r="S2813" s="25" t="s">
        <v>2215</v>
      </c>
      <c r="T2813" s="155">
        <v>29758</v>
      </c>
      <c r="U2813" s="155">
        <v>0</v>
      </c>
    </row>
    <row r="2814" spans="2:21" x14ac:dyDescent="0.3">
      <c r="B2814" s="47"/>
      <c r="C2814" s="24"/>
      <c r="D2814" s="312"/>
      <c r="E2814" s="312"/>
      <c r="G2814" s="47"/>
      <c r="H2814" s="24"/>
      <c r="I2814" s="312"/>
      <c r="J2814" s="312"/>
      <c r="L2814" s="47"/>
      <c r="M2814" s="24"/>
      <c r="N2814" s="312"/>
      <c r="O2814" s="312"/>
      <c r="Q2814" s="47"/>
      <c r="R2814" s="136" t="s">
        <v>2187</v>
      </c>
      <c r="S2814" s="25" t="s">
        <v>2186</v>
      </c>
      <c r="T2814" s="155">
        <v>20053</v>
      </c>
      <c r="U2814" s="155">
        <v>0</v>
      </c>
    </row>
    <row r="2815" spans="2:21" x14ac:dyDescent="0.3">
      <c r="B2815" s="47"/>
      <c r="C2815" s="24"/>
      <c r="D2815" s="312"/>
      <c r="E2815" s="312"/>
      <c r="G2815" s="47"/>
      <c r="H2815" s="24"/>
      <c r="I2815" s="312"/>
      <c r="J2815" s="312"/>
      <c r="L2815" s="47"/>
      <c r="M2815" s="24"/>
      <c r="N2815" s="312"/>
      <c r="O2815" s="312"/>
      <c r="Q2815" s="47"/>
      <c r="R2815" s="136" t="s">
        <v>1931</v>
      </c>
      <c r="S2815" s="25" t="s">
        <v>1932</v>
      </c>
      <c r="T2815" s="155">
        <v>43355</v>
      </c>
      <c r="U2815" s="155">
        <v>0</v>
      </c>
    </row>
    <row r="2816" spans="2:21" x14ac:dyDescent="0.3">
      <c r="B2816" s="47"/>
      <c r="C2816" s="24"/>
      <c r="D2816" s="312"/>
      <c r="E2816" s="312"/>
      <c r="G2816" s="47"/>
      <c r="H2816" s="24"/>
      <c r="I2816" s="312"/>
      <c r="J2816" s="312"/>
      <c r="L2816" s="47"/>
      <c r="M2816" s="24"/>
      <c r="N2816" s="312"/>
      <c r="O2816" s="312"/>
      <c r="Q2816" s="47"/>
      <c r="R2816" s="136" t="s">
        <v>2228</v>
      </c>
      <c r="S2816" s="25" t="s">
        <v>1990</v>
      </c>
      <c r="T2816" s="155">
        <v>800</v>
      </c>
      <c r="U2816" s="155">
        <v>0</v>
      </c>
    </row>
    <row r="2817" spans="2:27" x14ac:dyDescent="0.3">
      <c r="B2817" s="47"/>
      <c r="C2817" s="24"/>
      <c r="D2817" s="312"/>
      <c r="E2817" s="312"/>
      <c r="G2817" s="47"/>
      <c r="H2817" s="24"/>
      <c r="I2817" s="312"/>
      <c r="J2817" s="312"/>
      <c r="L2817" s="47"/>
      <c r="M2817" s="24"/>
      <c r="N2817" s="312"/>
      <c r="O2817" s="312"/>
      <c r="Q2817" s="47"/>
      <c r="R2817" s="136" t="s">
        <v>1985</v>
      </c>
      <c r="S2817" s="25" t="s">
        <v>2197</v>
      </c>
      <c r="T2817" s="155">
        <v>236</v>
      </c>
      <c r="U2817" s="155">
        <v>0</v>
      </c>
    </row>
    <row r="2818" spans="2:27" x14ac:dyDescent="0.3">
      <c r="B2818" s="47"/>
      <c r="C2818" s="24"/>
      <c r="D2818" s="312"/>
      <c r="E2818" s="312"/>
      <c r="G2818" s="47"/>
      <c r="H2818" s="24"/>
      <c r="I2818" s="312"/>
      <c r="J2818" s="312"/>
      <c r="L2818" s="47"/>
      <c r="M2818" s="24"/>
      <c r="N2818" s="312"/>
      <c r="O2818" s="312"/>
      <c r="Q2818" s="47"/>
      <c r="R2818" s="136" t="s">
        <v>1933</v>
      </c>
      <c r="S2818" s="25" t="s">
        <v>2195</v>
      </c>
      <c r="T2818" s="155">
        <v>10450</v>
      </c>
      <c r="U2818" s="155">
        <v>0</v>
      </c>
    </row>
    <row r="2819" spans="2:27" x14ac:dyDescent="0.3">
      <c r="B2819" s="47"/>
      <c r="C2819" s="24"/>
      <c r="D2819" s="312"/>
      <c r="E2819" s="312"/>
      <c r="G2819" s="47"/>
      <c r="H2819" s="24"/>
      <c r="I2819" s="312"/>
      <c r="J2819" s="312"/>
      <c r="L2819" s="47"/>
      <c r="M2819" s="24"/>
      <c r="N2819" s="312"/>
      <c r="O2819" s="312"/>
      <c r="Q2819" s="47"/>
      <c r="R2819" s="136" t="s">
        <v>1934</v>
      </c>
      <c r="S2819" s="25" t="s">
        <v>2196</v>
      </c>
      <c r="T2819" s="155">
        <v>9540</v>
      </c>
      <c r="U2819" s="155">
        <v>0</v>
      </c>
    </row>
    <row r="2820" spans="2:27" x14ac:dyDescent="0.3">
      <c r="B2820" s="47"/>
      <c r="C2820" s="24"/>
      <c r="D2820" s="312"/>
      <c r="E2820" s="312"/>
      <c r="G2820" s="47"/>
      <c r="H2820" s="24"/>
      <c r="I2820" s="312"/>
      <c r="J2820" s="312"/>
      <c r="L2820" s="47"/>
      <c r="M2820" s="24"/>
      <c r="N2820" s="312"/>
      <c r="O2820" s="312"/>
      <c r="Q2820" s="241">
        <v>80110010</v>
      </c>
      <c r="R2820" s="242"/>
      <c r="S2820" s="246" t="s">
        <v>2081</v>
      </c>
      <c r="T2820" s="240">
        <v>0</v>
      </c>
      <c r="U2820" s="240">
        <v>0</v>
      </c>
    </row>
    <row r="2821" spans="2:27" x14ac:dyDescent="0.3">
      <c r="B2821" s="47"/>
      <c r="C2821" s="24"/>
      <c r="D2821" s="312"/>
      <c r="E2821" s="312"/>
      <c r="G2821" s="47"/>
      <c r="H2821" s="24"/>
      <c r="I2821" s="312"/>
      <c r="J2821" s="312"/>
      <c r="L2821" s="47"/>
      <c r="M2821" s="24"/>
      <c r="N2821" s="312"/>
      <c r="O2821" s="312"/>
      <c r="Q2821" s="47"/>
      <c r="R2821" s="136"/>
      <c r="S2821" s="24"/>
      <c r="T2821" s="155"/>
      <c r="U2821" s="155"/>
      <c r="V2821" s="113"/>
      <c r="W2821" s="113"/>
      <c r="X2821" s="113"/>
      <c r="Y2821" s="113"/>
      <c r="AA2821" s="113"/>
    </row>
    <row r="2822" spans="2:27" x14ac:dyDescent="0.3">
      <c r="B2822" s="47"/>
      <c r="C2822" s="24"/>
      <c r="D2822" s="312"/>
      <c r="E2822" s="312"/>
      <c r="G2822" s="47"/>
      <c r="H2822" s="24"/>
      <c r="I2822" s="312"/>
      <c r="J2822" s="312"/>
      <c r="K2822">
        <v>8012</v>
      </c>
      <c r="L2822" s="241">
        <v>8012</v>
      </c>
      <c r="M2822" s="243" t="s">
        <v>915</v>
      </c>
      <c r="N2822" s="314">
        <f>T2822+T2824+T2862+T2863+T2864+T2904+T2906+T2948+T2972</f>
        <v>2256057</v>
      </c>
      <c r="O2822" s="314">
        <v>0</v>
      </c>
      <c r="Q2822" s="241">
        <v>80120001</v>
      </c>
      <c r="R2822" s="242"/>
      <c r="S2822" s="243" t="s">
        <v>1125</v>
      </c>
      <c r="T2822" s="239">
        <f>SUM(T2823)-SUM(U2823)</f>
        <v>153780</v>
      </c>
      <c r="U2822" s="240">
        <v>0</v>
      </c>
      <c r="V2822" s="113"/>
      <c r="W2822" s="113"/>
      <c r="X2822" s="113"/>
      <c r="Y2822" s="113"/>
      <c r="AA2822" s="113"/>
    </row>
    <row r="2823" spans="2:27" x14ac:dyDescent="0.3">
      <c r="B2823" s="47"/>
      <c r="C2823" s="24"/>
      <c r="D2823" s="312"/>
      <c r="E2823" s="312"/>
      <c r="G2823" s="47"/>
      <c r="H2823" s="24"/>
      <c r="I2823" s="312"/>
      <c r="J2823" s="312"/>
      <c r="L2823" s="47"/>
      <c r="M2823" s="24"/>
      <c r="N2823" s="312"/>
      <c r="O2823" s="312"/>
      <c r="Q2823" s="47"/>
      <c r="R2823" s="136" t="s">
        <v>2156</v>
      </c>
      <c r="S2823" s="24" t="s">
        <v>2157</v>
      </c>
      <c r="T2823" s="155">
        <v>153780</v>
      </c>
      <c r="U2823" s="155">
        <v>0</v>
      </c>
      <c r="V2823" s="113"/>
      <c r="W2823" s="113"/>
      <c r="X2823" s="113"/>
      <c r="Y2823" s="113"/>
      <c r="AA2823" s="113"/>
    </row>
    <row r="2824" spans="2:27" x14ac:dyDescent="0.3">
      <c r="B2824" s="47"/>
      <c r="C2824" s="24"/>
      <c r="D2824" s="312"/>
      <c r="E2824" s="312"/>
      <c r="G2824" s="47"/>
      <c r="H2824" s="24"/>
      <c r="I2824" s="312"/>
      <c r="J2824" s="312"/>
      <c r="L2824" s="47"/>
      <c r="M2824" s="24"/>
      <c r="N2824" s="312"/>
      <c r="O2824" s="312"/>
      <c r="Q2824" s="241">
        <v>80120002</v>
      </c>
      <c r="R2824" s="242"/>
      <c r="S2824" s="243" t="s">
        <v>1126</v>
      </c>
      <c r="T2824" s="239">
        <f>SUM(T2825:T2861)-SUM(U2825:U2861)</f>
        <v>153293</v>
      </c>
      <c r="U2824" s="240">
        <v>0</v>
      </c>
      <c r="V2824" s="113"/>
      <c r="W2824" s="113"/>
      <c r="X2824" s="113"/>
      <c r="Y2824" s="113"/>
      <c r="AA2824" s="113"/>
    </row>
    <row r="2825" spans="2:27" x14ac:dyDescent="0.3">
      <c r="B2825" s="47"/>
      <c r="C2825" s="24"/>
      <c r="D2825" s="312"/>
      <c r="E2825" s="312"/>
      <c r="G2825" s="47"/>
      <c r="H2825" s="24"/>
      <c r="I2825" s="312"/>
      <c r="J2825" s="312"/>
      <c r="L2825" s="47"/>
      <c r="M2825" s="24"/>
      <c r="N2825" s="312"/>
      <c r="O2825" s="312"/>
      <c r="Q2825" s="47"/>
      <c r="R2825" s="136" t="s">
        <v>1931</v>
      </c>
      <c r="S2825" s="24" t="s">
        <v>1932</v>
      </c>
      <c r="T2825" s="155">
        <v>4437</v>
      </c>
      <c r="U2825" s="155">
        <v>0</v>
      </c>
      <c r="V2825" s="113"/>
      <c r="W2825" s="113"/>
      <c r="X2825" s="113"/>
      <c r="Y2825" s="113"/>
      <c r="AA2825" s="113"/>
    </row>
    <row r="2826" spans="2:27" x14ac:dyDescent="0.3">
      <c r="B2826" s="47"/>
      <c r="C2826" s="24"/>
      <c r="D2826" s="312"/>
      <c r="E2826" s="312"/>
      <c r="G2826" s="47"/>
      <c r="H2826" s="24"/>
      <c r="I2826" s="312"/>
      <c r="J2826" s="312"/>
      <c r="L2826" s="47"/>
      <c r="M2826" s="24"/>
      <c r="N2826" s="312"/>
      <c r="O2826" s="312"/>
      <c r="Q2826" s="47"/>
      <c r="R2826" s="136" t="s">
        <v>2199</v>
      </c>
      <c r="S2826" s="24" t="s">
        <v>2200</v>
      </c>
      <c r="T2826" s="155">
        <v>4437</v>
      </c>
      <c r="U2826" s="155">
        <v>0</v>
      </c>
      <c r="V2826" s="113"/>
      <c r="W2826" s="113"/>
      <c r="X2826" s="113"/>
      <c r="Y2826" s="113"/>
      <c r="AA2826" s="113"/>
    </row>
    <row r="2827" spans="2:27" x14ac:dyDescent="0.3">
      <c r="B2827" s="47"/>
      <c r="C2827" s="24"/>
      <c r="D2827" s="312"/>
      <c r="E2827" s="312"/>
      <c r="G2827" s="47"/>
      <c r="H2827" s="24"/>
      <c r="I2827" s="312"/>
      <c r="J2827" s="312"/>
      <c r="L2827" s="47"/>
      <c r="M2827" s="24"/>
      <c r="N2827" s="312"/>
      <c r="O2827" s="312"/>
      <c r="Q2827" s="47"/>
      <c r="R2827" s="136" t="s">
        <v>2201</v>
      </c>
      <c r="S2827" s="24" t="s">
        <v>2202</v>
      </c>
      <c r="T2827" s="155">
        <v>4437</v>
      </c>
      <c r="U2827" s="155">
        <v>0</v>
      </c>
      <c r="V2827" s="113"/>
      <c r="W2827" s="113"/>
      <c r="X2827" s="113"/>
      <c r="Y2827" s="113"/>
      <c r="AA2827" s="113"/>
    </row>
    <row r="2828" spans="2:27" x14ac:dyDescent="0.3">
      <c r="B2828" s="47"/>
      <c r="C2828" s="24"/>
      <c r="D2828" s="312"/>
      <c r="E2828" s="312"/>
      <c r="G2828" s="47"/>
      <c r="H2828" s="24"/>
      <c r="I2828" s="312"/>
      <c r="J2828" s="312"/>
      <c r="L2828" s="47"/>
      <c r="M2828" s="24"/>
      <c r="N2828" s="312"/>
      <c r="O2828" s="312"/>
      <c r="Q2828" s="47"/>
      <c r="R2828" s="136" t="s">
        <v>2203</v>
      </c>
      <c r="S2828" s="24" t="s">
        <v>2204</v>
      </c>
      <c r="T2828" s="155">
        <v>2952</v>
      </c>
      <c r="U2828" s="155">
        <v>0</v>
      </c>
      <c r="V2828" s="113"/>
      <c r="W2828" s="113"/>
      <c r="X2828" s="113"/>
      <c r="Y2828" s="113"/>
      <c r="AA2828" s="113"/>
    </row>
    <row r="2829" spans="2:27" x14ac:dyDescent="0.3">
      <c r="B2829" s="47"/>
      <c r="C2829" s="24"/>
      <c r="D2829" s="312"/>
      <c r="E2829" s="312"/>
      <c r="G2829" s="47"/>
      <c r="H2829" s="24"/>
      <c r="I2829" s="312"/>
      <c r="J2829" s="312"/>
      <c r="L2829" s="47"/>
      <c r="M2829" s="24"/>
      <c r="N2829" s="312"/>
      <c r="O2829" s="312"/>
      <c r="Q2829" s="47"/>
      <c r="R2829" s="136" t="s">
        <v>2205</v>
      </c>
      <c r="S2829" s="24" t="s">
        <v>2206</v>
      </c>
      <c r="T2829" s="155">
        <v>2952</v>
      </c>
      <c r="U2829" s="155">
        <v>0</v>
      </c>
      <c r="V2829" s="113"/>
      <c r="W2829" s="113"/>
      <c r="X2829" s="113"/>
      <c r="Y2829" s="113"/>
      <c r="AA2829" s="113"/>
    </row>
    <row r="2830" spans="2:27" x14ac:dyDescent="0.3">
      <c r="B2830" s="47"/>
      <c r="C2830" s="24"/>
      <c r="D2830" s="312"/>
      <c r="E2830" s="312"/>
      <c r="G2830" s="47"/>
      <c r="H2830" s="24"/>
      <c r="I2830" s="312"/>
      <c r="J2830" s="312"/>
      <c r="L2830" s="47"/>
      <c r="M2830" s="24"/>
      <c r="N2830" s="312"/>
      <c r="O2830" s="312"/>
      <c r="Q2830" s="47"/>
      <c r="R2830" s="136" t="s">
        <v>2207</v>
      </c>
      <c r="S2830" s="24" t="s">
        <v>2208</v>
      </c>
      <c r="T2830" s="155">
        <v>4437</v>
      </c>
      <c r="U2830" s="155">
        <v>0</v>
      </c>
      <c r="V2830" s="113"/>
      <c r="W2830" s="113"/>
      <c r="X2830" s="113"/>
      <c r="Y2830" s="113"/>
      <c r="AA2830" s="113"/>
    </row>
    <row r="2831" spans="2:27" x14ac:dyDescent="0.3">
      <c r="B2831" s="47"/>
      <c r="C2831" s="24"/>
      <c r="D2831" s="312"/>
      <c r="E2831" s="312"/>
      <c r="G2831" s="47"/>
      <c r="H2831" s="24"/>
      <c r="I2831" s="312"/>
      <c r="J2831" s="312"/>
      <c r="L2831" s="47"/>
      <c r="M2831" s="24"/>
      <c r="N2831" s="312"/>
      <c r="O2831" s="312"/>
      <c r="Q2831" s="47"/>
      <c r="R2831" s="136" t="s">
        <v>2209</v>
      </c>
      <c r="S2831" s="24" t="s">
        <v>2210</v>
      </c>
      <c r="T2831" s="155">
        <v>4437</v>
      </c>
      <c r="U2831" s="155">
        <v>0</v>
      </c>
      <c r="V2831" s="113"/>
      <c r="W2831" s="113"/>
      <c r="X2831" s="113"/>
      <c r="Y2831" s="113"/>
      <c r="AA2831" s="113"/>
    </row>
    <row r="2832" spans="2:27" x14ac:dyDescent="0.3">
      <c r="B2832" s="47"/>
      <c r="C2832" s="24"/>
      <c r="D2832" s="312"/>
      <c r="E2832" s="312"/>
      <c r="G2832" s="47"/>
      <c r="H2832" s="24"/>
      <c r="I2832" s="312"/>
      <c r="J2832" s="312"/>
      <c r="L2832" s="47"/>
      <c r="M2832" s="24"/>
      <c r="N2832" s="312"/>
      <c r="O2832" s="312"/>
      <c r="Q2832" s="47"/>
      <c r="R2832" s="136" t="s">
        <v>2340</v>
      </c>
      <c r="S2832" s="24" t="s">
        <v>2159</v>
      </c>
      <c r="T2832" s="155">
        <v>4437</v>
      </c>
      <c r="U2832" s="155">
        <v>0</v>
      </c>
      <c r="V2832" s="113"/>
      <c r="W2832" s="113"/>
      <c r="X2832" s="113"/>
      <c r="Y2832" s="113"/>
      <c r="AA2832" s="113"/>
    </row>
    <row r="2833" spans="2:27" x14ac:dyDescent="0.3">
      <c r="B2833" s="47"/>
      <c r="C2833" s="24"/>
      <c r="D2833" s="312"/>
      <c r="E2833" s="312"/>
      <c r="G2833" s="47"/>
      <c r="H2833" s="24"/>
      <c r="I2833" s="312"/>
      <c r="J2833" s="312"/>
      <c r="L2833" s="47"/>
      <c r="M2833" s="24"/>
      <c r="N2833" s="312"/>
      <c r="O2833" s="312"/>
      <c r="Q2833" s="47"/>
      <c r="R2833" s="136" t="s">
        <v>2160</v>
      </c>
      <c r="S2833" s="24" t="s">
        <v>2161</v>
      </c>
      <c r="T2833" s="155">
        <v>5175</v>
      </c>
      <c r="U2833" s="155">
        <v>0</v>
      </c>
      <c r="V2833" s="113"/>
      <c r="W2833" s="113"/>
      <c r="X2833" s="113"/>
      <c r="Y2833" s="113"/>
      <c r="AA2833" s="113"/>
    </row>
    <row r="2834" spans="2:27" x14ac:dyDescent="0.3">
      <c r="B2834" s="47"/>
      <c r="C2834" s="24"/>
      <c r="D2834" s="312"/>
      <c r="E2834" s="312"/>
      <c r="G2834" s="47"/>
      <c r="H2834" s="24"/>
      <c r="I2834" s="312"/>
      <c r="J2834" s="312"/>
      <c r="L2834" s="47"/>
      <c r="M2834" s="24"/>
      <c r="N2834" s="312"/>
      <c r="O2834" s="312"/>
      <c r="Q2834" s="47"/>
      <c r="R2834" s="136" t="s">
        <v>2162</v>
      </c>
      <c r="S2834" s="24" t="s">
        <v>2163</v>
      </c>
      <c r="T2834" s="155">
        <v>5175</v>
      </c>
      <c r="U2834" s="155">
        <v>0</v>
      </c>
      <c r="V2834" s="113"/>
      <c r="W2834" s="113"/>
      <c r="X2834" s="113"/>
      <c r="Y2834" s="113"/>
      <c r="AA2834" s="113"/>
    </row>
    <row r="2835" spans="2:27" x14ac:dyDescent="0.3">
      <c r="B2835" s="47"/>
      <c r="C2835" s="24"/>
      <c r="D2835" s="312"/>
      <c r="E2835" s="312"/>
      <c r="G2835" s="47"/>
      <c r="H2835" s="24"/>
      <c r="I2835" s="312"/>
      <c r="J2835" s="312"/>
      <c r="L2835" s="47"/>
      <c r="M2835" s="24"/>
      <c r="N2835" s="312"/>
      <c r="O2835" s="312"/>
      <c r="Q2835" s="47"/>
      <c r="R2835" s="136" t="s">
        <v>2165</v>
      </c>
      <c r="S2835" s="24" t="s">
        <v>2166</v>
      </c>
      <c r="T2835" s="155">
        <v>4437</v>
      </c>
      <c r="U2835" s="155">
        <v>0</v>
      </c>
      <c r="V2835" s="113"/>
      <c r="W2835" s="113"/>
      <c r="X2835" s="113"/>
      <c r="Y2835" s="113"/>
      <c r="AA2835" s="113"/>
    </row>
    <row r="2836" spans="2:27" x14ac:dyDescent="0.3">
      <c r="B2836" s="47"/>
      <c r="C2836" s="24"/>
      <c r="D2836" s="312"/>
      <c r="E2836" s="312"/>
      <c r="G2836" s="47"/>
      <c r="H2836" s="24"/>
      <c r="I2836" s="312"/>
      <c r="J2836" s="312"/>
      <c r="L2836" s="47"/>
      <c r="M2836" s="24"/>
      <c r="N2836" s="312"/>
      <c r="O2836" s="312"/>
      <c r="Q2836" s="47"/>
      <c r="R2836" s="136" t="s">
        <v>2168</v>
      </c>
      <c r="S2836" s="24" t="s">
        <v>2169</v>
      </c>
      <c r="T2836" s="155">
        <v>2952</v>
      </c>
      <c r="U2836" s="155">
        <v>0</v>
      </c>
      <c r="V2836" s="113"/>
      <c r="W2836" s="113"/>
      <c r="X2836" s="113"/>
      <c r="Y2836" s="113"/>
      <c r="AA2836" s="113"/>
    </row>
    <row r="2837" spans="2:27" x14ac:dyDescent="0.3">
      <c r="B2837" s="47"/>
      <c r="C2837" s="24"/>
      <c r="D2837" s="312"/>
      <c r="E2837" s="312"/>
      <c r="G2837" s="47"/>
      <c r="H2837" s="24"/>
      <c r="I2837" s="312"/>
      <c r="J2837" s="312"/>
      <c r="L2837" s="47"/>
      <c r="M2837" s="24"/>
      <c r="N2837" s="312"/>
      <c r="O2837" s="312"/>
      <c r="Q2837" s="47"/>
      <c r="R2837" s="136" t="s">
        <v>3313</v>
      </c>
      <c r="S2837" s="24" t="s">
        <v>2211</v>
      </c>
      <c r="T2837" s="155">
        <v>4437</v>
      </c>
      <c r="U2837" s="155">
        <v>0</v>
      </c>
      <c r="V2837" s="113"/>
      <c r="W2837" s="113"/>
      <c r="X2837" s="113"/>
      <c r="Y2837" s="113"/>
      <c r="AA2837" s="113"/>
    </row>
    <row r="2838" spans="2:27" x14ac:dyDescent="0.3">
      <c r="B2838" s="47"/>
      <c r="C2838" s="24"/>
      <c r="D2838" s="312"/>
      <c r="E2838" s="312"/>
      <c r="G2838" s="47"/>
      <c r="H2838" s="24"/>
      <c r="I2838" s="312"/>
      <c r="J2838" s="312"/>
      <c r="L2838" s="47"/>
      <c r="M2838" s="24"/>
      <c r="N2838" s="312"/>
      <c r="O2838" s="312"/>
      <c r="Q2838" s="47"/>
      <c r="R2838" s="136" t="s">
        <v>2212</v>
      </c>
      <c r="S2838" s="24" t="s">
        <v>2213</v>
      </c>
      <c r="T2838" s="155">
        <v>2952</v>
      </c>
      <c r="U2838" s="155">
        <v>0</v>
      </c>
      <c r="V2838" s="113"/>
      <c r="W2838" s="113"/>
      <c r="X2838" s="113"/>
      <c r="Y2838" s="113"/>
      <c r="AA2838" s="113"/>
    </row>
    <row r="2839" spans="2:27" x14ac:dyDescent="0.3">
      <c r="B2839" s="47"/>
      <c r="C2839" s="24"/>
      <c r="D2839" s="312"/>
      <c r="E2839" s="312"/>
      <c r="G2839" s="47"/>
      <c r="H2839" s="24"/>
      <c r="I2839" s="312"/>
      <c r="J2839" s="312"/>
      <c r="L2839" s="47"/>
      <c r="M2839" s="24"/>
      <c r="N2839" s="312"/>
      <c r="O2839" s="312"/>
      <c r="Q2839" s="47"/>
      <c r="R2839" s="136" t="s">
        <v>2214</v>
      </c>
      <c r="S2839" s="24" t="s">
        <v>2215</v>
      </c>
      <c r="T2839" s="155">
        <v>2952</v>
      </c>
      <c r="U2839" s="155">
        <v>0</v>
      </c>
      <c r="V2839" s="113"/>
      <c r="W2839" s="113"/>
      <c r="X2839" s="113"/>
      <c r="Y2839" s="113"/>
      <c r="AA2839" s="113"/>
    </row>
    <row r="2840" spans="2:27" x14ac:dyDescent="0.3">
      <c r="B2840" s="47"/>
      <c r="C2840" s="24"/>
      <c r="D2840" s="312"/>
      <c r="E2840" s="312"/>
      <c r="G2840" s="47"/>
      <c r="H2840" s="24"/>
      <c r="I2840" s="312"/>
      <c r="J2840" s="312"/>
      <c r="L2840" s="47"/>
      <c r="M2840" s="24"/>
      <c r="N2840" s="312"/>
      <c r="O2840" s="312"/>
      <c r="Q2840" s="47"/>
      <c r="R2840" s="136" t="s">
        <v>1985</v>
      </c>
      <c r="S2840" s="24" t="s">
        <v>2197</v>
      </c>
      <c r="T2840" s="155">
        <v>1076</v>
      </c>
      <c r="U2840" s="155">
        <v>0</v>
      </c>
      <c r="V2840" s="113"/>
      <c r="W2840" s="113"/>
      <c r="X2840" s="113"/>
      <c r="Y2840" s="113"/>
      <c r="AA2840" s="113"/>
    </row>
    <row r="2841" spans="2:27" x14ac:dyDescent="0.3">
      <c r="B2841" s="47"/>
      <c r="C2841" s="24"/>
      <c r="D2841" s="312"/>
      <c r="E2841" s="312"/>
      <c r="G2841" s="47"/>
      <c r="H2841" s="24"/>
      <c r="I2841" s="312"/>
      <c r="J2841" s="312"/>
      <c r="L2841" s="47"/>
      <c r="M2841" s="24"/>
      <c r="N2841" s="312"/>
      <c r="O2841" s="312"/>
      <c r="Q2841" s="47"/>
      <c r="R2841" s="136" t="s">
        <v>1895</v>
      </c>
      <c r="S2841" s="24" t="s">
        <v>2174</v>
      </c>
      <c r="T2841" s="155">
        <v>4437</v>
      </c>
      <c r="U2841" s="155">
        <v>0</v>
      </c>
      <c r="V2841" s="113"/>
      <c r="W2841" s="113"/>
      <c r="X2841" s="113"/>
      <c r="Y2841" s="113"/>
      <c r="AA2841" s="113"/>
    </row>
    <row r="2842" spans="2:27" x14ac:dyDescent="0.3">
      <c r="B2842" s="47"/>
      <c r="C2842" s="24"/>
      <c r="D2842" s="312"/>
      <c r="E2842" s="312"/>
      <c r="G2842" s="47"/>
      <c r="H2842" s="24"/>
      <c r="I2842" s="312"/>
      <c r="J2842" s="312"/>
      <c r="L2842" s="47"/>
      <c r="M2842" s="24"/>
      <c r="N2842" s="312"/>
      <c r="O2842" s="312"/>
      <c r="Q2842" s="47"/>
      <c r="R2842" s="136" t="s">
        <v>2177</v>
      </c>
      <c r="S2842" s="24" t="s">
        <v>2341</v>
      </c>
      <c r="T2842" s="155">
        <v>7389</v>
      </c>
      <c r="U2842" s="155">
        <v>0</v>
      </c>
      <c r="V2842" s="113"/>
      <c r="W2842" s="113"/>
      <c r="X2842" s="113"/>
      <c r="Y2842" s="113"/>
      <c r="AA2842" s="113"/>
    </row>
    <row r="2843" spans="2:27" x14ac:dyDescent="0.3">
      <c r="B2843" s="47"/>
      <c r="C2843" s="24"/>
      <c r="D2843" s="312"/>
      <c r="E2843" s="312"/>
      <c r="G2843" s="47"/>
      <c r="H2843" s="24"/>
      <c r="I2843" s="312"/>
      <c r="J2843" s="312"/>
      <c r="L2843" s="47"/>
      <c r="M2843" s="24"/>
      <c r="N2843" s="312"/>
      <c r="O2843" s="312"/>
      <c r="Q2843" s="47"/>
      <c r="R2843" s="136" t="s">
        <v>2183</v>
      </c>
      <c r="S2843" s="24" t="s">
        <v>2182</v>
      </c>
      <c r="T2843" s="155">
        <v>5913</v>
      </c>
      <c r="U2843" s="155">
        <v>0</v>
      </c>
      <c r="V2843" s="113"/>
      <c r="W2843" s="113"/>
      <c r="X2843" s="113"/>
      <c r="Y2843" s="113"/>
      <c r="AA2843" s="113"/>
    </row>
    <row r="2844" spans="2:27" x14ac:dyDescent="0.3">
      <c r="B2844" s="47"/>
      <c r="C2844" s="24"/>
      <c r="D2844" s="312"/>
      <c r="E2844" s="312"/>
      <c r="G2844" s="47"/>
      <c r="H2844" s="24"/>
      <c r="I2844" s="312"/>
      <c r="J2844" s="312"/>
      <c r="L2844" s="47"/>
      <c r="M2844" s="24"/>
      <c r="N2844" s="312"/>
      <c r="O2844" s="312"/>
      <c r="Q2844" s="47"/>
      <c r="R2844" s="136" t="s">
        <v>2185</v>
      </c>
      <c r="S2844" s="24" t="s">
        <v>2184</v>
      </c>
      <c r="T2844" s="155">
        <v>5175</v>
      </c>
      <c r="U2844" s="155">
        <v>0</v>
      </c>
      <c r="V2844" s="113"/>
      <c r="W2844" s="113"/>
      <c r="X2844" s="113"/>
      <c r="Y2844" s="113"/>
      <c r="AA2844" s="113"/>
    </row>
    <row r="2845" spans="2:27" x14ac:dyDescent="0.3">
      <c r="B2845" s="47"/>
      <c r="C2845" s="24"/>
      <c r="D2845" s="312"/>
      <c r="E2845" s="312"/>
      <c r="G2845" s="47"/>
      <c r="H2845" s="24"/>
      <c r="I2845" s="312"/>
      <c r="J2845" s="312"/>
      <c r="L2845" s="47"/>
      <c r="M2845" s="24"/>
      <c r="N2845" s="312"/>
      <c r="O2845" s="312"/>
      <c r="Q2845" s="47"/>
      <c r="R2845" s="136" t="s">
        <v>2187</v>
      </c>
      <c r="S2845" s="24" t="s">
        <v>2186</v>
      </c>
      <c r="T2845" s="155">
        <v>8865</v>
      </c>
      <c r="U2845" s="155">
        <v>0</v>
      </c>
      <c r="V2845" s="113"/>
      <c r="W2845" s="113"/>
      <c r="X2845" s="113"/>
      <c r="Y2845" s="113"/>
      <c r="AA2845" s="113"/>
    </row>
    <row r="2846" spans="2:27" x14ac:dyDescent="0.3">
      <c r="B2846" s="47"/>
      <c r="C2846" s="24"/>
      <c r="D2846" s="312"/>
      <c r="E2846" s="312"/>
      <c r="G2846" s="47"/>
      <c r="H2846" s="24"/>
      <c r="I2846" s="312"/>
      <c r="J2846" s="312"/>
      <c r="L2846" s="47"/>
      <c r="M2846" s="24"/>
      <c r="N2846" s="312"/>
      <c r="O2846" s="312"/>
      <c r="Q2846" s="47"/>
      <c r="R2846" s="136" t="s">
        <v>2342</v>
      </c>
      <c r="S2846" s="24" t="s">
        <v>2188</v>
      </c>
      <c r="T2846" s="155">
        <v>2952</v>
      </c>
      <c r="U2846" s="155">
        <v>0</v>
      </c>
      <c r="V2846" s="113"/>
      <c r="W2846" s="113"/>
      <c r="X2846" s="113"/>
      <c r="Y2846" s="113"/>
      <c r="AA2846" s="113"/>
    </row>
    <row r="2847" spans="2:27" x14ac:dyDescent="0.3">
      <c r="B2847" s="47"/>
      <c r="C2847" s="24"/>
      <c r="D2847" s="312"/>
      <c r="E2847" s="312"/>
      <c r="G2847" s="47"/>
      <c r="H2847" s="24"/>
      <c r="I2847" s="312"/>
      <c r="J2847" s="312"/>
      <c r="L2847" s="47"/>
      <c r="M2847" s="24"/>
      <c r="N2847" s="312"/>
      <c r="O2847" s="312"/>
      <c r="Q2847" s="47"/>
      <c r="R2847" s="136" t="s">
        <v>2190</v>
      </c>
      <c r="S2847" s="24" t="s">
        <v>2189</v>
      </c>
      <c r="T2847" s="155">
        <v>2952</v>
      </c>
      <c r="U2847" s="155">
        <v>0</v>
      </c>
      <c r="V2847" s="113"/>
      <c r="W2847" s="113"/>
      <c r="X2847" s="113"/>
      <c r="Y2847" s="113"/>
      <c r="AA2847" s="113"/>
    </row>
    <row r="2848" spans="2:27" x14ac:dyDescent="0.3">
      <c r="B2848" s="47"/>
      <c r="C2848" s="24"/>
      <c r="D2848" s="312"/>
      <c r="E2848" s="312"/>
      <c r="G2848" s="47"/>
      <c r="H2848" s="24"/>
      <c r="I2848" s="312"/>
      <c r="J2848" s="312"/>
      <c r="L2848" s="47"/>
      <c r="M2848" s="24"/>
      <c r="N2848" s="312"/>
      <c r="O2848" s="312"/>
      <c r="Q2848" s="47"/>
      <c r="R2848" s="136" t="s">
        <v>2192</v>
      </c>
      <c r="S2848" s="24" t="s">
        <v>2191</v>
      </c>
      <c r="T2848" s="155">
        <v>2952</v>
      </c>
      <c r="U2848" s="155">
        <v>0</v>
      </c>
      <c r="V2848" s="113"/>
      <c r="W2848" s="113"/>
      <c r="X2848" s="113"/>
      <c r="Y2848" s="113"/>
      <c r="AA2848" s="113"/>
    </row>
    <row r="2849" spans="2:27" x14ac:dyDescent="0.3">
      <c r="B2849" s="47"/>
      <c r="C2849" s="24"/>
      <c r="D2849" s="312"/>
      <c r="E2849" s="312"/>
      <c r="G2849" s="47"/>
      <c r="H2849" s="24"/>
      <c r="I2849" s="312"/>
      <c r="J2849" s="312"/>
      <c r="L2849" s="47"/>
      <c r="M2849" s="24"/>
      <c r="N2849" s="312"/>
      <c r="O2849" s="312"/>
      <c r="Q2849" s="47"/>
      <c r="R2849" s="136" t="s">
        <v>1896</v>
      </c>
      <c r="S2849" s="24" t="s">
        <v>2193</v>
      </c>
      <c r="T2849" s="155">
        <v>2952</v>
      </c>
      <c r="U2849" s="155">
        <v>0</v>
      </c>
      <c r="V2849" s="113"/>
      <c r="W2849" s="113"/>
      <c r="X2849" s="113"/>
      <c r="Y2849" s="113"/>
      <c r="AA2849" s="113"/>
    </row>
    <row r="2850" spans="2:27" x14ac:dyDescent="0.3">
      <c r="B2850" s="47"/>
      <c r="C2850" s="24"/>
      <c r="D2850" s="312"/>
      <c r="E2850" s="312"/>
      <c r="G2850" s="47"/>
      <c r="H2850" s="24"/>
      <c r="I2850" s="312"/>
      <c r="J2850" s="312"/>
      <c r="L2850" s="47"/>
      <c r="M2850" s="24"/>
      <c r="N2850" s="312"/>
      <c r="O2850" s="312"/>
      <c r="Q2850" s="47"/>
      <c r="R2850" s="136" t="s">
        <v>3291</v>
      </c>
      <c r="S2850" s="24" t="s">
        <v>2171</v>
      </c>
      <c r="T2850" s="155">
        <v>5913</v>
      </c>
      <c r="U2850" s="155">
        <v>0</v>
      </c>
      <c r="V2850" s="113"/>
      <c r="W2850" s="113"/>
      <c r="X2850" s="113"/>
      <c r="Y2850" s="113"/>
      <c r="AA2850" s="113"/>
    </row>
    <row r="2851" spans="2:27" x14ac:dyDescent="0.3">
      <c r="B2851" s="47"/>
      <c r="C2851" s="24"/>
      <c r="D2851" s="312"/>
      <c r="E2851" s="312"/>
      <c r="G2851" s="47"/>
      <c r="H2851" s="24"/>
      <c r="I2851" s="312"/>
      <c r="J2851" s="312"/>
      <c r="L2851" s="47"/>
      <c r="M2851" s="24"/>
      <c r="N2851" s="312"/>
      <c r="O2851" s="312"/>
      <c r="Q2851" s="47"/>
      <c r="R2851" s="136" t="s">
        <v>1898</v>
      </c>
      <c r="S2851" s="24" t="s">
        <v>2218</v>
      </c>
      <c r="T2851" s="155">
        <v>5913</v>
      </c>
      <c r="U2851" s="155">
        <v>0</v>
      </c>
      <c r="V2851" s="113"/>
      <c r="W2851" s="113"/>
      <c r="X2851" s="113"/>
      <c r="Y2851" s="113"/>
      <c r="AA2851" s="113"/>
    </row>
    <row r="2852" spans="2:27" x14ac:dyDescent="0.3">
      <c r="B2852" s="47"/>
      <c r="C2852" s="24"/>
      <c r="D2852" s="312"/>
      <c r="E2852" s="312"/>
      <c r="G2852" s="47"/>
      <c r="H2852" s="24"/>
      <c r="I2852" s="312"/>
      <c r="J2852" s="312"/>
      <c r="L2852" s="47"/>
      <c r="M2852" s="24"/>
      <c r="N2852" s="312"/>
      <c r="O2852" s="312"/>
      <c r="Q2852" s="47"/>
      <c r="R2852" s="136" t="s">
        <v>2219</v>
      </c>
      <c r="S2852" s="24" t="s">
        <v>2220</v>
      </c>
      <c r="T2852" s="155">
        <v>4437</v>
      </c>
      <c r="U2852" s="155">
        <v>0</v>
      </c>
      <c r="V2852" s="113"/>
      <c r="W2852" s="113"/>
      <c r="X2852" s="113"/>
      <c r="Y2852" s="113"/>
      <c r="AA2852" s="113"/>
    </row>
    <row r="2853" spans="2:27" x14ac:dyDescent="0.3">
      <c r="B2853" s="47"/>
      <c r="C2853" s="24"/>
      <c r="D2853" s="312"/>
      <c r="E2853" s="312"/>
      <c r="G2853" s="47"/>
      <c r="H2853" s="24"/>
      <c r="I2853" s="312"/>
      <c r="J2853" s="312"/>
      <c r="L2853" s="47"/>
      <c r="M2853" s="24"/>
      <c r="N2853" s="312"/>
      <c r="O2853" s="312"/>
      <c r="Q2853" s="47"/>
      <c r="R2853" s="136" t="s">
        <v>2221</v>
      </c>
      <c r="S2853" s="24" t="s">
        <v>2222</v>
      </c>
      <c r="T2853" s="155">
        <v>5913</v>
      </c>
      <c r="U2853" s="155">
        <v>0</v>
      </c>
      <c r="V2853" s="113"/>
      <c r="W2853" s="113"/>
      <c r="X2853" s="113"/>
      <c r="Y2853" s="113"/>
      <c r="AA2853" s="113"/>
    </row>
    <row r="2854" spans="2:27" x14ac:dyDescent="0.3">
      <c r="B2854" s="47"/>
      <c r="C2854" s="24"/>
      <c r="D2854" s="312"/>
      <c r="E2854" s="312"/>
      <c r="G2854" s="47"/>
      <c r="H2854" s="24"/>
      <c r="I2854" s="312"/>
      <c r="J2854" s="312"/>
      <c r="L2854" s="47"/>
      <c r="M2854" s="24"/>
      <c r="N2854" s="312"/>
      <c r="O2854" s="312"/>
      <c r="Q2854" s="47"/>
      <c r="R2854" s="136" t="s">
        <v>2223</v>
      </c>
      <c r="S2854" s="24" t="s">
        <v>2224</v>
      </c>
      <c r="T2854" s="155">
        <v>4437</v>
      </c>
      <c r="U2854" s="155">
        <v>0</v>
      </c>
      <c r="V2854" s="113"/>
      <c r="W2854" s="113"/>
      <c r="X2854" s="113"/>
      <c r="Y2854" s="113"/>
      <c r="AA2854" s="113"/>
    </row>
    <row r="2855" spans="2:27" x14ac:dyDescent="0.3">
      <c r="B2855" s="47"/>
      <c r="C2855" s="24"/>
      <c r="D2855" s="312"/>
      <c r="E2855" s="312"/>
      <c r="G2855" s="47"/>
      <c r="H2855" s="24"/>
      <c r="I2855" s="312"/>
      <c r="J2855" s="312"/>
      <c r="L2855" s="47"/>
      <c r="M2855" s="24"/>
      <c r="N2855" s="312"/>
      <c r="O2855" s="312"/>
      <c r="Q2855" s="47"/>
      <c r="R2855" s="136" t="s">
        <v>2226</v>
      </c>
      <c r="S2855" s="24" t="s">
        <v>2227</v>
      </c>
      <c r="T2855" s="155">
        <v>4437</v>
      </c>
      <c r="U2855" s="155">
        <v>0</v>
      </c>
      <c r="V2855" s="113"/>
      <c r="W2855" s="113"/>
      <c r="X2855" s="113"/>
      <c r="Y2855" s="113"/>
      <c r="AA2855" s="113"/>
    </row>
    <row r="2856" spans="2:27" x14ac:dyDescent="0.3">
      <c r="B2856" s="47"/>
      <c r="C2856" s="24"/>
      <c r="D2856" s="312"/>
      <c r="E2856" s="312"/>
      <c r="G2856" s="47"/>
      <c r="H2856" s="24"/>
      <c r="I2856" s="312"/>
      <c r="J2856" s="312"/>
      <c r="L2856" s="47"/>
      <c r="M2856" s="24"/>
      <c r="N2856" s="312"/>
      <c r="O2856" s="312"/>
      <c r="Q2856" s="47"/>
      <c r="R2856" s="136" t="s">
        <v>2228</v>
      </c>
      <c r="S2856" s="24" t="s">
        <v>1990</v>
      </c>
      <c r="T2856" s="155">
        <v>2952</v>
      </c>
      <c r="U2856" s="155">
        <v>0</v>
      </c>
      <c r="V2856" s="113"/>
      <c r="W2856" s="113"/>
      <c r="X2856" s="113"/>
      <c r="Y2856" s="113"/>
      <c r="AA2856" s="113"/>
    </row>
    <row r="2857" spans="2:27" x14ac:dyDescent="0.3">
      <c r="B2857" s="47"/>
      <c r="C2857" s="24"/>
      <c r="D2857" s="312"/>
      <c r="E2857" s="312"/>
      <c r="G2857" s="47"/>
      <c r="H2857" s="24"/>
      <c r="I2857" s="312"/>
      <c r="J2857" s="312"/>
      <c r="L2857" s="47"/>
      <c r="M2857" s="24"/>
      <c r="N2857" s="312"/>
      <c r="O2857" s="312"/>
      <c r="Q2857" s="47"/>
      <c r="R2857" s="136" t="s">
        <v>2229</v>
      </c>
      <c r="S2857" s="24" t="s">
        <v>1987</v>
      </c>
      <c r="T2857" s="155">
        <v>2952</v>
      </c>
      <c r="U2857" s="155">
        <v>0</v>
      </c>
      <c r="V2857" s="113"/>
      <c r="W2857" s="113"/>
      <c r="X2857" s="113"/>
      <c r="Y2857" s="113"/>
      <c r="AA2857" s="113"/>
    </row>
    <row r="2858" spans="2:27" x14ac:dyDescent="0.3">
      <c r="B2858" s="47"/>
      <c r="C2858" s="24"/>
      <c r="D2858" s="312"/>
      <c r="E2858" s="312"/>
      <c r="G2858" s="47"/>
      <c r="H2858" s="24"/>
      <c r="I2858" s="312"/>
      <c r="J2858" s="312"/>
      <c r="L2858" s="47"/>
      <c r="M2858" s="24"/>
      <c r="N2858" s="312"/>
      <c r="O2858" s="312"/>
      <c r="Q2858" s="47"/>
      <c r="R2858" s="136" t="s">
        <v>2230</v>
      </c>
      <c r="S2858" s="24" t="s">
        <v>2231</v>
      </c>
      <c r="T2858" s="155">
        <v>2214</v>
      </c>
      <c r="U2858" s="155">
        <v>0</v>
      </c>
      <c r="V2858" s="113"/>
      <c r="W2858" s="113"/>
      <c r="X2858" s="113"/>
      <c r="Y2858" s="113"/>
      <c r="AA2858" s="113"/>
    </row>
    <row r="2859" spans="2:27" x14ac:dyDescent="0.3">
      <c r="B2859" s="47"/>
      <c r="C2859" s="24"/>
      <c r="D2859" s="312"/>
      <c r="E2859" s="312"/>
      <c r="G2859" s="47"/>
      <c r="H2859" s="24"/>
      <c r="I2859" s="312"/>
      <c r="J2859" s="312"/>
      <c r="L2859" s="47"/>
      <c r="M2859" s="24"/>
      <c r="N2859" s="312"/>
      <c r="O2859" s="312"/>
      <c r="Q2859" s="47"/>
      <c r="R2859" s="136" t="s">
        <v>2232</v>
      </c>
      <c r="S2859" s="24" t="s">
        <v>1988</v>
      </c>
      <c r="T2859" s="155">
        <v>2952</v>
      </c>
      <c r="U2859" s="155">
        <v>0</v>
      </c>
      <c r="V2859" s="113"/>
      <c r="W2859" s="113"/>
      <c r="X2859" s="113"/>
      <c r="Y2859" s="113"/>
      <c r="AA2859" s="113"/>
    </row>
    <row r="2860" spans="2:27" x14ac:dyDescent="0.3">
      <c r="B2860" s="47"/>
      <c r="C2860" s="24"/>
      <c r="D2860" s="312"/>
      <c r="E2860" s="312"/>
      <c r="G2860" s="47"/>
      <c r="H2860" s="24"/>
      <c r="I2860" s="312"/>
      <c r="J2860" s="312"/>
      <c r="L2860" s="47"/>
      <c r="M2860" s="24"/>
      <c r="N2860" s="312"/>
      <c r="O2860" s="312"/>
      <c r="Q2860" s="47"/>
      <c r="R2860" s="136" t="s">
        <v>2233</v>
      </c>
      <c r="S2860" s="24" t="s">
        <v>1989</v>
      </c>
      <c r="T2860" s="155">
        <v>2952</v>
      </c>
      <c r="U2860" s="155">
        <v>0</v>
      </c>
      <c r="V2860" s="113"/>
      <c r="W2860" s="113"/>
      <c r="X2860" s="113"/>
      <c r="Y2860" s="113"/>
      <c r="AA2860" s="113"/>
    </row>
    <row r="2861" spans="2:27" x14ac:dyDescent="0.3">
      <c r="B2861" s="47"/>
      <c r="C2861" s="24"/>
      <c r="D2861" s="312"/>
      <c r="E2861" s="312"/>
      <c r="G2861" s="47"/>
      <c r="H2861" s="24"/>
      <c r="I2861" s="312"/>
      <c r="J2861" s="312"/>
      <c r="L2861" s="47"/>
      <c r="M2861" s="24"/>
      <c r="N2861" s="312"/>
      <c r="O2861" s="312"/>
      <c r="Q2861" s="47"/>
      <c r="R2861" s="136" t="s">
        <v>2234</v>
      </c>
      <c r="S2861" s="24" t="s">
        <v>2235</v>
      </c>
      <c r="T2861" s="155">
        <v>2952</v>
      </c>
      <c r="U2861" s="155">
        <v>0</v>
      </c>
      <c r="V2861" s="113"/>
      <c r="W2861" s="113"/>
      <c r="X2861" s="113"/>
      <c r="Y2861" s="113"/>
      <c r="AA2861" s="113"/>
    </row>
    <row r="2862" spans="2:27" x14ac:dyDescent="0.3">
      <c r="B2862" s="47"/>
      <c r="C2862" s="24"/>
      <c r="D2862" s="312"/>
      <c r="E2862" s="312"/>
      <c r="G2862" s="47"/>
      <c r="H2862" s="24"/>
      <c r="I2862" s="312"/>
      <c r="J2862" s="312"/>
      <c r="L2862" s="47"/>
      <c r="M2862" s="24"/>
      <c r="N2862" s="312"/>
      <c r="O2862" s="312"/>
      <c r="Q2862" s="241">
        <v>80120003</v>
      </c>
      <c r="R2862" s="242"/>
      <c r="S2862" s="243" t="s">
        <v>1127</v>
      </c>
      <c r="T2862" s="240">
        <v>0</v>
      </c>
      <c r="U2862" s="240">
        <v>0</v>
      </c>
      <c r="V2862" s="113"/>
      <c r="W2862" s="113"/>
      <c r="X2862" s="113"/>
      <c r="Y2862" s="113"/>
      <c r="AA2862" s="113"/>
    </row>
    <row r="2863" spans="2:27" x14ac:dyDescent="0.3">
      <c r="B2863" s="47"/>
      <c r="C2863" s="24"/>
      <c r="D2863" s="312"/>
      <c r="E2863" s="312"/>
      <c r="G2863" s="47"/>
      <c r="H2863" s="24"/>
      <c r="I2863" s="312"/>
      <c r="J2863" s="312"/>
      <c r="L2863" s="47"/>
      <c r="M2863" s="24"/>
      <c r="N2863" s="312"/>
      <c r="O2863" s="312"/>
      <c r="Q2863" s="241">
        <v>80120004</v>
      </c>
      <c r="R2863" s="242"/>
      <c r="S2863" s="243" t="s">
        <v>1128</v>
      </c>
      <c r="T2863" s="240">
        <v>0</v>
      </c>
      <c r="U2863" s="240">
        <v>0</v>
      </c>
      <c r="V2863" s="113"/>
      <c r="W2863" s="113"/>
      <c r="X2863" s="113"/>
      <c r="Y2863" s="113"/>
      <c r="AA2863" s="113"/>
    </row>
    <row r="2864" spans="2:27" x14ac:dyDescent="0.3">
      <c r="B2864" s="47"/>
      <c r="C2864" s="24"/>
      <c r="D2864" s="312"/>
      <c r="E2864" s="312"/>
      <c r="G2864" s="47"/>
      <c r="H2864" s="24"/>
      <c r="I2864" s="312"/>
      <c r="J2864" s="312"/>
      <c r="L2864" s="47"/>
      <c r="M2864" s="24"/>
      <c r="N2864" s="312"/>
      <c r="O2864" s="312"/>
      <c r="Q2864" s="241">
        <v>80120005</v>
      </c>
      <c r="R2864" s="242"/>
      <c r="S2864" s="243" t="s">
        <v>1129</v>
      </c>
      <c r="T2864" s="239">
        <f>SUM(T2865:T2903)-SUM(U2865:U2903)</f>
        <v>318138</v>
      </c>
      <c r="U2864" s="240">
        <v>0</v>
      </c>
      <c r="V2864" s="113"/>
      <c r="W2864" s="113"/>
      <c r="X2864" s="113"/>
      <c r="Y2864" s="113"/>
      <c r="AA2864" s="113"/>
    </row>
    <row r="2865" spans="2:27" x14ac:dyDescent="0.3">
      <c r="B2865" s="47"/>
      <c r="C2865" s="24"/>
      <c r="D2865" s="312"/>
      <c r="E2865" s="312"/>
      <c r="G2865" s="47"/>
      <c r="H2865" s="24"/>
      <c r="I2865" s="312"/>
      <c r="J2865" s="312"/>
      <c r="L2865" s="47"/>
      <c r="M2865" s="24"/>
      <c r="N2865" s="312"/>
      <c r="O2865" s="312"/>
      <c r="Q2865" s="47"/>
      <c r="R2865" s="136" t="s">
        <v>1931</v>
      </c>
      <c r="S2865" s="24" t="s">
        <v>1932</v>
      </c>
      <c r="T2865" s="155">
        <v>9068</v>
      </c>
      <c r="U2865" s="155">
        <v>0</v>
      </c>
      <c r="V2865" s="113"/>
      <c r="W2865" s="113"/>
      <c r="X2865" s="113"/>
      <c r="Y2865" s="113"/>
      <c r="AA2865" s="113"/>
    </row>
    <row r="2866" spans="2:27" x14ac:dyDescent="0.3">
      <c r="B2866" s="47"/>
      <c r="C2866" s="24"/>
      <c r="D2866" s="312"/>
      <c r="E2866" s="312"/>
      <c r="G2866" s="47"/>
      <c r="H2866" s="24"/>
      <c r="I2866" s="312"/>
      <c r="J2866" s="312"/>
      <c r="L2866" s="47"/>
      <c r="M2866" s="24"/>
      <c r="N2866" s="312"/>
      <c r="O2866" s="312"/>
      <c r="Q2866" s="47"/>
      <c r="R2866" s="136" t="s">
        <v>2154</v>
      </c>
      <c r="S2866" s="24" t="s">
        <v>2155</v>
      </c>
      <c r="T2866" s="155">
        <v>926</v>
      </c>
      <c r="U2866" s="155">
        <v>0</v>
      </c>
      <c r="V2866" s="113"/>
      <c r="W2866" s="113"/>
      <c r="X2866" s="113"/>
      <c r="Y2866" s="113"/>
      <c r="AA2866" s="113"/>
    </row>
    <row r="2867" spans="2:27" x14ac:dyDescent="0.3">
      <c r="B2867" s="47"/>
      <c r="C2867" s="24"/>
      <c r="D2867" s="312"/>
      <c r="E2867" s="312"/>
      <c r="G2867" s="47"/>
      <c r="H2867" s="24"/>
      <c r="I2867" s="312"/>
      <c r="J2867" s="312"/>
      <c r="L2867" s="47"/>
      <c r="M2867" s="24"/>
      <c r="N2867" s="312"/>
      <c r="O2867" s="312"/>
      <c r="Q2867" s="47"/>
      <c r="R2867" s="136" t="s">
        <v>2156</v>
      </c>
      <c r="S2867" s="24" t="s">
        <v>2157</v>
      </c>
      <c r="T2867" s="155">
        <v>14152</v>
      </c>
      <c r="U2867" s="155">
        <v>0</v>
      </c>
      <c r="V2867" s="113"/>
      <c r="W2867" s="113"/>
      <c r="X2867" s="113"/>
      <c r="Y2867" s="113"/>
      <c r="AA2867" s="113"/>
    </row>
    <row r="2868" spans="2:27" x14ac:dyDescent="0.3">
      <c r="B2868" s="47"/>
      <c r="C2868" s="24"/>
      <c r="D2868" s="312"/>
      <c r="E2868" s="312"/>
      <c r="G2868" s="47"/>
      <c r="H2868" s="24"/>
      <c r="I2868" s="312"/>
      <c r="J2868" s="312"/>
      <c r="L2868" s="47"/>
      <c r="M2868" s="24"/>
      <c r="N2868" s="312"/>
      <c r="O2868" s="312"/>
      <c r="Q2868" s="47"/>
      <c r="R2868" s="136" t="s">
        <v>2199</v>
      </c>
      <c r="S2868" s="24" t="s">
        <v>2200</v>
      </c>
      <c r="T2868" s="155">
        <v>4830</v>
      </c>
      <c r="U2868" s="155">
        <v>0</v>
      </c>
      <c r="V2868" s="113"/>
      <c r="W2868" s="113"/>
      <c r="X2868" s="113"/>
      <c r="Y2868" s="113"/>
      <c r="AA2868" s="113"/>
    </row>
    <row r="2869" spans="2:27" x14ac:dyDescent="0.3">
      <c r="B2869" s="47"/>
      <c r="C2869" s="24"/>
      <c r="D2869" s="312"/>
      <c r="E2869" s="312"/>
      <c r="G2869" s="47"/>
      <c r="H2869" s="24"/>
      <c r="I2869" s="312"/>
      <c r="J2869" s="312"/>
      <c r="L2869" s="47"/>
      <c r="M2869" s="24"/>
      <c r="N2869" s="312"/>
      <c r="O2869" s="312"/>
      <c r="Q2869" s="47"/>
      <c r="R2869" s="136" t="s">
        <v>2201</v>
      </c>
      <c r="S2869" s="24" t="s">
        <v>2202</v>
      </c>
      <c r="T2869" s="155">
        <v>39733</v>
      </c>
      <c r="U2869" s="155">
        <v>0</v>
      </c>
      <c r="V2869" s="113"/>
      <c r="W2869" s="113"/>
      <c r="X2869" s="113"/>
      <c r="Y2869" s="113"/>
      <c r="AA2869" s="113"/>
    </row>
    <row r="2870" spans="2:27" x14ac:dyDescent="0.3">
      <c r="B2870" s="47"/>
      <c r="C2870" s="24"/>
      <c r="D2870" s="312"/>
      <c r="E2870" s="312"/>
      <c r="G2870" s="47"/>
      <c r="H2870" s="24"/>
      <c r="I2870" s="312"/>
      <c r="J2870" s="312"/>
      <c r="L2870" s="47"/>
      <c r="M2870" s="24"/>
      <c r="N2870" s="312"/>
      <c r="O2870" s="312"/>
      <c r="Q2870" s="47"/>
      <c r="R2870" s="136" t="s">
        <v>2203</v>
      </c>
      <c r="S2870" s="24" t="s">
        <v>2204</v>
      </c>
      <c r="T2870" s="155">
        <v>4077</v>
      </c>
      <c r="U2870" s="155">
        <v>0</v>
      </c>
      <c r="V2870" s="113"/>
      <c r="W2870" s="113"/>
      <c r="X2870" s="113"/>
      <c r="Y2870" s="113"/>
      <c r="AA2870" s="113"/>
    </row>
    <row r="2871" spans="2:27" x14ac:dyDescent="0.3">
      <c r="B2871" s="47"/>
      <c r="C2871" s="24"/>
      <c r="D2871" s="312"/>
      <c r="E2871" s="312"/>
      <c r="G2871" s="47"/>
      <c r="H2871" s="24"/>
      <c r="I2871" s="312"/>
      <c r="J2871" s="312"/>
      <c r="L2871" s="47"/>
      <c r="M2871" s="24"/>
      <c r="N2871" s="312"/>
      <c r="O2871" s="312"/>
      <c r="Q2871" s="47"/>
      <c r="R2871" s="136" t="s">
        <v>2205</v>
      </c>
      <c r="S2871" s="24" t="s">
        <v>2206</v>
      </c>
      <c r="T2871" s="155">
        <v>3528</v>
      </c>
      <c r="U2871" s="155">
        <v>0</v>
      </c>
      <c r="V2871" s="113"/>
      <c r="W2871" s="113"/>
      <c r="X2871" s="113"/>
      <c r="Y2871" s="113"/>
      <c r="AA2871" s="113"/>
    </row>
    <row r="2872" spans="2:27" x14ac:dyDescent="0.3">
      <c r="B2872" s="47"/>
      <c r="C2872" s="24"/>
      <c r="D2872" s="312"/>
      <c r="E2872" s="312"/>
      <c r="G2872" s="47"/>
      <c r="H2872" s="24"/>
      <c r="I2872" s="312"/>
      <c r="J2872" s="312"/>
      <c r="L2872" s="47"/>
      <c r="M2872" s="24"/>
      <c r="N2872" s="312"/>
      <c r="O2872" s="312"/>
      <c r="Q2872" s="47"/>
      <c r="R2872" s="136" t="s">
        <v>2207</v>
      </c>
      <c r="S2872" s="24" t="s">
        <v>2208</v>
      </c>
      <c r="T2872" s="155">
        <v>3770</v>
      </c>
      <c r="U2872" s="155">
        <v>0</v>
      </c>
      <c r="V2872" s="113"/>
      <c r="W2872" s="113"/>
      <c r="X2872" s="113"/>
      <c r="Y2872" s="113"/>
      <c r="AA2872" s="113"/>
    </row>
    <row r="2873" spans="2:27" x14ac:dyDescent="0.3">
      <c r="B2873" s="47"/>
      <c r="C2873" s="24"/>
      <c r="D2873" s="312"/>
      <c r="E2873" s="312"/>
      <c r="G2873" s="47"/>
      <c r="H2873" s="24"/>
      <c r="I2873" s="312"/>
      <c r="J2873" s="312"/>
      <c r="L2873" s="47"/>
      <c r="M2873" s="24"/>
      <c r="N2873" s="312"/>
      <c r="O2873" s="312"/>
      <c r="Q2873" s="47"/>
      <c r="R2873" s="136" t="s">
        <v>2209</v>
      </c>
      <c r="S2873" s="24" t="s">
        <v>2210</v>
      </c>
      <c r="T2873" s="155">
        <v>31257</v>
      </c>
      <c r="U2873" s="155">
        <v>0</v>
      </c>
      <c r="V2873" s="113"/>
      <c r="W2873" s="113"/>
      <c r="X2873" s="113"/>
      <c r="Y2873" s="113"/>
      <c r="AA2873" s="113"/>
    </row>
    <row r="2874" spans="2:27" x14ac:dyDescent="0.3">
      <c r="B2874" s="47"/>
      <c r="C2874" s="24"/>
      <c r="D2874" s="312"/>
      <c r="E2874" s="312"/>
      <c r="G2874" s="47"/>
      <c r="H2874" s="24"/>
      <c r="I2874" s="312"/>
      <c r="J2874" s="312"/>
      <c r="L2874" s="47"/>
      <c r="M2874" s="24"/>
      <c r="N2874" s="312"/>
      <c r="O2874" s="312"/>
      <c r="Q2874" s="47"/>
      <c r="R2874" s="136" t="s">
        <v>2340</v>
      </c>
      <c r="S2874" s="24" t="s">
        <v>2159</v>
      </c>
      <c r="T2874" s="155">
        <v>20639</v>
      </c>
      <c r="U2874" s="155">
        <v>0</v>
      </c>
      <c r="V2874" s="113"/>
      <c r="W2874" s="113"/>
      <c r="X2874" s="113"/>
      <c r="Y2874" s="113"/>
      <c r="AA2874" s="113"/>
    </row>
    <row r="2875" spans="2:27" x14ac:dyDescent="0.3">
      <c r="B2875" s="47"/>
      <c r="C2875" s="24"/>
      <c r="D2875" s="312"/>
      <c r="E2875" s="312"/>
      <c r="G2875" s="47"/>
      <c r="H2875" s="24"/>
      <c r="I2875" s="312"/>
      <c r="J2875" s="312"/>
      <c r="L2875" s="47"/>
      <c r="M2875" s="24"/>
      <c r="N2875" s="312"/>
      <c r="O2875" s="312"/>
      <c r="Q2875" s="47"/>
      <c r="R2875" s="136" t="s">
        <v>2160</v>
      </c>
      <c r="S2875" s="24" t="s">
        <v>2161</v>
      </c>
      <c r="T2875" s="155">
        <v>6938</v>
      </c>
      <c r="U2875" s="155">
        <v>0</v>
      </c>
      <c r="V2875" s="113"/>
      <c r="W2875" s="113"/>
      <c r="X2875" s="113"/>
      <c r="Y2875" s="113"/>
      <c r="AA2875" s="113"/>
    </row>
    <row r="2876" spans="2:27" x14ac:dyDescent="0.3">
      <c r="B2876" s="47"/>
      <c r="C2876" s="24"/>
      <c r="D2876" s="312"/>
      <c r="E2876" s="312"/>
      <c r="G2876" s="47"/>
      <c r="H2876" s="24"/>
      <c r="I2876" s="312"/>
      <c r="J2876" s="312"/>
      <c r="L2876" s="47"/>
      <c r="M2876" s="24"/>
      <c r="N2876" s="312"/>
      <c r="O2876" s="312"/>
      <c r="Q2876" s="47"/>
      <c r="R2876" s="136" t="s">
        <v>2162</v>
      </c>
      <c r="S2876" s="24" t="s">
        <v>2163</v>
      </c>
      <c r="T2876" s="155">
        <v>5138</v>
      </c>
      <c r="U2876" s="155">
        <v>0</v>
      </c>
      <c r="V2876" s="113"/>
      <c r="W2876" s="113"/>
      <c r="X2876" s="113"/>
      <c r="Y2876" s="113"/>
      <c r="AA2876" s="113"/>
    </row>
    <row r="2877" spans="2:27" x14ac:dyDescent="0.3">
      <c r="B2877" s="47"/>
      <c r="C2877" s="24"/>
      <c r="D2877" s="312"/>
      <c r="E2877" s="312"/>
      <c r="G2877" s="47"/>
      <c r="H2877" s="24"/>
      <c r="I2877" s="312"/>
      <c r="J2877" s="312"/>
      <c r="L2877" s="47"/>
      <c r="M2877" s="24"/>
      <c r="N2877" s="312"/>
      <c r="O2877" s="312"/>
      <c r="Q2877" s="47"/>
      <c r="R2877" s="136" t="s">
        <v>2165</v>
      </c>
      <c r="S2877" s="24" t="s">
        <v>2166</v>
      </c>
      <c r="T2877" s="155">
        <v>5681</v>
      </c>
      <c r="U2877" s="155">
        <v>0</v>
      </c>
      <c r="V2877" s="113"/>
      <c r="W2877" s="113"/>
      <c r="X2877" s="113"/>
      <c r="Y2877" s="113"/>
      <c r="AA2877" s="113"/>
    </row>
    <row r="2878" spans="2:27" x14ac:dyDescent="0.3">
      <c r="B2878" s="47"/>
      <c r="C2878" s="24"/>
      <c r="D2878" s="312"/>
      <c r="E2878" s="312"/>
      <c r="G2878" s="47"/>
      <c r="H2878" s="24"/>
      <c r="I2878" s="312"/>
      <c r="J2878" s="312"/>
      <c r="L2878" s="47"/>
      <c r="M2878" s="24"/>
      <c r="N2878" s="312"/>
      <c r="O2878" s="312"/>
      <c r="Q2878" s="47"/>
      <c r="R2878" s="136" t="s">
        <v>2168</v>
      </c>
      <c r="S2878" s="24" t="s">
        <v>2169</v>
      </c>
      <c r="T2878" s="155">
        <v>721</v>
      </c>
      <c r="U2878" s="155">
        <v>0</v>
      </c>
      <c r="V2878" s="113"/>
      <c r="W2878" s="113"/>
      <c r="X2878" s="113"/>
      <c r="Y2878" s="113"/>
      <c r="AA2878" s="113"/>
    </row>
    <row r="2879" spans="2:27" x14ac:dyDescent="0.3">
      <c r="B2879" s="47"/>
      <c r="C2879" s="24"/>
      <c r="D2879" s="312"/>
      <c r="E2879" s="312"/>
      <c r="G2879" s="47"/>
      <c r="H2879" s="24"/>
      <c r="I2879" s="312"/>
      <c r="J2879" s="312"/>
      <c r="L2879" s="47"/>
      <c r="M2879" s="24"/>
      <c r="N2879" s="312"/>
      <c r="O2879" s="312"/>
      <c r="Q2879" s="47"/>
      <c r="R2879" s="136" t="s">
        <v>3313</v>
      </c>
      <c r="S2879" s="24" t="s">
        <v>2211</v>
      </c>
      <c r="T2879" s="155">
        <v>11957</v>
      </c>
      <c r="U2879" s="155">
        <v>0</v>
      </c>
      <c r="V2879" s="113"/>
      <c r="W2879" s="113"/>
      <c r="X2879" s="113"/>
      <c r="Y2879" s="113"/>
      <c r="AA2879" s="113"/>
    </row>
    <row r="2880" spans="2:27" x14ac:dyDescent="0.3">
      <c r="B2880" s="47"/>
      <c r="C2880" s="24"/>
      <c r="D2880" s="312"/>
      <c r="E2880" s="312"/>
      <c r="G2880" s="47"/>
      <c r="H2880" s="24"/>
      <c r="I2880" s="312"/>
      <c r="J2880" s="312"/>
      <c r="L2880" s="47"/>
      <c r="M2880" s="24"/>
      <c r="N2880" s="312"/>
      <c r="O2880" s="312"/>
      <c r="Q2880" s="47"/>
      <c r="R2880" s="136" t="s">
        <v>2212</v>
      </c>
      <c r="S2880" s="24" t="s">
        <v>2213</v>
      </c>
      <c r="T2880" s="155">
        <v>7326</v>
      </c>
      <c r="U2880" s="155">
        <v>0</v>
      </c>
      <c r="V2880" s="113"/>
      <c r="W2880" s="113"/>
      <c r="X2880" s="113"/>
      <c r="Y2880" s="113"/>
      <c r="AA2880" s="113"/>
    </row>
    <row r="2881" spans="2:27" x14ac:dyDescent="0.3">
      <c r="B2881" s="47"/>
      <c r="C2881" s="24"/>
      <c r="D2881" s="312"/>
      <c r="E2881" s="312"/>
      <c r="G2881" s="47"/>
      <c r="H2881" s="24"/>
      <c r="I2881" s="312"/>
      <c r="J2881" s="312"/>
      <c r="L2881" s="47"/>
      <c r="M2881" s="24"/>
      <c r="N2881" s="312"/>
      <c r="O2881" s="312"/>
      <c r="Q2881" s="47"/>
      <c r="R2881" s="136" t="s">
        <v>2214</v>
      </c>
      <c r="S2881" s="24" t="s">
        <v>2215</v>
      </c>
      <c r="T2881" s="155">
        <v>31441</v>
      </c>
      <c r="U2881" s="155">
        <v>0</v>
      </c>
      <c r="V2881" s="113"/>
      <c r="W2881" s="113"/>
      <c r="X2881" s="113"/>
      <c r="Y2881" s="113"/>
      <c r="AA2881" s="113"/>
    </row>
    <row r="2882" spans="2:27" x14ac:dyDescent="0.3">
      <c r="B2882" s="47"/>
      <c r="C2882" s="24"/>
      <c r="D2882" s="312"/>
      <c r="E2882" s="312"/>
      <c r="G2882" s="47"/>
      <c r="H2882" s="24"/>
      <c r="I2882" s="312"/>
      <c r="J2882" s="312"/>
      <c r="L2882" s="47"/>
      <c r="M2882" s="24"/>
      <c r="N2882" s="312"/>
      <c r="O2882" s="312"/>
      <c r="Q2882" s="47"/>
      <c r="R2882" s="136" t="s">
        <v>2216</v>
      </c>
      <c r="S2882" s="24" t="s">
        <v>2217</v>
      </c>
      <c r="T2882" s="155">
        <v>942</v>
      </c>
      <c r="U2882" s="155">
        <v>0</v>
      </c>
      <c r="V2882" s="113"/>
      <c r="W2882" s="113"/>
      <c r="X2882" s="113"/>
      <c r="Y2882" s="113"/>
      <c r="AA2882" s="113"/>
    </row>
    <row r="2883" spans="2:27" x14ac:dyDescent="0.3">
      <c r="B2883" s="47"/>
      <c r="C2883" s="24"/>
      <c r="D2883" s="312"/>
      <c r="E2883" s="312"/>
      <c r="G2883" s="47"/>
      <c r="H2883" s="24"/>
      <c r="I2883" s="312"/>
      <c r="J2883" s="312"/>
      <c r="L2883" s="47"/>
      <c r="M2883" s="24"/>
      <c r="N2883" s="312"/>
      <c r="O2883" s="312"/>
      <c r="Q2883" s="47"/>
      <c r="R2883" s="136" t="s">
        <v>1895</v>
      </c>
      <c r="S2883" s="24" t="s">
        <v>2174</v>
      </c>
      <c r="T2883" s="155">
        <v>6581</v>
      </c>
      <c r="U2883" s="155">
        <v>0</v>
      </c>
      <c r="V2883" s="113"/>
      <c r="W2883" s="113"/>
      <c r="X2883" s="113"/>
      <c r="Y2883" s="113"/>
      <c r="AA2883" s="113"/>
    </row>
    <row r="2884" spans="2:27" x14ac:dyDescent="0.3">
      <c r="B2884" s="47"/>
      <c r="C2884" s="24"/>
      <c r="D2884" s="312"/>
      <c r="E2884" s="312"/>
      <c r="G2884" s="47"/>
      <c r="H2884" s="24"/>
      <c r="I2884" s="312"/>
      <c r="J2884" s="312"/>
      <c r="L2884" s="47"/>
      <c r="M2884" s="24"/>
      <c r="N2884" s="312"/>
      <c r="O2884" s="312"/>
      <c r="Q2884" s="47"/>
      <c r="R2884" s="136" t="s">
        <v>2177</v>
      </c>
      <c r="S2884" s="24" t="s">
        <v>2341</v>
      </c>
      <c r="T2884" s="155">
        <v>8073</v>
      </c>
      <c r="U2884" s="155">
        <v>0</v>
      </c>
      <c r="V2884" s="113"/>
      <c r="W2884" s="113"/>
      <c r="X2884" s="113"/>
      <c r="Y2884" s="113"/>
      <c r="AA2884" s="113"/>
    </row>
    <row r="2885" spans="2:27" x14ac:dyDescent="0.3">
      <c r="B2885" s="47"/>
      <c r="C2885" s="24"/>
      <c r="D2885" s="312"/>
      <c r="E2885" s="312"/>
      <c r="G2885" s="47"/>
      <c r="H2885" s="24"/>
      <c r="I2885" s="312"/>
      <c r="J2885" s="312"/>
      <c r="L2885" s="47"/>
      <c r="M2885" s="24"/>
      <c r="N2885" s="312"/>
      <c r="O2885" s="312"/>
      <c r="Q2885" s="47"/>
      <c r="R2885" s="136" t="s">
        <v>2183</v>
      </c>
      <c r="S2885" s="24" t="s">
        <v>2182</v>
      </c>
      <c r="T2885" s="155">
        <v>8600</v>
      </c>
      <c r="U2885" s="155">
        <v>0</v>
      </c>
      <c r="V2885" s="113"/>
      <c r="W2885" s="113"/>
      <c r="X2885" s="113"/>
      <c r="Y2885" s="113"/>
      <c r="AA2885" s="113"/>
    </row>
    <row r="2886" spans="2:27" x14ac:dyDescent="0.3">
      <c r="B2886" s="47"/>
      <c r="C2886" s="24"/>
      <c r="D2886" s="312"/>
      <c r="E2886" s="312"/>
      <c r="G2886" s="47"/>
      <c r="H2886" s="24"/>
      <c r="I2886" s="312"/>
      <c r="J2886" s="312"/>
      <c r="L2886" s="47"/>
      <c r="M2886" s="24"/>
      <c r="N2886" s="312"/>
      <c r="O2886" s="312"/>
      <c r="Q2886" s="47"/>
      <c r="R2886" s="136" t="s">
        <v>2185</v>
      </c>
      <c r="S2886" s="24" t="s">
        <v>2184</v>
      </c>
      <c r="T2886" s="155">
        <v>5278</v>
      </c>
      <c r="U2886" s="155">
        <v>0</v>
      </c>
      <c r="V2886" s="113"/>
      <c r="W2886" s="113"/>
      <c r="X2886" s="113"/>
      <c r="Y2886" s="113"/>
      <c r="AA2886" s="113"/>
    </row>
    <row r="2887" spans="2:27" x14ac:dyDescent="0.3">
      <c r="B2887" s="47"/>
      <c r="C2887" s="24"/>
      <c r="D2887" s="312"/>
      <c r="E2887" s="312"/>
      <c r="G2887" s="47"/>
      <c r="H2887" s="24"/>
      <c r="I2887" s="312"/>
      <c r="J2887" s="312"/>
      <c r="L2887" s="47"/>
      <c r="M2887" s="24"/>
      <c r="N2887" s="312"/>
      <c r="O2887" s="312"/>
      <c r="Q2887" s="47"/>
      <c r="R2887" s="136" t="s">
        <v>2187</v>
      </c>
      <c r="S2887" s="24" t="s">
        <v>2186</v>
      </c>
      <c r="T2887" s="155">
        <v>41841</v>
      </c>
      <c r="U2887" s="155">
        <v>0</v>
      </c>
      <c r="V2887" s="113"/>
      <c r="W2887" s="113"/>
      <c r="X2887" s="113"/>
      <c r="Y2887" s="113"/>
      <c r="AA2887" s="113"/>
    </row>
    <row r="2888" spans="2:27" x14ac:dyDescent="0.3">
      <c r="B2888" s="47"/>
      <c r="C2888" s="24"/>
      <c r="D2888" s="312"/>
      <c r="E2888" s="312"/>
      <c r="G2888" s="47"/>
      <c r="H2888" s="24"/>
      <c r="I2888" s="312"/>
      <c r="J2888" s="312"/>
      <c r="L2888" s="47"/>
      <c r="M2888" s="24"/>
      <c r="N2888" s="312"/>
      <c r="O2888" s="312"/>
      <c r="Q2888" s="47"/>
      <c r="R2888" s="136" t="s">
        <v>2342</v>
      </c>
      <c r="S2888" s="24" t="s">
        <v>2188</v>
      </c>
      <c r="T2888" s="155">
        <v>8791</v>
      </c>
      <c r="U2888" s="155">
        <v>0</v>
      </c>
      <c r="V2888" s="113"/>
      <c r="W2888" s="113"/>
      <c r="X2888" s="113"/>
      <c r="Y2888" s="113"/>
      <c r="AA2888" s="113"/>
    </row>
    <row r="2889" spans="2:27" x14ac:dyDescent="0.3">
      <c r="B2889" s="47"/>
      <c r="C2889" s="24"/>
      <c r="D2889" s="312"/>
      <c r="E2889" s="312"/>
      <c r="G2889" s="47"/>
      <c r="H2889" s="24"/>
      <c r="I2889" s="312"/>
      <c r="J2889" s="312"/>
      <c r="L2889" s="47"/>
      <c r="M2889" s="24"/>
      <c r="N2889" s="312"/>
      <c r="O2889" s="312"/>
      <c r="Q2889" s="47"/>
      <c r="R2889" s="136" t="s">
        <v>2190</v>
      </c>
      <c r="S2889" s="24" t="s">
        <v>2189</v>
      </c>
      <c r="T2889" s="155">
        <v>11165</v>
      </c>
      <c r="U2889" s="155">
        <v>0</v>
      </c>
      <c r="V2889" s="113"/>
      <c r="W2889" s="113"/>
      <c r="X2889" s="113"/>
      <c r="Y2889" s="113"/>
      <c r="AA2889" s="113"/>
    </row>
    <row r="2890" spans="2:27" x14ac:dyDescent="0.3">
      <c r="B2890" s="47"/>
      <c r="C2890" s="24"/>
      <c r="D2890" s="312"/>
      <c r="E2890" s="312"/>
      <c r="G2890" s="47"/>
      <c r="H2890" s="24"/>
      <c r="I2890" s="312"/>
      <c r="J2890" s="312"/>
      <c r="L2890" s="47"/>
      <c r="M2890" s="24"/>
      <c r="N2890" s="312"/>
      <c r="O2890" s="312"/>
      <c r="Q2890" s="47"/>
      <c r="R2890" s="136" t="s">
        <v>2192</v>
      </c>
      <c r="S2890" s="24" t="s">
        <v>2191</v>
      </c>
      <c r="T2890" s="155">
        <v>2555</v>
      </c>
      <c r="U2890" s="155">
        <v>0</v>
      </c>
      <c r="V2890" s="113"/>
      <c r="W2890" s="113"/>
      <c r="X2890" s="113"/>
      <c r="Y2890" s="113"/>
      <c r="AA2890" s="113"/>
    </row>
    <row r="2891" spans="2:27" x14ac:dyDescent="0.3">
      <c r="B2891" s="47"/>
      <c r="C2891" s="24"/>
      <c r="D2891" s="312"/>
      <c r="E2891" s="312"/>
      <c r="G2891" s="47"/>
      <c r="H2891" s="24"/>
      <c r="I2891" s="312"/>
      <c r="J2891" s="312"/>
      <c r="L2891" s="47"/>
      <c r="M2891" s="24"/>
      <c r="N2891" s="312"/>
      <c r="O2891" s="312"/>
      <c r="Q2891" s="47"/>
      <c r="R2891" s="136" t="s">
        <v>1896</v>
      </c>
      <c r="S2891" s="24" t="s">
        <v>2193</v>
      </c>
      <c r="T2891" s="155">
        <v>6200</v>
      </c>
      <c r="U2891" s="155">
        <v>0</v>
      </c>
      <c r="V2891" s="113"/>
      <c r="W2891" s="113"/>
      <c r="X2891" s="113"/>
      <c r="Y2891" s="113"/>
      <c r="AA2891" s="113"/>
    </row>
    <row r="2892" spans="2:27" x14ac:dyDescent="0.3">
      <c r="B2892" s="47"/>
      <c r="C2892" s="24"/>
      <c r="D2892" s="312"/>
      <c r="E2892" s="312"/>
      <c r="G2892" s="47"/>
      <c r="H2892" s="24"/>
      <c r="I2892" s="312"/>
      <c r="J2892" s="312"/>
      <c r="L2892" s="47"/>
      <c r="M2892" s="24"/>
      <c r="N2892" s="312"/>
      <c r="O2892" s="312"/>
      <c r="Q2892" s="47"/>
      <c r="R2892" s="136" t="s">
        <v>3291</v>
      </c>
      <c r="S2892" s="24" t="s">
        <v>2171</v>
      </c>
      <c r="T2892" s="155">
        <v>4804</v>
      </c>
      <c r="U2892" s="155">
        <v>0</v>
      </c>
      <c r="V2892" s="113"/>
      <c r="W2892" s="113"/>
      <c r="X2892" s="113"/>
      <c r="Y2892" s="113"/>
      <c r="AA2892" s="113"/>
    </row>
    <row r="2893" spans="2:27" x14ac:dyDescent="0.3">
      <c r="B2893" s="47"/>
      <c r="C2893" s="24"/>
      <c r="D2893" s="312"/>
      <c r="E2893" s="312"/>
      <c r="G2893" s="47"/>
      <c r="H2893" s="24"/>
      <c r="I2893" s="312"/>
      <c r="J2893" s="312"/>
      <c r="L2893" s="47"/>
      <c r="M2893" s="24"/>
      <c r="N2893" s="312"/>
      <c r="O2893" s="312"/>
      <c r="Q2893" s="47"/>
      <c r="R2893" s="136" t="s">
        <v>1898</v>
      </c>
      <c r="S2893" s="24" t="s">
        <v>2218</v>
      </c>
      <c r="T2893" s="155">
        <v>594</v>
      </c>
      <c r="U2893" s="155">
        <v>0</v>
      </c>
      <c r="V2893" s="113"/>
      <c r="W2893" s="113"/>
      <c r="X2893" s="113"/>
      <c r="Y2893" s="113"/>
      <c r="AA2893" s="113"/>
    </row>
    <row r="2894" spans="2:27" x14ac:dyDescent="0.3">
      <c r="B2894" s="47"/>
      <c r="C2894" s="24"/>
      <c r="D2894" s="312"/>
      <c r="E2894" s="312"/>
      <c r="G2894" s="47"/>
      <c r="H2894" s="24"/>
      <c r="I2894" s="312"/>
      <c r="J2894" s="312"/>
      <c r="L2894" s="47"/>
      <c r="M2894" s="24"/>
      <c r="N2894" s="312"/>
      <c r="O2894" s="312"/>
      <c r="Q2894" s="47"/>
      <c r="R2894" s="136" t="s">
        <v>2219</v>
      </c>
      <c r="S2894" s="24" t="s">
        <v>2220</v>
      </c>
      <c r="T2894" s="155">
        <v>2674</v>
      </c>
      <c r="U2894" s="155">
        <v>0</v>
      </c>
      <c r="V2894" s="113"/>
      <c r="W2894" s="113"/>
      <c r="X2894" s="113"/>
      <c r="Y2894" s="113"/>
      <c r="AA2894" s="113"/>
    </row>
    <row r="2895" spans="2:27" x14ac:dyDescent="0.3">
      <c r="B2895" s="47"/>
      <c r="C2895" s="24"/>
      <c r="D2895" s="312"/>
      <c r="E2895" s="312"/>
      <c r="G2895" s="47"/>
      <c r="H2895" s="24"/>
      <c r="I2895" s="312"/>
      <c r="J2895" s="312"/>
      <c r="L2895" s="47"/>
      <c r="M2895" s="24"/>
      <c r="N2895" s="312"/>
      <c r="O2895" s="312"/>
      <c r="Q2895" s="47"/>
      <c r="R2895" s="136" t="s">
        <v>2221</v>
      </c>
      <c r="S2895" s="24" t="s">
        <v>2222</v>
      </c>
      <c r="T2895" s="155">
        <v>2018</v>
      </c>
      <c r="U2895" s="155">
        <v>0</v>
      </c>
      <c r="V2895" s="113"/>
      <c r="W2895" s="113"/>
      <c r="X2895" s="113"/>
      <c r="Y2895" s="113"/>
      <c r="AA2895" s="113"/>
    </row>
    <row r="2896" spans="2:27" x14ac:dyDescent="0.3">
      <c r="B2896" s="47"/>
      <c r="C2896" s="24"/>
      <c r="D2896" s="312"/>
      <c r="E2896" s="312"/>
      <c r="G2896" s="47"/>
      <c r="H2896" s="24"/>
      <c r="I2896" s="312"/>
      <c r="J2896" s="312"/>
      <c r="L2896" s="47"/>
      <c r="M2896" s="24"/>
      <c r="N2896" s="312"/>
      <c r="O2896" s="312"/>
      <c r="Q2896" s="47"/>
      <c r="R2896" s="136" t="s">
        <v>2223</v>
      </c>
      <c r="S2896" s="24" t="s">
        <v>2224</v>
      </c>
      <c r="T2896" s="155">
        <v>2541</v>
      </c>
      <c r="U2896" s="155">
        <v>0</v>
      </c>
      <c r="V2896" s="113"/>
      <c r="W2896" s="113"/>
      <c r="X2896" s="113"/>
      <c r="Y2896" s="113"/>
      <c r="AA2896" s="113"/>
    </row>
    <row r="2897" spans="2:27" x14ac:dyDescent="0.3">
      <c r="B2897" s="47"/>
      <c r="C2897" s="24"/>
      <c r="D2897" s="312"/>
      <c r="E2897" s="312"/>
      <c r="G2897" s="47"/>
      <c r="H2897" s="24"/>
      <c r="I2897" s="312"/>
      <c r="J2897" s="312"/>
      <c r="L2897" s="47"/>
      <c r="M2897" s="24"/>
      <c r="N2897" s="312"/>
      <c r="O2897" s="312"/>
      <c r="Q2897" s="47"/>
      <c r="R2897" s="136" t="s">
        <v>2226</v>
      </c>
      <c r="S2897" s="24" t="s">
        <v>2227</v>
      </c>
      <c r="T2897" s="155">
        <v>2696</v>
      </c>
      <c r="U2897" s="155">
        <v>0</v>
      </c>
      <c r="V2897" s="113"/>
      <c r="W2897" s="113"/>
      <c r="X2897" s="113"/>
      <c r="Y2897" s="113"/>
      <c r="AA2897" s="113"/>
    </row>
    <row r="2898" spans="2:27" x14ac:dyDescent="0.3">
      <c r="B2898" s="47"/>
      <c r="C2898" s="24"/>
      <c r="D2898" s="312"/>
      <c r="E2898" s="312"/>
      <c r="G2898" s="47"/>
      <c r="H2898" s="24"/>
      <c r="I2898" s="312"/>
      <c r="J2898" s="312"/>
      <c r="L2898" s="47"/>
      <c r="M2898" s="24"/>
      <c r="N2898" s="312"/>
      <c r="O2898" s="312"/>
      <c r="Q2898" s="47"/>
      <c r="R2898" s="136" t="s">
        <v>2228</v>
      </c>
      <c r="S2898" s="24" t="s">
        <v>1990</v>
      </c>
      <c r="T2898" s="155">
        <v>230</v>
      </c>
      <c r="U2898" s="155">
        <v>0</v>
      </c>
      <c r="V2898" s="113"/>
      <c r="W2898" s="113"/>
      <c r="X2898" s="113"/>
      <c r="Y2898" s="113"/>
      <c r="AA2898" s="113"/>
    </row>
    <row r="2899" spans="2:27" x14ac:dyDescent="0.3">
      <c r="B2899" s="47"/>
      <c r="C2899" s="24"/>
      <c r="D2899" s="312"/>
      <c r="E2899" s="312"/>
      <c r="G2899" s="47"/>
      <c r="H2899" s="24"/>
      <c r="I2899" s="312"/>
      <c r="J2899" s="312"/>
      <c r="L2899" s="47"/>
      <c r="M2899" s="24"/>
      <c r="N2899" s="312"/>
      <c r="O2899" s="312"/>
      <c r="Q2899" s="47"/>
      <c r="R2899" s="136" t="s">
        <v>2229</v>
      </c>
      <c r="S2899" s="24" t="s">
        <v>1987</v>
      </c>
      <c r="T2899" s="155">
        <v>129</v>
      </c>
      <c r="U2899" s="155">
        <v>0</v>
      </c>
      <c r="V2899" s="113"/>
      <c r="W2899" s="113"/>
      <c r="X2899" s="113"/>
      <c r="Y2899" s="113"/>
      <c r="AA2899" s="113"/>
    </row>
    <row r="2900" spans="2:27" x14ac:dyDescent="0.3">
      <c r="B2900" s="47"/>
      <c r="C2900" s="24"/>
      <c r="D2900" s="312"/>
      <c r="E2900" s="312"/>
      <c r="G2900" s="47"/>
      <c r="H2900" s="24"/>
      <c r="I2900" s="312"/>
      <c r="J2900" s="312"/>
      <c r="L2900" s="47"/>
      <c r="M2900" s="24"/>
      <c r="N2900" s="312"/>
      <c r="O2900" s="312"/>
      <c r="Q2900" s="47"/>
      <c r="R2900" s="136" t="s">
        <v>2230</v>
      </c>
      <c r="S2900" s="24" t="s">
        <v>2231</v>
      </c>
      <c r="T2900" s="155">
        <v>312</v>
      </c>
      <c r="U2900" s="155">
        <v>0</v>
      </c>
      <c r="V2900" s="113"/>
      <c r="W2900" s="113"/>
      <c r="X2900" s="113"/>
      <c r="Y2900" s="113"/>
      <c r="AA2900" s="113"/>
    </row>
    <row r="2901" spans="2:27" x14ac:dyDescent="0.3">
      <c r="B2901" s="47"/>
      <c r="C2901" s="24"/>
      <c r="D2901" s="312"/>
      <c r="E2901" s="312"/>
      <c r="G2901" s="47"/>
      <c r="H2901" s="24"/>
      <c r="I2901" s="312"/>
      <c r="J2901" s="312"/>
      <c r="L2901" s="47"/>
      <c r="M2901" s="24"/>
      <c r="N2901" s="312"/>
      <c r="O2901" s="312"/>
      <c r="Q2901" s="47"/>
      <c r="R2901" s="136" t="s">
        <v>2232</v>
      </c>
      <c r="S2901" s="24" t="s">
        <v>1988</v>
      </c>
      <c r="T2901" s="155">
        <v>620</v>
      </c>
      <c r="U2901" s="155">
        <v>0</v>
      </c>
      <c r="V2901" s="113"/>
      <c r="W2901" s="113"/>
      <c r="X2901" s="113"/>
      <c r="Y2901" s="113"/>
      <c r="AA2901" s="113"/>
    </row>
    <row r="2902" spans="2:27" x14ac:dyDescent="0.3">
      <c r="B2902" s="47"/>
      <c r="C2902" s="24"/>
      <c r="D2902" s="312"/>
      <c r="E2902" s="312"/>
      <c r="G2902" s="47"/>
      <c r="H2902" s="24"/>
      <c r="I2902" s="312"/>
      <c r="J2902" s="312"/>
      <c r="L2902" s="47"/>
      <c r="M2902" s="24"/>
      <c r="N2902" s="312"/>
      <c r="O2902" s="312"/>
      <c r="Q2902" s="47"/>
      <c r="R2902" s="136" t="s">
        <v>2233</v>
      </c>
      <c r="S2902" s="24" t="s">
        <v>1989</v>
      </c>
      <c r="T2902" s="155">
        <v>156</v>
      </c>
      <c r="U2902" s="155">
        <v>0</v>
      </c>
      <c r="V2902" s="113"/>
      <c r="W2902" s="113"/>
      <c r="X2902" s="113"/>
      <c r="Y2902" s="113"/>
      <c r="AA2902" s="113"/>
    </row>
    <row r="2903" spans="2:27" x14ac:dyDescent="0.3">
      <c r="B2903" s="47"/>
      <c r="C2903" s="24"/>
      <c r="D2903" s="312"/>
      <c r="E2903" s="312"/>
      <c r="G2903" s="47"/>
      <c r="H2903" s="24"/>
      <c r="I2903" s="312"/>
      <c r="J2903" s="312"/>
      <c r="L2903" s="47"/>
      <c r="M2903" s="24"/>
      <c r="N2903" s="312"/>
      <c r="O2903" s="312"/>
      <c r="Q2903" s="47"/>
      <c r="R2903" s="136" t="s">
        <v>2234</v>
      </c>
      <c r="S2903" s="24" t="s">
        <v>2235</v>
      </c>
      <c r="T2903" s="155">
        <v>156</v>
      </c>
      <c r="U2903" s="155">
        <v>0</v>
      </c>
      <c r="V2903" s="113"/>
      <c r="W2903" s="113"/>
      <c r="X2903" s="113"/>
      <c r="Y2903" s="113"/>
      <c r="AA2903" s="113"/>
    </row>
    <row r="2904" spans="2:27" x14ac:dyDescent="0.3">
      <c r="B2904" s="47"/>
      <c r="C2904" s="24"/>
      <c r="D2904" s="312"/>
      <c r="E2904" s="312"/>
      <c r="G2904" s="47"/>
      <c r="H2904" s="24"/>
      <c r="I2904" s="312"/>
      <c r="J2904" s="312"/>
      <c r="L2904" s="47"/>
      <c r="M2904" s="24"/>
      <c r="N2904" s="312"/>
      <c r="O2904" s="312"/>
      <c r="Q2904" s="241">
        <v>80120006</v>
      </c>
      <c r="R2904" s="242"/>
      <c r="S2904" s="243" t="s">
        <v>1130</v>
      </c>
      <c r="T2904" s="239">
        <f>SUM(T2905)-SUM(U2905)</f>
        <v>321552</v>
      </c>
      <c r="U2904" s="240">
        <v>0</v>
      </c>
      <c r="V2904" s="113"/>
      <c r="W2904" s="113"/>
      <c r="X2904" s="113"/>
      <c r="Y2904" s="113"/>
      <c r="AA2904" s="113"/>
    </row>
    <row r="2905" spans="2:27" x14ac:dyDescent="0.3">
      <c r="B2905" s="47"/>
      <c r="C2905" s="24"/>
      <c r="D2905" s="312"/>
      <c r="E2905" s="312"/>
      <c r="G2905" s="47"/>
      <c r="H2905" s="24"/>
      <c r="I2905" s="312"/>
      <c r="J2905" s="312"/>
      <c r="L2905" s="47"/>
      <c r="M2905" s="24"/>
      <c r="N2905" s="312"/>
      <c r="O2905" s="312"/>
      <c r="Q2905" s="47"/>
      <c r="R2905" s="136" t="s">
        <v>2138</v>
      </c>
      <c r="S2905" s="24" t="s">
        <v>7</v>
      </c>
      <c r="T2905" s="155">
        <v>321552</v>
      </c>
      <c r="U2905" s="155">
        <v>0</v>
      </c>
      <c r="V2905" s="113"/>
      <c r="W2905" s="113"/>
      <c r="X2905" s="113"/>
      <c r="Y2905" s="113"/>
      <c r="AA2905" s="113"/>
    </row>
    <row r="2906" spans="2:27" x14ac:dyDescent="0.3">
      <c r="B2906" s="47"/>
      <c r="C2906" s="24"/>
      <c r="D2906" s="312"/>
      <c r="E2906" s="312"/>
      <c r="G2906" s="47"/>
      <c r="H2906" s="24"/>
      <c r="I2906" s="312"/>
      <c r="J2906" s="312"/>
      <c r="L2906" s="47"/>
      <c r="M2906" s="24"/>
      <c r="N2906" s="312"/>
      <c r="O2906" s="312"/>
      <c r="Q2906" s="241">
        <v>80120007</v>
      </c>
      <c r="R2906" s="242"/>
      <c r="S2906" s="243" t="s">
        <v>1131</v>
      </c>
      <c r="T2906" s="239">
        <f>SUM(T2907:T2947)-SUM(U2907:U2947)</f>
        <v>1237511</v>
      </c>
      <c r="U2906" s="240">
        <v>0</v>
      </c>
      <c r="V2906" s="113"/>
    </row>
    <row r="2907" spans="2:27" x14ac:dyDescent="0.3">
      <c r="B2907" s="47"/>
      <c r="C2907" s="24"/>
      <c r="D2907" s="312"/>
      <c r="E2907" s="312"/>
      <c r="G2907" s="47"/>
      <c r="H2907" s="24"/>
      <c r="I2907" s="312"/>
      <c r="J2907" s="312"/>
      <c r="L2907" s="47"/>
      <c r="M2907" s="24"/>
      <c r="N2907" s="312"/>
      <c r="O2907" s="312"/>
      <c r="Q2907" s="47"/>
      <c r="R2907" s="136" t="s">
        <v>1931</v>
      </c>
      <c r="S2907" s="24" t="s">
        <v>1932</v>
      </c>
      <c r="T2907" s="155">
        <v>18817</v>
      </c>
      <c r="U2907" s="155">
        <v>0</v>
      </c>
      <c r="V2907" s="113"/>
    </row>
    <row r="2908" spans="2:27" x14ac:dyDescent="0.3">
      <c r="B2908" s="47"/>
      <c r="C2908" s="24"/>
      <c r="D2908" s="312"/>
      <c r="E2908" s="312"/>
      <c r="G2908" s="47"/>
      <c r="H2908" s="24"/>
      <c r="I2908" s="312"/>
      <c r="J2908" s="312"/>
      <c r="L2908" s="47"/>
      <c r="M2908" s="24"/>
      <c r="N2908" s="312"/>
      <c r="O2908" s="312"/>
      <c r="Q2908" s="47"/>
      <c r="R2908" s="136" t="s">
        <v>1934</v>
      </c>
      <c r="S2908" s="24" t="s">
        <v>2196</v>
      </c>
      <c r="T2908" s="155">
        <v>4537</v>
      </c>
      <c r="U2908" s="155">
        <v>0</v>
      </c>
      <c r="V2908" s="113"/>
    </row>
    <row r="2909" spans="2:27" x14ac:dyDescent="0.3">
      <c r="B2909" s="47"/>
      <c r="C2909" s="24"/>
      <c r="D2909" s="312"/>
      <c r="E2909" s="312"/>
      <c r="G2909" s="47"/>
      <c r="H2909" s="24"/>
      <c r="I2909" s="312"/>
      <c r="J2909" s="312"/>
      <c r="L2909" s="47"/>
      <c r="M2909" s="24"/>
      <c r="N2909" s="312"/>
      <c r="O2909" s="312"/>
      <c r="Q2909" s="47"/>
      <c r="R2909" s="136" t="s">
        <v>2138</v>
      </c>
      <c r="S2909" s="24" t="s">
        <v>7</v>
      </c>
      <c r="T2909" s="155">
        <v>7481</v>
      </c>
      <c r="U2909" s="155">
        <v>0</v>
      </c>
      <c r="V2909" s="113"/>
    </row>
    <row r="2910" spans="2:27" x14ac:dyDescent="0.3">
      <c r="B2910" s="47"/>
      <c r="C2910" s="24"/>
      <c r="D2910" s="312"/>
      <c r="E2910" s="312"/>
      <c r="G2910" s="47"/>
      <c r="H2910" s="24"/>
      <c r="I2910" s="312"/>
      <c r="J2910" s="312"/>
      <c r="L2910" s="47"/>
      <c r="M2910" s="24"/>
      <c r="N2910" s="312"/>
      <c r="O2910" s="312"/>
      <c r="Q2910" s="47"/>
      <c r="R2910" s="136" t="s">
        <v>2138</v>
      </c>
      <c r="S2910" s="24" t="s">
        <v>7</v>
      </c>
      <c r="T2910" s="155">
        <v>3488</v>
      </c>
      <c r="U2910" s="155">
        <v>0</v>
      </c>
      <c r="V2910" s="113"/>
    </row>
    <row r="2911" spans="2:27" x14ac:dyDescent="0.3">
      <c r="B2911" s="47"/>
      <c r="C2911" s="24"/>
      <c r="D2911" s="312"/>
      <c r="E2911" s="312"/>
      <c r="G2911" s="47"/>
      <c r="H2911" s="24"/>
      <c r="I2911" s="312"/>
      <c r="J2911" s="312"/>
      <c r="L2911" s="47"/>
      <c r="M2911" s="24"/>
      <c r="N2911" s="312"/>
      <c r="O2911" s="312"/>
      <c r="Q2911" s="47"/>
      <c r="R2911" s="136" t="s">
        <v>2152</v>
      </c>
      <c r="S2911" s="24" t="s">
        <v>2153</v>
      </c>
      <c r="T2911" s="155">
        <v>909</v>
      </c>
      <c r="U2911" s="155">
        <v>0</v>
      </c>
      <c r="V2911" s="113"/>
    </row>
    <row r="2912" spans="2:27" x14ac:dyDescent="0.3">
      <c r="B2912" s="47"/>
      <c r="C2912" s="24"/>
      <c r="D2912" s="312"/>
      <c r="E2912" s="312"/>
      <c r="G2912" s="47"/>
      <c r="H2912" s="24"/>
      <c r="I2912" s="312"/>
      <c r="J2912" s="312"/>
      <c r="L2912" s="47"/>
      <c r="M2912" s="24"/>
      <c r="N2912" s="312"/>
      <c r="O2912" s="312"/>
      <c r="Q2912" s="47"/>
      <c r="R2912" s="136" t="s">
        <v>2156</v>
      </c>
      <c r="S2912" s="24" t="s">
        <v>2157</v>
      </c>
      <c r="T2912" s="155">
        <v>258051</v>
      </c>
      <c r="U2912" s="155">
        <v>0</v>
      </c>
      <c r="V2912" s="113"/>
    </row>
    <row r="2913" spans="2:22" x14ac:dyDescent="0.3">
      <c r="B2913" s="47"/>
      <c r="C2913" s="24"/>
      <c r="D2913" s="312"/>
      <c r="E2913" s="312"/>
      <c r="G2913" s="47"/>
      <c r="H2913" s="24"/>
      <c r="I2913" s="312"/>
      <c r="J2913" s="312"/>
      <c r="L2913" s="47"/>
      <c r="M2913" s="24"/>
      <c r="N2913" s="312"/>
      <c r="O2913" s="312"/>
      <c r="Q2913" s="47"/>
      <c r="R2913" s="136" t="s">
        <v>2199</v>
      </c>
      <c r="S2913" s="24" t="s">
        <v>2200</v>
      </c>
      <c r="T2913" s="155">
        <v>30357</v>
      </c>
      <c r="U2913" s="155">
        <v>0</v>
      </c>
      <c r="V2913" s="113"/>
    </row>
    <row r="2914" spans="2:22" x14ac:dyDescent="0.3">
      <c r="B2914" s="47"/>
      <c r="C2914" s="24"/>
      <c r="D2914" s="312"/>
      <c r="E2914" s="312"/>
      <c r="G2914" s="47"/>
      <c r="H2914" s="24"/>
      <c r="I2914" s="312"/>
      <c r="J2914" s="312"/>
      <c r="L2914" s="47"/>
      <c r="M2914" s="24"/>
      <c r="N2914" s="312"/>
      <c r="O2914" s="312"/>
      <c r="Q2914" s="47"/>
      <c r="R2914" s="136" t="s">
        <v>2201</v>
      </c>
      <c r="S2914" s="24" t="s">
        <v>2202</v>
      </c>
      <c r="T2914" s="155">
        <v>24279</v>
      </c>
      <c r="U2914" s="155">
        <v>0</v>
      </c>
      <c r="V2914" s="113"/>
    </row>
    <row r="2915" spans="2:22" x14ac:dyDescent="0.3">
      <c r="B2915" s="47"/>
      <c r="C2915" s="24"/>
      <c r="D2915" s="312"/>
      <c r="E2915" s="312"/>
      <c r="G2915" s="47"/>
      <c r="H2915" s="24"/>
      <c r="I2915" s="312"/>
      <c r="J2915" s="312"/>
      <c r="L2915" s="47"/>
      <c r="M2915" s="24"/>
      <c r="N2915" s="312"/>
      <c r="O2915" s="312"/>
      <c r="Q2915" s="47"/>
      <c r="R2915" s="136" t="s">
        <v>2203</v>
      </c>
      <c r="S2915" s="24" t="s">
        <v>2204</v>
      </c>
      <c r="T2915" s="155">
        <v>12162</v>
      </c>
      <c r="U2915" s="155">
        <v>0</v>
      </c>
      <c r="V2915" s="113"/>
    </row>
    <row r="2916" spans="2:22" x14ac:dyDescent="0.3">
      <c r="B2916" s="47"/>
      <c r="C2916" s="24"/>
      <c r="D2916" s="312"/>
      <c r="E2916" s="312"/>
      <c r="G2916" s="47"/>
      <c r="H2916" s="24"/>
      <c r="I2916" s="312"/>
      <c r="J2916" s="312"/>
      <c r="L2916" s="47"/>
      <c r="M2916" s="24"/>
      <c r="N2916" s="312"/>
      <c r="O2916" s="312"/>
      <c r="Q2916" s="47"/>
      <c r="R2916" s="136" t="s">
        <v>2205</v>
      </c>
      <c r="S2916" s="24" t="s">
        <v>2206</v>
      </c>
      <c r="T2916" s="155">
        <v>22766</v>
      </c>
      <c r="U2916" s="155">
        <v>0</v>
      </c>
      <c r="V2916" s="113"/>
    </row>
    <row r="2917" spans="2:22" x14ac:dyDescent="0.3">
      <c r="B2917" s="47"/>
      <c r="C2917" s="24"/>
      <c r="D2917" s="312"/>
      <c r="E2917" s="312"/>
      <c r="G2917" s="47"/>
      <c r="H2917" s="24"/>
      <c r="I2917" s="312"/>
      <c r="J2917" s="312"/>
      <c r="L2917" s="47"/>
      <c r="M2917" s="24"/>
      <c r="N2917" s="312"/>
      <c r="O2917" s="312"/>
      <c r="Q2917" s="47"/>
      <c r="R2917" s="136" t="s">
        <v>2207</v>
      </c>
      <c r="S2917" s="24" t="s">
        <v>2208</v>
      </c>
      <c r="T2917" s="155">
        <v>22766</v>
      </c>
      <c r="U2917" s="155">
        <v>0</v>
      </c>
      <c r="V2917" s="113"/>
    </row>
    <row r="2918" spans="2:22" x14ac:dyDescent="0.3">
      <c r="B2918" s="47"/>
      <c r="C2918" s="24"/>
      <c r="D2918" s="312"/>
      <c r="E2918" s="312"/>
      <c r="G2918" s="47"/>
      <c r="H2918" s="24"/>
      <c r="I2918" s="312"/>
      <c r="J2918" s="312"/>
      <c r="L2918" s="47"/>
      <c r="M2918" s="24"/>
      <c r="N2918" s="312"/>
      <c r="O2918" s="312"/>
      <c r="Q2918" s="47"/>
      <c r="R2918" s="136" t="s">
        <v>2209</v>
      </c>
      <c r="S2918" s="24" t="s">
        <v>2210</v>
      </c>
      <c r="T2918" s="155">
        <v>25802</v>
      </c>
      <c r="U2918" s="155">
        <v>0</v>
      </c>
      <c r="V2918" s="113"/>
    </row>
    <row r="2919" spans="2:22" x14ac:dyDescent="0.3">
      <c r="B2919" s="47"/>
      <c r="C2919" s="24"/>
      <c r="D2919" s="312"/>
      <c r="E2919" s="312"/>
      <c r="G2919" s="47"/>
      <c r="H2919" s="24"/>
      <c r="I2919" s="312"/>
      <c r="J2919" s="312"/>
      <c r="L2919" s="47"/>
      <c r="M2919" s="24"/>
      <c r="N2919" s="312"/>
      <c r="O2919" s="312"/>
      <c r="Q2919" s="47"/>
      <c r="R2919" s="136" t="s">
        <v>2340</v>
      </c>
      <c r="S2919" s="24" t="s">
        <v>2159</v>
      </c>
      <c r="T2919" s="155">
        <v>32759</v>
      </c>
      <c r="U2919" s="155">
        <v>0</v>
      </c>
      <c r="V2919" s="113"/>
    </row>
    <row r="2920" spans="2:22" x14ac:dyDescent="0.3">
      <c r="B2920" s="47"/>
      <c r="C2920" s="24"/>
      <c r="D2920" s="312"/>
      <c r="E2920" s="312"/>
      <c r="G2920" s="47"/>
      <c r="H2920" s="24"/>
      <c r="I2920" s="312"/>
      <c r="J2920" s="312"/>
      <c r="L2920" s="47"/>
      <c r="M2920" s="24"/>
      <c r="N2920" s="312"/>
      <c r="O2920" s="312"/>
      <c r="Q2920" s="47"/>
      <c r="R2920" s="136" t="s">
        <v>2160</v>
      </c>
      <c r="S2920" s="24" t="s">
        <v>2161</v>
      </c>
      <c r="T2920" s="155">
        <v>17899</v>
      </c>
      <c r="U2920" s="155">
        <v>0</v>
      </c>
      <c r="V2920" s="113"/>
    </row>
    <row r="2921" spans="2:22" x14ac:dyDescent="0.3">
      <c r="B2921" s="47"/>
      <c r="C2921" s="24"/>
      <c r="D2921" s="312"/>
      <c r="E2921" s="312"/>
      <c r="G2921" s="47"/>
      <c r="H2921" s="24"/>
      <c r="I2921" s="312"/>
      <c r="J2921" s="312"/>
      <c r="L2921" s="47"/>
      <c r="M2921" s="24"/>
      <c r="N2921" s="312"/>
      <c r="O2921" s="312"/>
      <c r="Q2921" s="47"/>
      <c r="R2921" s="136" t="s">
        <v>2162</v>
      </c>
      <c r="S2921" s="24" t="s">
        <v>2163</v>
      </c>
      <c r="T2921" s="155">
        <v>21237</v>
      </c>
      <c r="U2921" s="155">
        <v>0</v>
      </c>
      <c r="V2921" s="113"/>
    </row>
    <row r="2922" spans="2:22" x14ac:dyDescent="0.3">
      <c r="B2922" s="47"/>
      <c r="C2922" s="24"/>
      <c r="D2922" s="312"/>
      <c r="E2922" s="312"/>
      <c r="G2922" s="47"/>
      <c r="H2922" s="24"/>
      <c r="I2922" s="312"/>
      <c r="J2922" s="312"/>
      <c r="L2922" s="47"/>
      <c r="M2922" s="24"/>
      <c r="N2922" s="312"/>
      <c r="O2922" s="312"/>
      <c r="Q2922" s="47"/>
      <c r="R2922" s="136" t="s">
        <v>2165</v>
      </c>
      <c r="S2922" s="24" t="s">
        <v>2166</v>
      </c>
      <c r="T2922" s="155">
        <v>21842</v>
      </c>
      <c r="U2922" s="155">
        <v>0</v>
      </c>
      <c r="V2922" s="113"/>
    </row>
    <row r="2923" spans="2:22" x14ac:dyDescent="0.3">
      <c r="B2923" s="47"/>
      <c r="C2923" s="24"/>
      <c r="D2923" s="312"/>
      <c r="E2923" s="312"/>
      <c r="G2923" s="47"/>
      <c r="H2923" s="24"/>
      <c r="I2923" s="312"/>
      <c r="J2923" s="312"/>
      <c r="L2923" s="47"/>
      <c r="M2923" s="24"/>
      <c r="N2923" s="312"/>
      <c r="O2923" s="312"/>
      <c r="Q2923" s="47"/>
      <c r="R2923" s="136" t="s">
        <v>2168</v>
      </c>
      <c r="S2923" s="24" t="s">
        <v>2169</v>
      </c>
      <c r="T2923" s="155">
        <v>24895</v>
      </c>
      <c r="U2923" s="155">
        <v>0</v>
      </c>
      <c r="V2923" s="113"/>
    </row>
    <row r="2924" spans="2:22" x14ac:dyDescent="0.3">
      <c r="B2924" s="47"/>
      <c r="C2924" s="24"/>
      <c r="D2924" s="312"/>
      <c r="E2924" s="312"/>
      <c r="G2924" s="47"/>
      <c r="H2924" s="24"/>
      <c r="I2924" s="312"/>
      <c r="J2924" s="312"/>
      <c r="L2924" s="47"/>
      <c r="M2924" s="24"/>
      <c r="N2924" s="312"/>
      <c r="O2924" s="312"/>
      <c r="Q2924" s="47"/>
      <c r="R2924" s="136" t="s">
        <v>3313</v>
      </c>
      <c r="S2924" s="24" t="s">
        <v>2211</v>
      </c>
      <c r="T2924" s="155">
        <v>34910</v>
      </c>
      <c r="U2924" s="155">
        <v>0</v>
      </c>
      <c r="V2924" s="113"/>
    </row>
    <row r="2925" spans="2:22" x14ac:dyDescent="0.3">
      <c r="B2925" s="47"/>
      <c r="C2925" s="24"/>
      <c r="D2925" s="312"/>
      <c r="E2925" s="312"/>
      <c r="G2925" s="47"/>
      <c r="H2925" s="24"/>
      <c r="I2925" s="312"/>
      <c r="J2925" s="312"/>
      <c r="L2925" s="47"/>
      <c r="M2925" s="24"/>
      <c r="N2925" s="312"/>
      <c r="O2925" s="312"/>
      <c r="Q2925" s="47"/>
      <c r="R2925" s="136" t="s">
        <v>2212</v>
      </c>
      <c r="S2925" s="24" t="s">
        <v>2213</v>
      </c>
      <c r="T2925" s="155">
        <v>35213</v>
      </c>
      <c r="U2925" s="155">
        <v>0</v>
      </c>
      <c r="V2925" s="113"/>
    </row>
    <row r="2926" spans="2:22" x14ac:dyDescent="0.3">
      <c r="B2926" s="47"/>
      <c r="C2926" s="24"/>
      <c r="D2926" s="312"/>
      <c r="E2926" s="312"/>
      <c r="G2926" s="47"/>
      <c r="H2926" s="24"/>
      <c r="I2926" s="312"/>
      <c r="J2926" s="312"/>
      <c r="L2926" s="47"/>
      <c r="M2926" s="24"/>
      <c r="N2926" s="312"/>
      <c r="O2926" s="312"/>
      <c r="Q2926" s="47"/>
      <c r="R2926" s="136" t="s">
        <v>2214</v>
      </c>
      <c r="S2926" s="24" t="s">
        <v>2215</v>
      </c>
      <c r="T2926" s="155">
        <v>27614</v>
      </c>
      <c r="U2926" s="155">
        <v>0</v>
      </c>
      <c r="V2926" s="113"/>
    </row>
    <row r="2927" spans="2:22" x14ac:dyDescent="0.3">
      <c r="B2927" s="47"/>
      <c r="C2927" s="24"/>
      <c r="D2927" s="312"/>
      <c r="E2927" s="312"/>
      <c r="G2927" s="47"/>
      <c r="H2927" s="24"/>
      <c r="I2927" s="312"/>
      <c r="J2927" s="312"/>
      <c r="L2927" s="47"/>
      <c r="M2927" s="24"/>
      <c r="N2927" s="312"/>
      <c r="O2927" s="312"/>
      <c r="Q2927" s="47"/>
      <c r="R2927" s="136" t="s">
        <v>1895</v>
      </c>
      <c r="S2927" s="24" t="s">
        <v>2174</v>
      </c>
      <c r="T2927" s="155">
        <v>27614</v>
      </c>
      <c r="U2927" s="155">
        <v>0</v>
      </c>
      <c r="V2927" s="113"/>
    </row>
    <row r="2928" spans="2:22" x14ac:dyDescent="0.3">
      <c r="B2928" s="47"/>
      <c r="C2928" s="24"/>
      <c r="D2928" s="312"/>
      <c r="E2928" s="312"/>
      <c r="G2928" s="47"/>
      <c r="H2928" s="24"/>
      <c r="I2928" s="312"/>
      <c r="J2928" s="312"/>
      <c r="L2928" s="47"/>
      <c r="M2928" s="24"/>
      <c r="N2928" s="312"/>
      <c r="O2928" s="312"/>
      <c r="Q2928" s="47"/>
      <c r="R2928" s="136" t="s">
        <v>2177</v>
      </c>
      <c r="S2928" s="24" t="s">
        <v>2341</v>
      </c>
      <c r="T2928" s="155">
        <v>68275</v>
      </c>
      <c r="U2928" s="155">
        <v>0</v>
      </c>
      <c r="V2928" s="113"/>
    </row>
    <row r="2929" spans="2:22" x14ac:dyDescent="0.3">
      <c r="B2929" s="47"/>
      <c r="C2929" s="24"/>
      <c r="D2929" s="312"/>
      <c r="E2929" s="312"/>
      <c r="G2929" s="47"/>
      <c r="H2929" s="24"/>
      <c r="I2929" s="312"/>
      <c r="J2929" s="312"/>
      <c r="L2929" s="47"/>
      <c r="M2929" s="24"/>
      <c r="N2929" s="312"/>
      <c r="O2929" s="312"/>
      <c r="Q2929" s="47"/>
      <c r="R2929" s="136" t="s">
        <v>2183</v>
      </c>
      <c r="S2929" s="24" t="s">
        <v>2182</v>
      </c>
      <c r="T2929" s="155">
        <v>48550</v>
      </c>
      <c r="U2929" s="155">
        <v>0</v>
      </c>
      <c r="V2929" s="113"/>
    </row>
    <row r="2930" spans="2:22" x14ac:dyDescent="0.3">
      <c r="B2930" s="47"/>
      <c r="C2930" s="24"/>
      <c r="D2930" s="312"/>
      <c r="E2930" s="312"/>
      <c r="G2930" s="47"/>
      <c r="H2930" s="24"/>
      <c r="I2930" s="312"/>
      <c r="J2930" s="312"/>
      <c r="L2930" s="47"/>
      <c r="M2930" s="24"/>
      <c r="N2930" s="312"/>
      <c r="O2930" s="312"/>
      <c r="Q2930" s="47"/>
      <c r="R2930" s="136" t="s">
        <v>2185</v>
      </c>
      <c r="S2930" s="24" t="s">
        <v>2184</v>
      </c>
      <c r="T2930" s="155">
        <v>51576</v>
      </c>
      <c r="U2930" s="155">
        <v>0</v>
      </c>
      <c r="V2930" s="113"/>
    </row>
    <row r="2931" spans="2:22" x14ac:dyDescent="0.3">
      <c r="B2931" s="47"/>
      <c r="C2931" s="24"/>
      <c r="D2931" s="312"/>
      <c r="E2931" s="312"/>
      <c r="G2931" s="47"/>
      <c r="H2931" s="24"/>
      <c r="I2931" s="312"/>
      <c r="J2931" s="312"/>
      <c r="L2931" s="47"/>
      <c r="M2931" s="24"/>
      <c r="N2931" s="312"/>
      <c r="O2931" s="312"/>
      <c r="Q2931" s="47"/>
      <c r="R2931" s="136" t="s">
        <v>2187</v>
      </c>
      <c r="S2931" s="24" t="s">
        <v>2186</v>
      </c>
      <c r="T2931" s="155">
        <v>65222</v>
      </c>
      <c r="U2931" s="155">
        <v>0</v>
      </c>
      <c r="V2931" s="113"/>
    </row>
    <row r="2932" spans="2:22" x14ac:dyDescent="0.3">
      <c r="B2932" s="47"/>
      <c r="C2932" s="24"/>
      <c r="D2932" s="312"/>
      <c r="E2932" s="312"/>
      <c r="G2932" s="47"/>
      <c r="H2932" s="24"/>
      <c r="I2932" s="312"/>
      <c r="J2932" s="312"/>
      <c r="L2932" s="47"/>
      <c r="M2932" s="24"/>
      <c r="N2932" s="312"/>
      <c r="O2932" s="312"/>
      <c r="Q2932" s="47"/>
      <c r="R2932" s="136" t="s">
        <v>2342</v>
      </c>
      <c r="S2932" s="24" t="s">
        <v>2188</v>
      </c>
      <c r="T2932" s="155">
        <v>23656</v>
      </c>
      <c r="U2932" s="155">
        <v>0</v>
      </c>
      <c r="V2932" s="113"/>
    </row>
    <row r="2933" spans="2:22" x14ac:dyDescent="0.3">
      <c r="B2933" s="47"/>
      <c r="C2933" s="24"/>
      <c r="D2933" s="312"/>
      <c r="E2933" s="312"/>
      <c r="G2933" s="47"/>
      <c r="H2933" s="24"/>
      <c r="I2933" s="312"/>
      <c r="J2933" s="312"/>
      <c r="L2933" s="47"/>
      <c r="M2933" s="24"/>
      <c r="N2933" s="312"/>
      <c r="O2933" s="312"/>
      <c r="Q2933" s="47"/>
      <c r="R2933" s="136" t="s">
        <v>2190</v>
      </c>
      <c r="S2933" s="24" t="s">
        <v>2189</v>
      </c>
      <c r="T2933" s="155">
        <v>38843</v>
      </c>
      <c r="U2933" s="155">
        <v>0</v>
      </c>
      <c r="V2933" s="113"/>
    </row>
    <row r="2934" spans="2:22" x14ac:dyDescent="0.3">
      <c r="B2934" s="47"/>
      <c r="C2934" s="24"/>
      <c r="D2934" s="312"/>
      <c r="E2934" s="312"/>
      <c r="G2934" s="47"/>
      <c r="H2934" s="24"/>
      <c r="I2934" s="312"/>
      <c r="J2934" s="312"/>
      <c r="L2934" s="47"/>
      <c r="M2934" s="24"/>
      <c r="N2934" s="312"/>
      <c r="O2934" s="312"/>
      <c r="Q2934" s="47"/>
      <c r="R2934" s="136" t="s">
        <v>2192</v>
      </c>
      <c r="S2934" s="24" t="s">
        <v>2191</v>
      </c>
      <c r="T2934" s="155">
        <v>15781</v>
      </c>
      <c r="U2934" s="155">
        <v>0</v>
      </c>
      <c r="V2934" s="113"/>
    </row>
    <row r="2935" spans="2:22" x14ac:dyDescent="0.3">
      <c r="B2935" s="47"/>
      <c r="C2935" s="24"/>
      <c r="D2935" s="312"/>
      <c r="E2935" s="312"/>
      <c r="G2935" s="47"/>
      <c r="H2935" s="24"/>
      <c r="I2935" s="312"/>
      <c r="J2935" s="312"/>
      <c r="L2935" s="47"/>
      <c r="M2935" s="24"/>
      <c r="N2935" s="312"/>
      <c r="O2935" s="312"/>
      <c r="Q2935" s="47"/>
      <c r="R2935" s="136" t="s">
        <v>1896</v>
      </c>
      <c r="S2935" s="24" t="s">
        <v>2193</v>
      </c>
      <c r="T2935" s="155">
        <v>15775</v>
      </c>
      <c r="U2935" s="155">
        <v>0</v>
      </c>
      <c r="V2935" s="113"/>
    </row>
    <row r="2936" spans="2:22" x14ac:dyDescent="0.3">
      <c r="B2936" s="47"/>
      <c r="C2936" s="24"/>
      <c r="D2936" s="312"/>
      <c r="E2936" s="312"/>
      <c r="G2936" s="47"/>
      <c r="H2936" s="24"/>
      <c r="I2936" s="312"/>
      <c r="J2936" s="312"/>
      <c r="L2936" s="47"/>
      <c r="M2936" s="24"/>
      <c r="N2936" s="312"/>
      <c r="O2936" s="312"/>
      <c r="Q2936" s="47"/>
      <c r="R2936" s="136" t="s">
        <v>3291</v>
      </c>
      <c r="S2936" s="24" t="s">
        <v>2171</v>
      </c>
      <c r="T2936" s="155">
        <v>34894</v>
      </c>
      <c r="U2936" s="155">
        <v>0</v>
      </c>
      <c r="V2936" s="113"/>
    </row>
    <row r="2937" spans="2:22" x14ac:dyDescent="0.3">
      <c r="B2937" s="47"/>
      <c r="C2937" s="24"/>
      <c r="D2937" s="312"/>
      <c r="E2937" s="312"/>
      <c r="G2937" s="47"/>
      <c r="H2937" s="24"/>
      <c r="I2937" s="312"/>
      <c r="J2937" s="312"/>
      <c r="L2937" s="47"/>
      <c r="M2937" s="24"/>
      <c r="N2937" s="312"/>
      <c r="O2937" s="312"/>
      <c r="Q2937" s="47"/>
      <c r="R2937" s="136" t="s">
        <v>1898</v>
      </c>
      <c r="S2937" s="24" t="s">
        <v>2218</v>
      </c>
      <c r="T2937" s="155">
        <v>42501</v>
      </c>
      <c r="U2937" s="155">
        <v>0</v>
      </c>
      <c r="V2937" s="113"/>
    </row>
    <row r="2938" spans="2:22" x14ac:dyDescent="0.3">
      <c r="B2938" s="47"/>
      <c r="C2938" s="24"/>
      <c r="D2938" s="312"/>
      <c r="E2938" s="312"/>
      <c r="G2938" s="47"/>
      <c r="H2938" s="24"/>
      <c r="I2938" s="312"/>
      <c r="J2938" s="312"/>
      <c r="L2938" s="47"/>
      <c r="M2938" s="24"/>
      <c r="N2938" s="312"/>
      <c r="O2938" s="312"/>
      <c r="Q2938" s="47"/>
      <c r="R2938" s="136" t="s">
        <v>2219</v>
      </c>
      <c r="S2938" s="24" t="s">
        <v>2220</v>
      </c>
      <c r="T2938" s="155">
        <v>23978</v>
      </c>
      <c r="U2938" s="155">
        <v>0</v>
      </c>
      <c r="V2938" s="113"/>
    </row>
    <row r="2939" spans="2:22" x14ac:dyDescent="0.3">
      <c r="B2939" s="47"/>
      <c r="C2939" s="24"/>
      <c r="D2939" s="312"/>
      <c r="E2939" s="312"/>
      <c r="G2939" s="47"/>
      <c r="H2939" s="24"/>
      <c r="I2939" s="312"/>
      <c r="J2939" s="312"/>
      <c r="L2939" s="47"/>
      <c r="M2939" s="24"/>
      <c r="N2939" s="312"/>
      <c r="O2939" s="312"/>
      <c r="Q2939" s="47"/>
      <c r="R2939" s="136" t="s">
        <v>2221</v>
      </c>
      <c r="S2939" s="24" t="s">
        <v>2222</v>
      </c>
      <c r="T2939" s="155">
        <v>22766</v>
      </c>
      <c r="U2939" s="155">
        <v>0</v>
      </c>
      <c r="V2939" s="113"/>
    </row>
    <row r="2940" spans="2:22" x14ac:dyDescent="0.3">
      <c r="B2940" s="47"/>
      <c r="C2940" s="24"/>
      <c r="D2940" s="312"/>
      <c r="E2940" s="312"/>
      <c r="G2940" s="47"/>
      <c r="H2940" s="24"/>
      <c r="I2940" s="312"/>
      <c r="J2940" s="312"/>
      <c r="L2940" s="47"/>
      <c r="M2940" s="24"/>
      <c r="N2940" s="312"/>
      <c r="O2940" s="312"/>
      <c r="Q2940" s="47"/>
      <c r="R2940" s="136" t="s">
        <v>2223</v>
      </c>
      <c r="S2940" s="24" t="s">
        <v>2224</v>
      </c>
      <c r="T2940" s="155">
        <v>36423</v>
      </c>
      <c r="U2940" s="155">
        <v>0</v>
      </c>
      <c r="V2940" s="113"/>
    </row>
    <row r="2941" spans="2:22" x14ac:dyDescent="0.3">
      <c r="B2941" s="47"/>
      <c r="C2941" s="24"/>
      <c r="D2941" s="312"/>
      <c r="E2941" s="312"/>
      <c r="G2941" s="47"/>
      <c r="H2941" s="24"/>
      <c r="I2941" s="312"/>
      <c r="J2941" s="312"/>
      <c r="L2941" s="47"/>
      <c r="M2941" s="24"/>
      <c r="N2941" s="312"/>
      <c r="O2941" s="312"/>
      <c r="Q2941" s="47"/>
      <c r="R2941" s="136" t="s">
        <v>2226</v>
      </c>
      <c r="S2941" s="24" t="s">
        <v>2227</v>
      </c>
      <c r="T2941" s="155">
        <v>21253</v>
      </c>
      <c r="U2941" s="155">
        <v>0</v>
      </c>
      <c r="V2941" s="113"/>
    </row>
    <row r="2942" spans="2:22" x14ac:dyDescent="0.3">
      <c r="B2942" s="47"/>
      <c r="C2942" s="24"/>
      <c r="D2942" s="312"/>
      <c r="E2942" s="312"/>
      <c r="G2942" s="47"/>
      <c r="H2942" s="24"/>
      <c r="I2942" s="312"/>
      <c r="J2942" s="312"/>
      <c r="L2942" s="47"/>
      <c r="M2942" s="24"/>
      <c r="N2942" s="312"/>
      <c r="O2942" s="312"/>
      <c r="Q2942" s="47"/>
      <c r="R2942" s="136" t="s">
        <v>2228</v>
      </c>
      <c r="S2942" s="24" t="s">
        <v>1990</v>
      </c>
      <c r="T2942" s="155">
        <v>8499</v>
      </c>
      <c r="U2942" s="155">
        <v>0</v>
      </c>
      <c r="V2942" s="113"/>
    </row>
    <row r="2943" spans="2:22" x14ac:dyDescent="0.3">
      <c r="B2943" s="47"/>
      <c r="C2943" s="24"/>
      <c r="D2943" s="312"/>
      <c r="E2943" s="312"/>
      <c r="G2943" s="47"/>
      <c r="H2943" s="24"/>
      <c r="I2943" s="312"/>
      <c r="J2943" s="312"/>
      <c r="L2943" s="47"/>
      <c r="M2943" s="24"/>
      <c r="N2943" s="312"/>
      <c r="O2943" s="312"/>
      <c r="Q2943" s="47"/>
      <c r="R2943" s="136" t="s">
        <v>2229</v>
      </c>
      <c r="S2943" s="24" t="s">
        <v>1987</v>
      </c>
      <c r="T2943" s="155">
        <v>3640</v>
      </c>
      <c r="U2943" s="155">
        <v>0</v>
      </c>
      <c r="V2943" s="113"/>
    </row>
    <row r="2944" spans="2:22" x14ac:dyDescent="0.3">
      <c r="B2944" s="47"/>
      <c r="C2944" s="24"/>
      <c r="D2944" s="312"/>
      <c r="E2944" s="312"/>
      <c r="G2944" s="47"/>
      <c r="H2944" s="24"/>
      <c r="I2944" s="312"/>
      <c r="J2944" s="312"/>
      <c r="L2944" s="47"/>
      <c r="M2944" s="24"/>
      <c r="N2944" s="312"/>
      <c r="O2944" s="312"/>
      <c r="Q2944" s="47"/>
      <c r="R2944" s="136" t="s">
        <v>2230</v>
      </c>
      <c r="S2944" s="24" t="s">
        <v>2231</v>
      </c>
      <c r="T2944" s="155">
        <v>17001</v>
      </c>
      <c r="U2944" s="155">
        <v>0</v>
      </c>
      <c r="V2944" s="113"/>
    </row>
    <row r="2945" spans="2:22" x14ac:dyDescent="0.3">
      <c r="B2945" s="47"/>
      <c r="C2945" s="24"/>
      <c r="D2945" s="312"/>
      <c r="E2945" s="312"/>
      <c r="G2945" s="47"/>
      <c r="H2945" s="24"/>
      <c r="I2945" s="312"/>
      <c r="J2945" s="312"/>
      <c r="L2945" s="47"/>
      <c r="M2945" s="24"/>
      <c r="N2945" s="312"/>
      <c r="O2945" s="312"/>
      <c r="Q2945" s="47"/>
      <c r="R2945" s="136" t="s">
        <v>2232</v>
      </c>
      <c r="S2945" s="24" t="s">
        <v>1988</v>
      </c>
      <c r="T2945" s="155">
        <v>16682</v>
      </c>
      <c r="U2945" s="155">
        <v>0</v>
      </c>
      <c r="V2945" s="113"/>
    </row>
    <row r="2946" spans="2:22" x14ac:dyDescent="0.3">
      <c r="B2946" s="47"/>
      <c r="C2946" s="24"/>
      <c r="D2946" s="312"/>
      <c r="E2946" s="312"/>
      <c r="G2946" s="47"/>
      <c r="H2946" s="24"/>
      <c r="I2946" s="312"/>
      <c r="J2946" s="312"/>
      <c r="L2946" s="47"/>
      <c r="M2946" s="24"/>
      <c r="N2946" s="312"/>
      <c r="O2946" s="312"/>
      <c r="Q2946" s="47"/>
      <c r="R2946" s="136" t="s">
        <v>2233</v>
      </c>
      <c r="S2946" s="24" t="s">
        <v>1989</v>
      </c>
      <c r="T2946" s="155">
        <v>3338</v>
      </c>
      <c r="U2946" s="155">
        <v>0</v>
      </c>
      <c r="V2946" s="113"/>
    </row>
    <row r="2947" spans="2:22" x14ac:dyDescent="0.3">
      <c r="B2947" s="47"/>
      <c r="C2947" s="24"/>
      <c r="D2947" s="312"/>
      <c r="E2947" s="312"/>
      <c r="G2947" s="47"/>
      <c r="H2947" s="24"/>
      <c r="I2947" s="312"/>
      <c r="J2947" s="312"/>
      <c r="L2947" s="47"/>
      <c r="M2947" s="24"/>
      <c r="N2947" s="312"/>
      <c r="O2947" s="312"/>
      <c r="Q2947" s="47"/>
      <c r="R2947" s="136" t="s">
        <v>2234</v>
      </c>
      <c r="S2947" s="24" t="s">
        <v>2235</v>
      </c>
      <c r="T2947" s="155">
        <v>3460</v>
      </c>
      <c r="U2947" s="155">
        <v>0</v>
      </c>
      <c r="V2947" s="113"/>
    </row>
    <row r="2948" spans="2:22" x14ac:dyDescent="0.3">
      <c r="B2948" s="47"/>
      <c r="C2948" s="24"/>
      <c r="D2948" s="312"/>
      <c r="E2948" s="312"/>
      <c r="G2948" s="47"/>
      <c r="H2948" s="24"/>
      <c r="I2948" s="312"/>
      <c r="J2948" s="312"/>
      <c r="L2948" s="47"/>
      <c r="M2948" s="24"/>
      <c r="N2948" s="312"/>
      <c r="O2948" s="312"/>
      <c r="Q2948" s="241">
        <v>80120008</v>
      </c>
      <c r="R2948" s="242"/>
      <c r="S2948" s="243" t="s">
        <v>1132</v>
      </c>
      <c r="T2948" s="239">
        <f>SUM(T2949:T2971)-SUM(U2949:U2971)</f>
        <v>71783</v>
      </c>
      <c r="U2948" s="240">
        <v>0</v>
      </c>
    </row>
    <row r="2949" spans="2:22" x14ac:dyDescent="0.3">
      <c r="B2949" s="47"/>
      <c r="C2949" s="24"/>
      <c r="D2949" s="312"/>
      <c r="E2949" s="312"/>
      <c r="G2949" s="47"/>
      <c r="H2949" s="24"/>
      <c r="I2949" s="312"/>
      <c r="J2949" s="312"/>
      <c r="L2949" s="47"/>
      <c r="M2949" s="24"/>
      <c r="N2949" s="312"/>
      <c r="O2949" s="312"/>
      <c r="Q2949" s="47"/>
      <c r="R2949" s="136" t="s">
        <v>2199</v>
      </c>
      <c r="S2949" s="24" t="s">
        <v>2200</v>
      </c>
      <c r="T2949" s="155">
        <v>1818</v>
      </c>
      <c r="U2949" s="155">
        <v>0</v>
      </c>
    </row>
    <row r="2950" spans="2:22" x14ac:dyDescent="0.3">
      <c r="B2950" s="47"/>
      <c r="C2950" s="24"/>
      <c r="D2950" s="312"/>
      <c r="E2950" s="312"/>
      <c r="G2950" s="47"/>
      <c r="H2950" s="24"/>
      <c r="I2950" s="312"/>
      <c r="J2950" s="312"/>
      <c r="L2950" s="47"/>
      <c r="M2950" s="24"/>
      <c r="N2950" s="312"/>
      <c r="O2950" s="312"/>
      <c r="Q2950" s="47"/>
      <c r="R2950" s="136" t="s">
        <v>2201</v>
      </c>
      <c r="S2950" s="24" t="s">
        <v>2202</v>
      </c>
      <c r="T2950" s="155">
        <v>414</v>
      </c>
      <c r="U2950" s="155">
        <v>0</v>
      </c>
    </row>
    <row r="2951" spans="2:22" x14ac:dyDescent="0.3">
      <c r="B2951" s="47"/>
      <c r="C2951" s="24"/>
      <c r="D2951" s="312"/>
      <c r="E2951" s="312"/>
      <c r="G2951" s="47"/>
      <c r="H2951" s="24"/>
      <c r="I2951" s="312"/>
      <c r="J2951" s="312"/>
      <c r="L2951" s="47"/>
      <c r="M2951" s="24"/>
      <c r="N2951" s="312"/>
      <c r="O2951" s="312"/>
      <c r="Q2951" s="47"/>
      <c r="R2951" s="136" t="s">
        <v>2203</v>
      </c>
      <c r="S2951" s="24" t="s">
        <v>2204</v>
      </c>
      <c r="T2951" s="155">
        <v>3609</v>
      </c>
      <c r="U2951" s="155">
        <v>0</v>
      </c>
    </row>
    <row r="2952" spans="2:22" x14ac:dyDescent="0.3">
      <c r="B2952" s="47"/>
      <c r="C2952" s="24"/>
      <c r="D2952" s="312"/>
      <c r="E2952" s="312"/>
      <c r="G2952" s="47"/>
      <c r="H2952" s="24"/>
      <c r="I2952" s="312"/>
      <c r="J2952" s="312"/>
      <c r="L2952" s="47"/>
      <c r="M2952" s="24"/>
      <c r="N2952" s="312"/>
      <c r="O2952" s="312"/>
      <c r="Q2952" s="47"/>
      <c r="R2952" s="136" t="s">
        <v>2205</v>
      </c>
      <c r="S2952" s="24" t="s">
        <v>2206</v>
      </c>
      <c r="T2952" s="155">
        <v>6642</v>
      </c>
      <c r="U2952" s="155">
        <v>0</v>
      </c>
    </row>
    <row r="2953" spans="2:22" x14ac:dyDescent="0.3">
      <c r="B2953" s="47"/>
      <c r="C2953" s="24"/>
      <c r="D2953" s="312"/>
      <c r="E2953" s="312"/>
      <c r="G2953" s="47"/>
      <c r="H2953" s="24"/>
      <c r="I2953" s="312"/>
      <c r="J2953" s="312"/>
      <c r="L2953" s="47"/>
      <c r="M2953" s="24"/>
      <c r="N2953" s="312"/>
      <c r="O2953" s="312"/>
      <c r="Q2953" s="47"/>
      <c r="R2953" s="136" t="s">
        <v>2340</v>
      </c>
      <c r="S2953" s="24" t="s">
        <v>2159</v>
      </c>
      <c r="T2953" s="155">
        <v>1314</v>
      </c>
      <c r="U2953" s="155">
        <v>0</v>
      </c>
    </row>
    <row r="2954" spans="2:22" x14ac:dyDescent="0.3">
      <c r="B2954" s="47"/>
      <c r="C2954" s="24"/>
      <c r="D2954" s="312"/>
      <c r="E2954" s="312"/>
      <c r="G2954" s="47"/>
      <c r="H2954" s="24"/>
      <c r="I2954" s="312"/>
      <c r="J2954" s="312"/>
      <c r="L2954" s="47"/>
      <c r="M2954" s="24"/>
      <c r="N2954" s="312"/>
      <c r="O2954" s="312"/>
      <c r="Q2954" s="47"/>
      <c r="R2954" s="136" t="s">
        <v>2160</v>
      </c>
      <c r="S2954" s="24" t="s">
        <v>2161</v>
      </c>
      <c r="T2954" s="155">
        <v>413</v>
      </c>
      <c r="U2954" s="155">
        <v>0</v>
      </c>
    </row>
    <row r="2955" spans="2:22" x14ac:dyDescent="0.3">
      <c r="B2955" s="47"/>
      <c r="C2955" s="24"/>
      <c r="D2955" s="312"/>
      <c r="E2955" s="312"/>
      <c r="G2955" s="47"/>
      <c r="H2955" s="24"/>
      <c r="I2955" s="312"/>
      <c r="J2955" s="312"/>
      <c r="L2955" s="47"/>
      <c r="M2955" s="24"/>
      <c r="N2955" s="312"/>
      <c r="O2955" s="312"/>
      <c r="Q2955" s="47"/>
      <c r="R2955" s="136" t="s">
        <v>2162</v>
      </c>
      <c r="S2955" s="24" t="s">
        <v>2163</v>
      </c>
      <c r="T2955" s="155">
        <v>3240</v>
      </c>
      <c r="U2955" s="155">
        <v>0</v>
      </c>
    </row>
    <row r="2956" spans="2:22" x14ac:dyDescent="0.3">
      <c r="B2956" s="47"/>
      <c r="C2956" s="24"/>
      <c r="D2956" s="312"/>
      <c r="E2956" s="312"/>
      <c r="G2956" s="47"/>
      <c r="H2956" s="24"/>
      <c r="I2956" s="312"/>
      <c r="J2956" s="312"/>
      <c r="L2956" s="47"/>
      <c r="M2956" s="24"/>
      <c r="N2956" s="312"/>
      <c r="O2956" s="312"/>
      <c r="Q2956" s="47"/>
      <c r="R2956" s="136" t="s">
        <v>2165</v>
      </c>
      <c r="S2956" s="24" t="s">
        <v>2166</v>
      </c>
      <c r="T2956" s="155">
        <v>1413</v>
      </c>
      <c r="U2956" s="155">
        <v>0</v>
      </c>
    </row>
    <row r="2957" spans="2:22" x14ac:dyDescent="0.3">
      <c r="B2957" s="47"/>
      <c r="C2957" s="24"/>
      <c r="D2957" s="312"/>
      <c r="E2957" s="312"/>
      <c r="G2957" s="47"/>
      <c r="H2957" s="24"/>
      <c r="I2957" s="312"/>
      <c r="J2957" s="312"/>
      <c r="L2957" s="47"/>
      <c r="M2957" s="24"/>
      <c r="N2957" s="312"/>
      <c r="O2957" s="312"/>
      <c r="Q2957" s="47"/>
      <c r="R2957" s="136" t="s">
        <v>2168</v>
      </c>
      <c r="S2957" s="24" t="s">
        <v>2169</v>
      </c>
      <c r="T2957" s="155">
        <v>5058</v>
      </c>
      <c r="U2957" s="155">
        <v>0</v>
      </c>
    </row>
    <row r="2958" spans="2:22" x14ac:dyDescent="0.3">
      <c r="B2958" s="47"/>
      <c r="C2958" s="24"/>
      <c r="D2958" s="312"/>
      <c r="E2958" s="312"/>
      <c r="G2958" s="47"/>
      <c r="H2958" s="24"/>
      <c r="I2958" s="312"/>
      <c r="J2958" s="312"/>
      <c r="L2958" s="47"/>
      <c r="M2958" s="24"/>
      <c r="N2958" s="312"/>
      <c r="O2958" s="312"/>
      <c r="Q2958" s="47"/>
      <c r="R2958" s="136" t="s">
        <v>3313</v>
      </c>
      <c r="S2958" s="24" t="s">
        <v>2211</v>
      </c>
      <c r="T2958" s="155">
        <v>2709</v>
      </c>
      <c r="U2958" s="155">
        <v>0</v>
      </c>
    </row>
    <row r="2959" spans="2:22" x14ac:dyDescent="0.3">
      <c r="B2959" s="47"/>
      <c r="C2959" s="24"/>
      <c r="D2959" s="312"/>
      <c r="E2959" s="312"/>
      <c r="G2959" s="47"/>
      <c r="H2959" s="24"/>
      <c r="I2959" s="312"/>
      <c r="J2959" s="312"/>
      <c r="L2959" s="47"/>
      <c r="M2959" s="24"/>
      <c r="N2959" s="312"/>
      <c r="O2959" s="312"/>
      <c r="Q2959" s="47"/>
      <c r="R2959" s="136" t="s">
        <v>2212</v>
      </c>
      <c r="S2959" s="24" t="s">
        <v>2213</v>
      </c>
      <c r="T2959" s="155">
        <v>4212</v>
      </c>
      <c r="U2959" s="155">
        <v>0</v>
      </c>
    </row>
    <row r="2960" spans="2:22" x14ac:dyDescent="0.3">
      <c r="B2960" s="47"/>
      <c r="C2960" s="24"/>
      <c r="D2960" s="312"/>
      <c r="E2960" s="312"/>
      <c r="G2960" s="47"/>
      <c r="H2960" s="24"/>
      <c r="I2960" s="312"/>
      <c r="J2960" s="312"/>
      <c r="L2960" s="47"/>
      <c r="M2960" s="24"/>
      <c r="N2960" s="312"/>
      <c r="O2960" s="312"/>
      <c r="Q2960" s="47"/>
      <c r="R2960" s="136" t="s">
        <v>1895</v>
      </c>
      <c r="S2960" s="24" t="s">
        <v>2174</v>
      </c>
      <c r="T2960" s="155">
        <v>7542</v>
      </c>
      <c r="U2960" s="155">
        <v>0</v>
      </c>
    </row>
    <row r="2961" spans="2:21" x14ac:dyDescent="0.3">
      <c r="B2961" s="47"/>
      <c r="C2961" s="24"/>
      <c r="D2961" s="312"/>
      <c r="E2961" s="312"/>
      <c r="G2961" s="47"/>
      <c r="H2961" s="24"/>
      <c r="I2961" s="312"/>
      <c r="J2961" s="312"/>
      <c r="L2961" s="47"/>
      <c r="M2961" s="24"/>
      <c r="N2961" s="312"/>
      <c r="O2961" s="312"/>
      <c r="Q2961" s="47"/>
      <c r="R2961" s="136" t="s">
        <v>2177</v>
      </c>
      <c r="S2961" s="24" t="s">
        <v>2341</v>
      </c>
      <c r="T2961" s="155">
        <v>2709</v>
      </c>
      <c r="U2961" s="155">
        <v>0</v>
      </c>
    </row>
    <row r="2962" spans="2:21" x14ac:dyDescent="0.3">
      <c r="B2962" s="47"/>
      <c r="C2962" s="24"/>
      <c r="D2962" s="312"/>
      <c r="E2962" s="312"/>
      <c r="G2962" s="47"/>
      <c r="H2962" s="24"/>
      <c r="I2962" s="312"/>
      <c r="J2962" s="312"/>
      <c r="L2962" s="47"/>
      <c r="M2962" s="24"/>
      <c r="N2962" s="312"/>
      <c r="O2962" s="312"/>
      <c r="Q2962" s="47"/>
      <c r="R2962" s="136" t="s">
        <v>2183</v>
      </c>
      <c r="S2962" s="24" t="s">
        <v>2182</v>
      </c>
      <c r="T2962" s="155">
        <v>2466</v>
      </c>
      <c r="U2962" s="155">
        <v>0</v>
      </c>
    </row>
    <row r="2963" spans="2:21" x14ac:dyDescent="0.3">
      <c r="B2963" s="47"/>
      <c r="C2963" s="24"/>
      <c r="D2963" s="312"/>
      <c r="E2963" s="312"/>
      <c r="G2963" s="47"/>
      <c r="H2963" s="24"/>
      <c r="I2963" s="312"/>
      <c r="J2963" s="312"/>
      <c r="L2963" s="47"/>
      <c r="M2963" s="24"/>
      <c r="N2963" s="312"/>
      <c r="O2963" s="312"/>
      <c r="Q2963" s="47"/>
      <c r="R2963" s="136" t="s">
        <v>2185</v>
      </c>
      <c r="S2963" s="24" t="s">
        <v>2184</v>
      </c>
      <c r="T2963" s="155">
        <v>3438</v>
      </c>
      <c r="U2963" s="155">
        <v>0</v>
      </c>
    </row>
    <row r="2964" spans="2:21" x14ac:dyDescent="0.3">
      <c r="B2964" s="47"/>
      <c r="C2964" s="24"/>
      <c r="D2964" s="312"/>
      <c r="E2964" s="312"/>
      <c r="G2964" s="47"/>
      <c r="H2964" s="24"/>
      <c r="I2964" s="312"/>
      <c r="J2964" s="312"/>
      <c r="L2964" s="47"/>
      <c r="M2964" s="24"/>
      <c r="N2964" s="312"/>
      <c r="O2964" s="312"/>
      <c r="Q2964" s="47"/>
      <c r="R2964" s="136" t="s">
        <v>2190</v>
      </c>
      <c r="S2964" s="24" t="s">
        <v>2189</v>
      </c>
      <c r="T2964" s="155">
        <v>5058</v>
      </c>
      <c r="U2964" s="155">
        <v>0</v>
      </c>
    </row>
    <row r="2965" spans="2:21" x14ac:dyDescent="0.3">
      <c r="B2965" s="47"/>
      <c r="C2965" s="24"/>
      <c r="D2965" s="312"/>
      <c r="E2965" s="312"/>
      <c r="G2965" s="47"/>
      <c r="H2965" s="24"/>
      <c r="I2965" s="312"/>
      <c r="J2965" s="312"/>
      <c r="L2965" s="47"/>
      <c r="M2965" s="24"/>
      <c r="N2965" s="312"/>
      <c r="O2965" s="312"/>
      <c r="Q2965" s="47"/>
      <c r="R2965" s="136" t="s">
        <v>2192</v>
      </c>
      <c r="S2965" s="24" t="s">
        <v>2191</v>
      </c>
      <c r="T2965" s="155">
        <v>6390</v>
      </c>
      <c r="U2965" s="155">
        <v>0</v>
      </c>
    </row>
    <row r="2966" spans="2:21" x14ac:dyDescent="0.3">
      <c r="B2966" s="47"/>
      <c r="C2966" s="24"/>
      <c r="D2966" s="312"/>
      <c r="E2966" s="312"/>
      <c r="G2966" s="47"/>
      <c r="H2966" s="24"/>
      <c r="I2966" s="312"/>
      <c r="J2966" s="312"/>
      <c r="L2966" s="47"/>
      <c r="M2966" s="24"/>
      <c r="N2966" s="312"/>
      <c r="O2966" s="312"/>
      <c r="Q2966" s="47"/>
      <c r="R2966" s="136" t="s">
        <v>1896</v>
      </c>
      <c r="S2966" s="24" t="s">
        <v>2193</v>
      </c>
      <c r="T2966" s="155">
        <v>7335</v>
      </c>
      <c r="U2966" s="155">
        <v>0</v>
      </c>
    </row>
    <row r="2967" spans="2:21" x14ac:dyDescent="0.3">
      <c r="B2967" s="47"/>
      <c r="C2967" s="24"/>
      <c r="D2967" s="312"/>
      <c r="E2967" s="312"/>
      <c r="G2967" s="47"/>
      <c r="H2967" s="24"/>
      <c r="I2967" s="312"/>
      <c r="J2967" s="312"/>
      <c r="L2967" s="47"/>
      <c r="M2967" s="24"/>
      <c r="N2967" s="312"/>
      <c r="O2967" s="312"/>
      <c r="Q2967" s="47"/>
      <c r="R2967" s="136" t="s">
        <v>1898</v>
      </c>
      <c r="S2967" s="24" t="s">
        <v>2218</v>
      </c>
      <c r="T2967" s="155">
        <v>729</v>
      </c>
      <c r="U2967" s="155">
        <v>0</v>
      </c>
    </row>
    <row r="2968" spans="2:21" x14ac:dyDescent="0.3">
      <c r="B2968" s="47"/>
      <c r="C2968" s="24"/>
      <c r="D2968" s="312"/>
      <c r="E2968" s="312"/>
      <c r="G2968" s="47"/>
      <c r="H2968" s="24"/>
      <c r="I2968" s="312"/>
      <c r="J2968" s="312"/>
      <c r="L2968" s="47"/>
      <c r="M2968" s="24"/>
      <c r="N2968" s="312"/>
      <c r="O2968" s="312"/>
      <c r="Q2968" s="47"/>
      <c r="R2968" s="136" t="s">
        <v>2219</v>
      </c>
      <c r="S2968" s="24" t="s">
        <v>2220</v>
      </c>
      <c r="T2968" s="155">
        <v>1035</v>
      </c>
      <c r="U2968" s="155">
        <v>0</v>
      </c>
    </row>
    <row r="2969" spans="2:21" x14ac:dyDescent="0.3">
      <c r="B2969" s="47"/>
      <c r="C2969" s="24"/>
      <c r="D2969" s="312"/>
      <c r="E2969" s="312"/>
      <c r="G2969" s="47"/>
      <c r="H2969" s="24"/>
      <c r="I2969" s="312"/>
      <c r="J2969" s="312"/>
      <c r="L2969" s="47"/>
      <c r="M2969" s="24"/>
      <c r="N2969" s="312"/>
      <c r="O2969" s="312"/>
      <c r="Q2969" s="47"/>
      <c r="R2969" s="136" t="s">
        <v>2221</v>
      </c>
      <c r="S2969" s="24" t="s">
        <v>2222</v>
      </c>
      <c r="T2969" s="155">
        <v>900</v>
      </c>
      <c r="U2969" s="155">
        <v>0</v>
      </c>
    </row>
    <row r="2970" spans="2:21" x14ac:dyDescent="0.3">
      <c r="B2970" s="47"/>
      <c r="C2970" s="24"/>
      <c r="D2970" s="312"/>
      <c r="E2970" s="312"/>
      <c r="G2970" s="47"/>
      <c r="H2970" s="24"/>
      <c r="I2970" s="312"/>
      <c r="J2970" s="312"/>
      <c r="L2970" s="47"/>
      <c r="M2970" s="24"/>
      <c r="N2970" s="312"/>
      <c r="O2970" s="312"/>
      <c r="Q2970" s="47"/>
      <c r="R2970" s="136" t="s">
        <v>2223</v>
      </c>
      <c r="S2970" s="24" t="s">
        <v>2224</v>
      </c>
      <c r="T2970" s="155">
        <v>1719</v>
      </c>
      <c r="U2970" s="155">
        <v>0</v>
      </c>
    </row>
    <row r="2971" spans="2:21" x14ac:dyDescent="0.3">
      <c r="B2971" s="47"/>
      <c r="C2971" s="24"/>
      <c r="D2971" s="312"/>
      <c r="E2971" s="312"/>
      <c r="G2971" s="47"/>
      <c r="H2971" s="24"/>
      <c r="I2971" s="312"/>
      <c r="J2971" s="312"/>
      <c r="L2971" s="47"/>
      <c r="M2971" s="24"/>
      <c r="N2971" s="312"/>
      <c r="O2971" s="312"/>
      <c r="Q2971" s="47"/>
      <c r="R2971" s="136" t="s">
        <v>2226</v>
      </c>
      <c r="S2971" s="24" t="s">
        <v>2227</v>
      </c>
      <c r="T2971" s="155">
        <v>1620</v>
      </c>
      <c r="U2971" s="155">
        <v>0</v>
      </c>
    </row>
    <row r="2972" spans="2:21" x14ac:dyDescent="0.3">
      <c r="B2972" s="47"/>
      <c r="C2972" s="24"/>
      <c r="D2972" s="312"/>
      <c r="E2972" s="312"/>
      <c r="G2972" s="47"/>
      <c r="H2972" s="24"/>
      <c r="I2972" s="312"/>
      <c r="J2972" s="312"/>
      <c r="L2972" s="47"/>
      <c r="M2972" s="24"/>
      <c r="N2972" s="312"/>
      <c r="O2972" s="312"/>
      <c r="Q2972" s="241">
        <v>80120009</v>
      </c>
      <c r="R2972" s="242"/>
      <c r="S2972" s="243" t="s">
        <v>1133</v>
      </c>
      <c r="T2972" s="240">
        <v>0</v>
      </c>
      <c r="U2972" s="240">
        <v>0</v>
      </c>
    </row>
    <row r="2973" spans="2:21" x14ac:dyDescent="0.3">
      <c r="B2973" s="47"/>
      <c r="C2973" s="24"/>
      <c r="D2973" s="312"/>
      <c r="E2973" s="312"/>
      <c r="G2973" s="47"/>
      <c r="H2973" s="24"/>
      <c r="I2973" s="312"/>
      <c r="J2973" s="312"/>
      <c r="L2973" s="47"/>
      <c r="M2973" s="24"/>
      <c r="N2973" s="312"/>
      <c r="O2973" s="312"/>
      <c r="Q2973" s="47"/>
      <c r="R2973" s="136"/>
      <c r="S2973" s="24"/>
      <c r="T2973" s="155"/>
      <c r="U2973" s="155"/>
    </row>
    <row r="2974" spans="2:21" x14ac:dyDescent="0.3">
      <c r="B2974" s="47"/>
      <c r="C2974" s="24"/>
      <c r="D2974" s="312"/>
      <c r="E2974" s="312"/>
      <c r="G2974" s="47"/>
      <c r="H2974" s="24"/>
      <c r="I2974" s="312"/>
      <c r="J2974" s="312"/>
      <c r="K2974">
        <v>8013</v>
      </c>
      <c r="L2974" s="241">
        <v>8013</v>
      </c>
      <c r="M2974" s="243" t="s">
        <v>916</v>
      </c>
      <c r="N2974" s="314">
        <f>T2974+T2975</f>
        <v>0</v>
      </c>
      <c r="O2974" s="314">
        <v>0</v>
      </c>
      <c r="Q2974" s="241">
        <v>80130001</v>
      </c>
      <c r="R2974" s="242"/>
      <c r="S2974" s="243" t="s">
        <v>1136</v>
      </c>
      <c r="T2974" s="240">
        <v>0</v>
      </c>
      <c r="U2974" s="240">
        <v>0</v>
      </c>
    </row>
    <row r="2975" spans="2:21" x14ac:dyDescent="0.3">
      <c r="B2975" s="47"/>
      <c r="C2975" s="24"/>
      <c r="D2975" s="312"/>
      <c r="E2975" s="312"/>
      <c r="G2975" s="47"/>
      <c r="H2975" s="24"/>
      <c r="I2975" s="312"/>
      <c r="J2975" s="312"/>
      <c r="L2975" s="47"/>
      <c r="M2975" s="24"/>
      <c r="N2975" s="312"/>
      <c r="O2975" s="312"/>
      <c r="Q2975" s="241">
        <v>80130002</v>
      </c>
      <c r="R2975" s="242"/>
      <c r="S2975" s="243" t="s">
        <v>1137</v>
      </c>
      <c r="T2975" s="240">
        <v>0</v>
      </c>
      <c r="U2975" s="240">
        <v>0</v>
      </c>
    </row>
    <row r="2976" spans="2:21" x14ac:dyDescent="0.3">
      <c r="B2976" s="47"/>
      <c r="C2976" s="24"/>
      <c r="D2976" s="312"/>
      <c r="E2976" s="312"/>
      <c r="G2976" s="47"/>
      <c r="H2976" s="24"/>
      <c r="I2976" s="312"/>
      <c r="J2976" s="312"/>
      <c r="L2976" s="47"/>
      <c r="M2976" s="24"/>
      <c r="N2976" s="312"/>
      <c r="O2976" s="312"/>
      <c r="Q2976" s="47"/>
      <c r="R2976" s="136"/>
      <c r="S2976" s="24"/>
      <c r="T2976" s="155"/>
      <c r="U2976" s="155"/>
    </row>
    <row r="2977" spans="2:21" x14ac:dyDescent="0.3">
      <c r="B2977" s="47"/>
      <c r="C2977" s="24"/>
      <c r="D2977" s="312"/>
      <c r="E2977" s="312"/>
      <c r="G2977" s="47"/>
      <c r="H2977" s="24"/>
      <c r="I2977" s="312"/>
      <c r="J2977" s="312"/>
      <c r="K2977">
        <v>8015</v>
      </c>
      <c r="L2977" s="241">
        <v>8014</v>
      </c>
      <c r="M2977" s="243" t="s">
        <v>2066</v>
      </c>
      <c r="N2977" s="314">
        <f>T2977</f>
        <v>0</v>
      </c>
      <c r="O2977" s="314">
        <v>0</v>
      </c>
      <c r="P2977" s="12"/>
      <c r="Q2977" s="244">
        <v>80140001</v>
      </c>
      <c r="R2977" s="245"/>
      <c r="S2977" s="246" t="s">
        <v>2067</v>
      </c>
      <c r="T2977" s="247">
        <v>0</v>
      </c>
      <c r="U2977" s="247">
        <v>0</v>
      </c>
    </row>
    <row r="2978" spans="2:21" x14ac:dyDescent="0.3">
      <c r="B2978" s="47"/>
      <c r="C2978" s="24"/>
      <c r="D2978" s="312"/>
      <c r="E2978" s="312"/>
      <c r="G2978" s="47"/>
      <c r="H2978" s="24"/>
      <c r="I2978" s="312"/>
      <c r="J2978" s="312"/>
      <c r="L2978" s="47"/>
      <c r="M2978" s="24"/>
      <c r="N2978" s="312"/>
      <c r="O2978" s="312"/>
      <c r="Q2978" s="47"/>
      <c r="R2978" s="136"/>
      <c r="S2978" s="24"/>
      <c r="T2978" s="155"/>
      <c r="U2978" s="155"/>
    </row>
    <row r="2979" spans="2:21" x14ac:dyDescent="0.3">
      <c r="B2979" s="47"/>
      <c r="C2979" s="24"/>
      <c r="D2979" s="312"/>
      <c r="E2979" s="312"/>
      <c r="G2979" s="47"/>
      <c r="H2979" s="24"/>
      <c r="I2979" s="312"/>
      <c r="J2979" s="312"/>
      <c r="K2979">
        <v>8015</v>
      </c>
      <c r="L2979" s="241">
        <v>8015</v>
      </c>
      <c r="M2979" s="243" t="s">
        <v>918</v>
      </c>
      <c r="N2979" s="314">
        <f>T2979+T3014+T3055+T3100+T3139+T3141+T3142+T3143+T3144+T3145</f>
        <v>34540418</v>
      </c>
      <c r="O2979" s="314">
        <v>0</v>
      </c>
      <c r="Q2979" s="241">
        <v>80150001</v>
      </c>
      <c r="R2979" s="242"/>
      <c r="S2979" s="243" t="s">
        <v>2082</v>
      </c>
      <c r="T2979" s="239">
        <f>SUM(T2980:T3013)-SUM(U2980:U3013)</f>
        <v>11323193</v>
      </c>
      <c r="U2979" s="240">
        <v>0</v>
      </c>
    </row>
    <row r="2980" spans="2:21" x14ac:dyDescent="0.3">
      <c r="B2980" s="47"/>
      <c r="C2980" s="24"/>
      <c r="D2980" s="312"/>
      <c r="E2980" s="312"/>
      <c r="G2980" s="47"/>
      <c r="H2980" s="24"/>
      <c r="I2980" s="312"/>
      <c r="J2980" s="312"/>
      <c r="L2980" s="47"/>
      <c r="M2980" s="24"/>
      <c r="N2980" s="312"/>
      <c r="O2980" s="312"/>
      <c r="Q2980" s="47"/>
      <c r="R2980" s="136" t="s">
        <v>1931</v>
      </c>
      <c r="S2980" s="24" t="s">
        <v>1932</v>
      </c>
      <c r="T2980" s="155">
        <v>392337</v>
      </c>
      <c r="U2980" s="155">
        <v>0</v>
      </c>
    </row>
    <row r="2981" spans="2:21" x14ac:dyDescent="0.3">
      <c r="B2981" s="47"/>
      <c r="C2981" s="24"/>
      <c r="D2981" s="312"/>
      <c r="E2981" s="312"/>
      <c r="G2981" s="47"/>
      <c r="H2981" s="24"/>
      <c r="I2981" s="312"/>
      <c r="J2981" s="312"/>
      <c r="L2981" s="47"/>
      <c r="M2981" s="24"/>
      <c r="N2981" s="312"/>
      <c r="O2981" s="312"/>
      <c r="Q2981" s="47"/>
      <c r="R2981" s="136" t="s">
        <v>2156</v>
      </c>
      <c r="S2981" s="24" t="s">
        <v>2157</v>
      </c>
      <c r="T2981" s="155">
        <v>64881</v>
      </c>
      <c r="U2981" s="155">
        <v>0</v>
      </c>
    </row>
    <row r="2982" spans="2:21" x14ac:dyDescent="0.3">
      <c r="B2982" s="47"/>
      <c r="C2982" s="24"/>
      <c r="D2982" s="312"/>
      <c r="E2982" s="312"/>
      <c r="G2982" s="47"/>
      <c r="H2982" s="24"/>
      <c r="I2982" s="312"/>
      <c r="J2982" s="312"/>
      <c r="L2982" s="47"/>
      <c r="M2982" s="24"/>
      <c r="N2982" s="312"/>
      <c r="O2982" s="312"/>
      <c r="Q2982" s="47"/>
      <c r="R2982" s="136" t="s">
        <v>2199</v>
      </c>
      <c r="S2982" s="24" t="s">
        <v>2200</v>
      </c>
      <c r="T2982" s="155">
        <v>104526</v>
      </c>
      <c r="U2982" s="155">
        <v>0</v>
      </c>
    </row>
    <row r="2983" spans="2:21" x14ac:dyDescent="0.3">
      <c r="B2983" s="47"/>
      <c r="C2983" s="24"/>
      <c r="D2983" s="312"/>
      <c r="E2983" s="312"/>
      <c r="G2983" s="47"/>
      <c r="H2983" s="24"/>
      <c r="I2983" s="312"/>
      <c r="J2983" s="312"/>
      <c r="L2983" s="47"/>
      <c r="M2983" s="24"/>
      <c r="N2983" s="312"/>
      <c r="O2983" s="312"/>
      <c r="Q2983" s="47"/>
      <c r="R2983" s="136" t="s">
        <v>2201</v>
      </c>
      <c r="S2983" s="24" t="s">
        <v>2202</v>
      </c>
      <c r="T2983" s="155">
        <v>162315</v>
      </c>
      <c r="U2983" s="155">
        <v>0</v>
      </c>
    </row>
    <row r="2984" spans="2:21" x14ac:dyDescent="0.3">
      <c r="B2984" s="47"/>
      <c r="C2984" s="24"/>
      <c r="D2984" s="312"/>
      <c r="E2984" s="312"/>
      <c r="G2984" s="47"/>
      <c r="H2984" s="24"/>
      <c r="I2984" s="312"/>
      <c r="J2984" s="312"/>
      <c r="L2984" s="47"/>
      <c r="M2984" s="24"/>
      <c r="N2984" s="312"/>
      <c r="O2984" s="312"/>
      <c r="Q2984" s="47"/>
      <c r="R2984" s="136" t="s">
        <v>2203</v>
      </c>
      <c r="S2984" s="24" t="s">
        <v>2204</v>
      </c>
      <c r="T2984" s="155">
        <v>47845</v>
      </c>
      <c r="U2984" s="155">
        <v>0</v>
      </c>
    </row>
    <row r="2985" spans="2:21" x14ac:dyDescent="0.3">
      <c r="B2985" s="47"/>
      <c r="C2985" s="24"/>
      <c r="D2985" s="312"/>
      <c r="E2985" s="312"/>
      <c r="G2985" s="47"/>
      <c r="H2985" s="24"/>
      <c r="I2985" s="312"/>
      <c r="J2985" s="312"/>
      <c r="L2985" s="47"/>
      <c r="M2985" s="24"/>
      <c r="N2985" s="312"/>
      <c r="O2985" s="312"/>
      <c r="Q2985" s="47"/>
      <c r="R2985" s="136" t="s">
        <v>2205</v>
      </c>
      <c r="S2985" s="24" t="s">
        <v>2206</v>
      </c>
      <c r="T2985" s="155">
        <v>135873</v>
      </c>
      <c r="U2985" s="155">
        <v>0</v>
      </c>
    </row>
    <row r="2986" spans="2:21" x14ac:dyDescent="0.3">
      <c r="B2986" s="47"/>
      <c r="C2986" s="24"/>
      <c r="D2986" s="312"/>
      <c r="E2986" s="312"/>
      <c r="G2986" s="47"/>
      <c r="H2986" s="24"/>
      <c r="I2986" s="312"/>
      <c r="J2986" s="312"/>
      <c r="L2986" s="47"/>
      <c r="M2986" s="24"/>
      <c r="N2986" s="312"/>
      <c r="O2986" s="312"/>
      <c r="Q2986" s="47"/>
      <c r="R2986" s="136" t="s">
        <v>2207</v>
      </c>
      <c r="S2986" s="24" t="s">
        <v>2208</v>
      </c>
      <c r="T2986" s="155">
        <v>1329957</v>
      </c>
      <c r="U2986" s="155">
        <v>0</v>
      </c>
    </row>
    <row r="2987" spans="2:21" x14ac:dyDescent="0.3">
      <c r="B2987" s="47"/>
      <c r="C2987" s="24"/>
      <c r="D2987" s="312"/>
      <c r="E2987" s="312"/>
      <c r="G2987" s="47"/>
      <c r="H2987" s="24"/>
      <c r="I2987" s="312"/>
      <c r="J2987" s="312"/>
      <c r="L2987" s="47"/>
      <c r="M2987" s="24"/>
      <c r="N2987" s="312"/>
      <c r="O2987" s="312"/>
      <c r="Q2987" s="47"/>
      <c r="R2987" s="136" t="s">
        <v>2209</v>
      </c>
      <c r="S2987" s="24" t="s">
        <v>2210</v>
      </c>
      <c r="T2987" s="155">
        <v>780651</v>
      </c>
      <c r="U2987" s="155">
        <v>0</v>
      </c>
    </row>
    <row r="2988" spans="2:21" x14ac:dyDescent="0.3">
      <c r="B2988" s="47"/>
      <c r="C2988" s="24"/>
      <c r="D2988" s="312"/>
      <c r="E2988" s="312"/>
      <c r="G2988" s="47"/>
      <c r="H2988" s="24"/>
      <c r="I2988" s="312"/>
      <c r="J2988" s="312"/>
      <c r="L2988" s="47"/>
      <c r="M2988" s="24"/>
      <c r="N2988" s="312"/>
      <c r="O2988" s="312"/>
      <c r="Q2988" s="47"/>
      <c r="R2988" s="136" t="s">
        <v>2340</v>
      </c>
      <c r="S2988" s="24" t="s">
        <v>2159</v>
      </c>
      <c r="T2988" s="155">
        <v>1325646</v>
      </c>
      <c r="U2988" s="155">
        <v>0</v>
      </c>
    </row>
    <row r="2989" spans="2:21" x14ac:dyDescent="0.3">
      <c r="B2989" s="47"/>
      <c r="C2989" s="24"/>
      <c r="D2989" s="312"/>
      <c r="E2989" s="312"/>
      <c r="G2989" s="47"/>
      <c r="H2989" s="24"/>
      <c r="I2989" s="312"/>
      <c r="J2989" s="312"/>
      <c r="L2989" s="47"/>
      <c r="M2989" s="24"/>
      <c r="N2989" s="312"/>
      <c r="O2989" s="312"/>
      <c r="Q2989" s="47"/>
      <c r="R2989" s="136" t="s">
        <v>2160</v>
      </c>
      <c r="S2989" s="24" t="s">
        <v>2161</v>
      </c>
      <c r="T2989" s="155">
        <v>349848</v>
      </c>
      <c r="U2989" s="155">
        <v>0</v>
      </c>
    </row>
    <row r="2990" spans="2:21" x14ac:dyDescent="0.3">
      <c r="B2990" s="47"/>
      <c r="C2990" s="24"/>
      <c r="D2990" s="312"/>
      <c r="E2990" s="312"/>
      <c r="G2990" s="47"/>
      <c r="H2990" s="24"/>
      <c r="I2990" s="312"/>
      <c r="J2990" s="312"/>
      <c r="L2990" s="47"/>
      <c r="M2990" s="24"/>
      <c r="N2990" s="312"/>
      <c r="O2990" s="312"/>
      <c r="Q2990" s="47"/>
      <c r="R2990" s="136" t="s">
        <v>2162</v>
      </c>
      <c r="S2990" s="24" t="s">
        <v>2163</v>
      </c>
      <c r="T2990" s="155">
        <v>154287</v>
      </c>
      <c r="U2990" s="155">
        <v>0</v>
      </c>
    </row>
    <row r="2991" spans="2:21" x14ac:dyDescent="0.3">
      <c r="B2991" s="47"/>
      <c r="C2991" s="24"/>
      <c r="D2991" s="312"/>
      <c r="E2991" s="312"/>
      <c r="G2991" s="47"/>
      <c r="H2991" s="24"/>
      <c r="I2991" s="312"/>
      <c r="J2991" s="312"/>
      <c r="L2991" s="47"/>
      <c r="M2991" s="24"/>
      <c r="N2991" s="312"/>
      <c r="O2991" s="312"/>
      <c r="Q2991" s="47"/>
      <c r="R2991" s="136" t="s">
        <v>2165</v>
      </c>
      <c r="S2991" s="24" t="s">
        <v>2166</v>
      </c>
      <c r="T2991" s="155">
        <v>275148</v>
      </c>
      <c r="U2991" s="155">
        <v>0</v>
      </c>
    </row>
    <row r="2992" spans="2:21" x14ac:dyDescent="0.3">
      <c r="B2992" s="47"/>
      <c r="C2992" s="24"/>
      <c r="D2992" s="312"/>
      <c r="E2992" s="312"/>
      <c r="G2992" s="47"/>
      <c r="H2992" s="24"/>
      <c r="I2992" s="312"/>
      <c r="J2992" s="312"/>
      <c r="L2992" s="47"/>
      <c r="M2992" s="24"/>
      <c r="N2992" s="312"/>
      <c r="O2992" s="312"/>
      <c r="Q2992" s="47"/>
      <c r="R2992" s="136" t="s">
        <v>2168</v>
      </c>
      <c r="S2992" s="24" t="s">
        <v>2169</v>
      </c>
      <c r="T2992" s="155">
        <v>233197</v>
      </c>
      <c r="U2992" s="155">
        <v>0</v>
      </c>
    </row>
    <row r="2993" spans="2:21" x14ac:dyDescent="0.3">
      <c r="B2993" s="47"/>
      <c r="C2993" s="24"/>
      <c r="D2993" s="312"/>
      <c r="E2993" s="312"/>
      <c r="G2993" s="47"/>
      <c r="H2993" s="24"/>
      <c r="I2993" s="312"/>
      <c r="J2993" s="312"/>
      <c r="L2993" s="47"/>
      <c r="M2993" s="24"/>
      <c r="N2993" s="312"/>
      <c r="O2993" s="312"/>
      <c r="Q2993" s="47"/>
      <c r="R2993" s="136" t="s">
        <v>2168</v>
      </c>
      <c r="S2993" s="24" t="s">
        <v>2169</v>
      </c>
      <c r="T2993" s="155">
        <v>116598</v>
      </c>
      <c r="U2993" s="155">
        <v>0</v>
      </c>
    </row>
    <row r="2994" spans="2:21" x14ac:dyDescent="0.3">
      <c r="B2994" s="47"/>
      <c r="C2994" s="24"/>
      <c r="D2994" s="312"/>
      <c r="E2994" s="312"/>
      <c r="G2994" s="47"/>
      <c r="H2994" s="24"/>
      <c r="I2994" s="312"/>
      <c r="J2994" s="312"/>
      <c r="L2994" s="47"/>
      <c r="M2994" s="24"/>
      <c r="N2994" s="312"/>
      <c r="O2994" s="312"/>
      <c r="Q2994" s="47"/>
      <c r="R2994" s="136" t="s">
        <v>3313</v>
      </c>
      <c r="S2994" s="24" t="s">
        <v>2211</v>
      </c>
      <c r="T2994" s="155">
        <v>386631</v>
      </c>
      <c r="U2994" s="155">
        <v>0</v>
      </c>
    </row>
    <row r="2995" spans="2:21" x14ac:dyDescent="0.3">
      <c r="B2995" s="47"/>
      <c r="C2995" s="24"/>
      <c r="D2995" s="312"/>
      <c r="E2995" s="312"/>
      <c r="G2995" s="47"/>
      <c r="H2995" s="24"/>
      <c r="I2995" s="312"/>
      <c r="J2995" s="312"/>
      <c r="L2995" s="47"/>
      <c r="M2995" s="24"/>
      <c r="N2995" s="312"/>
      <c r="O2995" s="312"/>
      <c r="Q2995" s="47"/>
      <c r="R2995" s="136" t="s">
        <v>2212</v>
      </c>
      <c r="S2995" s="24" t="s">
        <v>2213</v>
      </c>
      <c r="T2995" s="155">
        <v>188883</v>
      </c>
      <c r="U2995" s="155">
        <v>0</v>
      </c>
    </row>
    <row r="2996" spans="2:21" x14ac:dyDescent="0.3">
      <c r="B2996" s="47"/>
      <c r="C2996" s="24"/>
      <c r="D2996" s="312"/>
      <c r="E2996" s="312"/>
      <c r="G2996" s="47"/>
      <c r="H2996" s="24"/>
      <c r="I2996" s="312"/>
      <c r="J2996" s="312"/>
      <c r="L2996" s="47"/>
      <c r="M2996" s="24"/>
      <c r="N2996" s="312"/>
      <c r="O2996" s="312"/>
      <c r="Q2996" s="47"/>
      <c r="R2996" s="136" t="s">
        <v>2214</v>
      </c>
      <c r="S2996" s="24" t="s">
        <v>2215</v>
      </c>
      <c r="T2996" s="155">
        <v>1363439</v>
      </c>
      <c r="U2996" s="155">
        <v>0</v>
      </c>
    </row>
    <row r="2997" spans="2:21" x14ac:dyDescent="0.3">
      <c r="B2997" s="47"/>
      <c r="C2997" s="24"/>
      <c r="D2997" s="312"/>
      <c r="E2997" s="312"/>
      <c r="G2997" s="47"/>
      <c r="H2997" s="24"/>
      <c r="I2997" s="312"/>
      <c r="J2997" s="312"/>
      <c r="L2997" s="47"/>
      <c r="M2997" s="24"/>
      <c r="N2997" s="312"/>
      <c r="O2997" s="312"/>
      <c r="Q2997" s="47"/>
      <c r="R2997" s="136" t="s">
        <v>1985</v>
      </c>
      <c r="S2997" s="24" t="s">
        <v>2197</v>
      </c>
      <c r="T2997" s="155">
        <v>22824</v>
      </c>
      <c r="U2997" s="155">
        <v>0</v>
      </c>
    </row>
    <row r="2998" spans="2:21" x14ac:dyDescent="0.3">
      <c r="B2998" s="47"/>
      <c r="C2998" s="24"/>
      <c r="D2998" s="312"/>
      <c r="E2998" s="312"/>
      <c r="G2998" s="47"/>
      <c r="H2998" s="24"/>
      <c r="I2998" s="312"/>
      <c r="J2998" s="312"/>
      <c r="L2998" s="47"/>
      <c r="M2998" s="24"/>
      <c r="N2998" s="312"/>
      <c r="O2998" s="312"/>
      <c r="Q2998" s="47"/>
      <c r="R2998" s="136" t="s">
        <v>1895</v>
      </c>
      <c r="S2998" s="24" t="s">
        <v>2174</v>
      </c>
      <c r="T2998" s="155">
        <v>290342</v>
      </c>
      <c r="U2998" s="155">
        <v>0</v>
      </c>
    </row>
    <row r="2999" spans="2:21" x14ac:dyDescent="0.3">
      <c r="B2999" s="47"/>
      <c r="C2999" s="24"/>
      <c r="D2999" s="312"/>
      <c r="E2999" s="312"/>
      <c r="G2999" s="47"/>
      <c r="H2999" s="24"/>
      <c r="I2999" s="312"/>
      <c r="J2999" s="312"/>
      <c r="L2999" s="47"/>
      <c r="M2999" s="24"/>
      <c r="N2999" s="312"/>
      <c r="O2999" s="312"/>
      <c r="Q2999" s="47"/>
      <c r="R2999" s="136" t="s">
        <v>2177</v>
      </c>
      <c r="S2999" s="24" t="s">
        <v>2341</v>
      </c>
      <c r="T2999" s="155">
        <v>335196</v>
      </c>
      <c r="U2999" s="155">
        <v>0</v>
      </c>
    </row>
    <row r="3000" spans="2:21" x14ac:dyDescent="0.3">
      <c r="B3000" s="47"/>
      <c r="C3000" s="24"/>
      <c r="D3000" s="312"/>
      <c r="E3000" s="312"/>
      <c r="G3000" s="47"/>
      <c r="H3000" s="24"/>
      <c r="I3000" s="312"/>
      <c r="J3000" s="312"/>
      <c r="L3000" s="47"/>
      <c r="M3000" s="24"/>
      <c r="N3000" s="312"/>
      <c r="O3000" s="312"/>
      <c r="Q3000" s="47"/>
      <c r="R3000" s="136" t="s">
        <v>2183</v>
      </c>
      <c r="S3000" s="24" t="s">
        <v>2182</v>
      </c>
      <c r="T3000" s="155">
        <v>311319</v>
      </c>
      <c r="U3000" s="155">
        <v>0</v>
      </c>
    </row>
    <row r="3001" spans="2:21" x14ac:dyDescent="0.3">
      <c r="B3001" s="47"/>
      <c r="C3001" s="24"/>
      <c r="D3001" s="312"/>
      <c r="E3001" s="312"/>
      <c r="G3001" s="47"/>
      <c r="H3001" s="24"/>
      <c r="I3001" s="312"/>
      <c r="J3001" s="312"/>
      <c r="L3001" s="47"/>
      <c r="M3001" s="24"/>
      <c r="N3001" s="312"/>
      <c r="O3001" s="312"/>
      <c r="Q3001" s="47"/>
      <c r="R3001" s="136" t="s">
        <v>2185</v>
      </c>
      <c r="S3001" s="24" t="s">
        <v>2184</v>
      </c>
      <c r="T3001" s="155">
        <v>260595</v>
      </c>
      <c r="U3001" s="155">
        <v>0</v>
      </c>
    </row>
    <row r="3002" spans="2:21" x14ac:dyDescent="0.3">
      <c r="B3002" s="47"/>
      <c r="C3002" s="24"/>
      <c r="D3002" s="312"/>
      <c r="E3002" s="312"/>
      <c r="G3002" s="47"/>
      <c r="H3002" s="24"/>
      <c r="I3002" s="312"/>
      <c r="J3002" s="312"/>
      <c r="L3002" s="47"/>
      <c r="M3002" s="24"/>
      <c r="N3002" s="312"/>
      <c r="O3002" s="312"/>
      <c r="Q3002" s="47"/>
      <c r="R3002" s="136" t="s">
        <v>2187</v>
      </c>
      <c r="S3002" s="24" t="s">
        <v>2186</v>
      </c>
      <c r="T3002" s="155">
        <v>1337751</v>
      </c>
      <c r="U3002" s="155">
        <v>0</v>
      </c>
    </row>
    <row r="3003" spans="2:21" x14ac:dyDescent="0.3">
      <c r="B3003" s="47"/>
      <c r="C3003" s="24"/>
      <c r="D3003" s="312"/>
      <c r="E3003" s="312"/>
      <c r="G3003" s="47"/>
      <c r="H3003" s="24"/>
      <c r="I3003" s="312"/>
      <c r="J3003" s="312"/>
      <c r="L3003" s="47"/>
      <c r="M3003" s="24"/>
      <c r="N3003" s="312"/>
      <c r="O3003" s="312"/>
      <c r="Q3003" s="47"/>
      <c r="R3003" s="136" t="s">
        <v>2342</v>
      </c>
      <c r="S3003" s="24" t="s">
        <v>2188</v>
      </c>
      <c r="T3003" s="155">
        <v>107094</v>
      </c>
      <c r="U3003" s="155">
        <v>0</v>
      </c>
    </row>
    <row r="3004" spans="2:21" x14ac:dyDescent="0.3">
      <c r="B3004" s="47"/>
      <c r="C3004" s="24"/>
      <c r="D3004" s="312"/>
      <c r="E3004" s="312"/>
      <c r="G3004" s="47"/>
      <c r="H3004" s="24"/>
      <c r="I3004" s="312"/>
      <c r="J3004" s="312"/>
      <c r="L3004" s="47"/>
      <c r="M3004" s="24"/>
      <c r="N3004" s="312"/>
      <c r="O3004" s="312"/>
      <c r="Q3004" s="47"/>
      <c r="R3004" s="136" t="s">
        <v>2342</v>
      </c>
      <c r="S3004" s="24" t="s">
        <v>2188</v>
      </c>
      <c r="T3004" s="155">
        <v>53547</v>
      </c>
      <c r="U3004" s="155">
        <v>0</v>
      </c>
    </row>
    <row r="3005" spans="2:21" x14ac:dyDescent="0.3">
      <c r="B3005" s="47"/>
      <c r="C3005" s="24"/>
      <c r="D3005" s="312"/>
      <c r="E3005" s="312"/>
      <c r="G3005" s="47"/>
      <c r="H3005" s="24"/>
      <c r="I3005" s="312"/>
      <c r="J3005" s="312"/>
      <c r="L3005" s="47"/>
      <c r="M3005" s="24"/>
      <c r="N3005" s="312"/>
      <c r="O3005" s="312"/>
      <c r="Q3005" s="47"/>
      <c r="R3005" s="136" t="s">
        <v>2190</v>
      </c>
      <c r="S3005" s="24" t="s">
        <v>2189</v>
      </c>
      <c r="T3005" s="155">
        <v>227727</v>
      </c>
      <c r="U3005" s="155">
        <v>0</v>
      </c>
    </row>
    <row r="3006" spans="2:21" x14ac:dyDescent="0.3">
      <c r="B3006" s="47"/>
      <c r="C3006" s="24"/>
      <c r="D3006" s="312"/>
      <c r="E3006" s="312"/>
      <c r="G3006" s="47"/>
      <c r="H3006" s="24"/>
      <c r="I3006" s="312"/>
      <c r="J3006" s="312"/>
      <c r="L3006" s="47"/>
      <c r="M3006" s="24"/>
      <c r="N3006" s="312"/>
      <c r="O3006" s="312"/>
      <c r="Q3006" s="47"/>
      <c r="R3006" s="136" t="s">
        <v>2192</v>
      </c>
      <c r="S3006" s="24" t="s">
        <v>2191</v>
      </c>
      <c r="T3006" s="155">
        <v>151812</v>
      </c>
      <c r="U3006" s="155">
        <v>0</v>
      </c>
    </row>
    <row r="3007" spans="2:21" x14ac:dyDescent="0.3">
      <c r="B3007" s="47"/>
      <c r="C3007" s="24"/>
      <c r="D3007" s="312"/>
      <c r="E3007" s="312"/>
      <c r="G3007" s="47"/>
      <c r="H3007" s="24"/>
      <c r="I3007" s="312"/>
      <c r="J3007" s="312"/>
      <c r="L3007" s="47"/>
      <c r="M3007" s="24"/>
      <c r="N3007" s="312"/>
      <c r="O3007" s="312"/>
      <c r="Q3007" s="47"/>
      <c r="R3007" s="136" t="s">
        <v>1896</v>
      </c>
      <c r="S3007" s="24" t="s">
        <v>2193</v>
      </c>
      <c r="T3007" s="155">
        <v>273321</v>
      </c>
      <c r="U3007" s="155">
        <v>0</v>
      </c>
    </row>
    <row r="3008" spans="2:21" x14ac:dyDescent="0.3">
      <c r="B3008" s="47"/>
      <c r="C3008" s="24"/>
      <c r="D3008" s="312"/>
      <c r="E3008" s="312"/>
      <c r="G3008" s="47"/>
      <c r="H3008" s="24"/>
      <c r="I3008" s="312"/>
      <c r="J3008" s="312"/>
      <c r="L3008" s="47"/>
      <c r="M3008" s="24"/>
      <c r="N3008" s="312"/>
      <c r="O3008" s="312"/>
      <c r="Q3008" s="47"/>
      <c r="R3008" s="136" t="s">
        <v>3291</v>
      </c>
      <c r="S3008" s="24" t="s">
        <v>2171</v>
      </c>
      <c r="T3008" s="155">
        <v>163206</v>
      </c>
      <c r="U3008" s="155">
        <v>0</v>
      </c>
    </row>
    <row r="3009" spans="2:21" x14ac:dyDescent="0.3">
      <c r="B3009" s="47"/>
      <c r="C3009" s="24"/>
      <c r="D3009" s="312"/>
      <c r="E3009" s="312"/>
      <c r="G3009" s="47"/>
      <c r="H3009" s="24"/>
      <c r="I3009" s="312"/>
      <c r="J3009" s="312"/>
      <c r="L3009" s="47"/>
      <c r="M3009" s="24"/>
      <c r="N3009" s="312"/>
      <c r="O3009" s="312"/>
      <c r="Q3009" s="47"/>
      <c r="R3009" s="136" t="s">
        <v>1898</v>
      </c>
      <c r="S3009" s="24" t="s">
        <v>2218</v>
      </c>
      <c r="T3009" s="155">
        <v>125324</v>
      </c>
      <c r="U3009" s="155">
        <v>0</v>
      </c>
    </row>
    <row r="3010" spans="2:21" x14ac:dyDescent="0.3">
      <c r="B3010" s="47"/>
      <c r="C3010" s="24"/>
      <c r="D3010" s="312"/>
      <c r="E3010" s="312"/>
      <c r="G3010" s="47"/>
      <c r="H3010" s="24"/>
      <c r="I3010" s="312"/>
      <c r="J3010" s="312"/>
      <c r="L3010" s="47"/>
      <c r="M3010" s="24"/>
      <c r="N3010" s="312"/>
      <c r="O3010" s="312"/>
      <c r="Q3010" s="47"/>
      <c r="R3010" s="136" t="s">
        <v>2219</v>
      </c>
      <c r="S3010" s="24" t="s">
        <v>2220</v>
      </c>
      <c r="T3010" s="155">
        <v>106425</v>
      </c>
      <c r="U3010" s="155">
        <v>0</v>
      </c>
    </row>
    <row r="3011" spans="2:21" x14ac:dyDescent="0.3">
      <c r="B3011" s="47"/>
      <c r="C3011" s="24"/>
      <c r="D3011" s="312"/>
      <c r="E3011" s="312"/>
      <c r="G3011" s="47"/>
      <c r="H3011" s="24"/>
      <c r="I3011" s="312"/>
      <c r="J3011" s="312"/>
      <c r="L3011" s="47"/>
      <c r="M3011" s="24"/>
      <c r="N3011" s="312"/>
      <c r="O3011" s="312"/>
      <c r="Q3011" s="47"/>
      <c r="R3011" s="136" t="s">
        <v>2221</v>
      </c>
      <c r="S3011" s="24" t="s">
        <v>2222</v>
      </c>
      <c r="T3011" s="155">
        <v>59598</v>
      </c>
      <c r="U3011" s="155">
        <v>0</v>
      </c>
    </row>
    <row r="3012" spans="2:21" x14ac:dyDescent="0.3">
      <c r="B3012" s="47"/>
      <c r="C3012" s="24"/>
      <c r="D3012" s="312"/>
      <c r="E3012" s="312"/>
      <c r="G3012" s="47"/>
      <c r="H3012" s="24"/>
      <c r="I3012" s="312"/>
      <c r="J3012" s="312"/>
      <c r="L3012" s="47"/>
      <c r="M3012" s="24"/>
      <c r="N3012" s="312"/>
      <c r="O3012" s="312"/>
      <c r="Q3012" s="47"/>
      <c r="R3012" s="136" t="s">
        <v>2223</v>
      </c>
      <c r="S3012" s="24" t="s">
        <v>2224</v>
      </c>
      <c r="T3012" s="155">
        <v>35757</v>
      </c>
      <c r="U3012" s="155">
        <v>0</v>
      </c>
    </row>
    <row r="3013" spans="2:21" x14ac:dyDescent="0.3">
      <c r="B3013" s="47"/>
      <c r="C3013" s="24"/>
      <c r="D3013" s="312"/>
      <c r="E3013" s="312"/>
      <c r="G3013" s="47"/>
      <c r="H3013" s="24"/>
      <c r="I3013" s="312"/>
      <c r="J3013" s="312"/>
      <c r="L3013" s="47"/>
      <c r="M3013" s="24"/>
      <c r="N3013" s="312"/>
      <c r="O3013" s="312"/>
      <c r="Q3013" s="47"/>
      <c r="R3013" s="136" t="s">
        <v>2226</v>
      </c>
      <c r="S3013" s="24" t="s">
        <v>2227</v>
      </c>
      <c r="T3013" s="155">
        <v>49293</v>
      </c>
      <c r="U3013" s="155">
        <v>0</v>
      </c>
    </row>
    <row r="3014" spans="2:21" x14ac:dyDescent="0.3">
      <c r="B3014" s="47"/>
      <c r="C3014" s="24"/>
      <c r="D3014" s="312"/>
      <c r="E3014" s="312"/>
      <c r="G3014" s="47"/>
      <c r="H3014" s="24"/>
      <c r="I3014" s="312"/>
      <c r="J3014" s="312"/>
      <c r="L3014" s="47"/>
      <c r="M3014" s="24"/>
      <c r="N3014" s="312"/>
      <c r="O3014" s="312"/>
      <c r="Q3014" s="241">
        <v>80150002</v>
      </c>
      <c r="R3014" s="242"/>
      <c r="S3014" s="243" t="s">
        <v>2083</v>
      </c>
      <c r="T3014" s="239">
        <f>SUM(T3015:T3054)-SUM(U3015:U3054)</f>
        <v>19519689</v>
      </c>
      <c r="U3014" s="240">
        <v>0</v>
      </c>
    </row>
    <row r="3015" spans="2:21" x14ac:dyDescent="0.3">
      <c r="B3015" s="47"/>
      <c r="C3015" s="24"/>
      <c r="D3015" s="312"/>
      <c r="E3015" s="312"/>
      <c r="G3015" s="47"/>
      <c r="H3015" s="24"/>
      <c r="I3015" s="312"/>
      <c r="J3015" s="312"/>
      <c r="L3015" s="47"/>
      <c r="M3015" s="24"/>
      <c r="N3015" s="312"/>
      <c r="O3015" s="312"/>
      <c r="Q3015" s="47"/>
      <c r="R3015" s="136" t="s">
        <v>1931</v>
      </c>
      <c r="S3015" s="24" t="s">
        <v>1932</v>
      </c>
      <c r="T3015" s="155">
        <v>113292</v>
      </c>
      <c r="U3015" s="155">
        <v>0</v>
      </c>
    </row>
    <row r="3016" spans="2:21" x14ac:dyDescent="0.3">
      <c r="B3016" s="47"/>
      <c r="C3016" s="24"/>
      <c r="D3016" s="312"/>
      <c r="E3016" s="312"/>
      <c r="G3016" s="47"/>
      <c r="H3016" s="24"/>
      <c r="I3016" s="312"/>
      <c r="J3016" s="312"/>
      <c r="L3016" s="47"/>
      <c r="M3016" s="24"/>
      <c r="N3016" s="312"/>
      <c r="O3016" s="312"/>
      <c r="Q3016" s="47"/>
      <c r="R3016" s="136" t="s">
        <v>1933</v>
      </c>
      <c r="S3016" s="24" t="s">
        <v>2195</v>
      </c>
      <c r="T3016" s="155">
        <v>3575</v>
      </c>
      <c r="U3016" s="155">
        <v>0</v>
      </c>
    </row>
    <row r="3017" spans="2:21" x14ac:dyDescent="0.3">
      <c r="B3017" s="47"/>
      <c r="C3017" s="24"/>
      <c r="D3017" s="312"/>
      <c r="E3017" s="312"/>
      <c r="G3017" s="47"/>
      <c r="H3017" s="24"/>
      <c r="I3017" s="312"/>
      <c r="J3017" s="312"/>
      <c r="L3017" s="47"/>
      <c r="M3017" s="24"/>
      <c r="N3017" s="312"/>
      <c r="O3017" s="312"/>
      <c r="Q3017" s="47"/>
      <c r="R3017" s="136" t="s">
        <v>1934</v>
      </c>
      <c r="S3017" s="24" t="s">
        <v>2196</v>
      </c>
      <c r="T3017" s="155">
        <v>975</v>
      </c>
      <c r="U3017" s="155">
        <v>0</v>
      </c>
    </row>
    <row r="3018" spans="2:21" x14ac:dyDescent="0.3">
      <c r="B3018" s="47"/>
      <c r="C3018" s="24"/>
      <c r="D3018" s="312"/>
      <c r="E3018" s="312"/>
      <c r="G3018" s="47"/>
      <c r="H3018" s="24"/>
      <c r="I3018" s="312"/>
      <c r="J3018" s="312"/>
      <c r="L3018" s="47"/>
      <c r="M3018" s="24"/>
      <c r="N3018" s="312"/>
      <c r="O3018" s="312"/>
      <c r="Q3018" s="47"/>
      <c r="R3018" s="136" t="s">
        <v>2154</v>
      </c>
      <c r="S3018" s="24" t="s">
        <v>2155</v>
      </c>
      <c r="T3018" s="155">
        <v>1962</v>
      </c>
      <c r="U3018" s="155">
        <v>0</v>
      </c>
    </row>
    <row r="3019" spans="2:21" x14ac:dyDescent="0.3">
      <c r="B3019" s="47"/>
      <c r="C3019" s="24"/>
      <c r="D3019" s="312"/>
      <c r="E3019" s="312"/>
      <c r="G3019" s="47"/>
      <c r="H3019" s="24"/>
      <c r="I3019" s="312"/>
      <c r="J3019" s="312"/>
      <c r="L3019" s="47"/>
      <c r="M3019" s="24"/>
      <c r="N3019" s="312"/>
      <c r="O3019" s="312"/>
      <c r="Q3019" s="47"/>
      <c r="R3019" s="136" t="s">
        <v>2156</v>
      </c>
      <c r="S3019" s="24" t="s">
        <v>2157</v>
      </c>
      <c r="T3019" s="155">
        <v>762230</v>
      </c>
      <c r="U3019" s="155">
        <v>0</v>
      </c>
    </row>
    <row r="3020" spans="2:21" x14ac:dyDescent="0.3">
      <c r="B3020" s="47"/>
      <c r="C3020" s="24"/>
      <c r="D3020" s="312"/>
      <c r="E3020" s="312"/>
      <c r="G3020" s="47"/>
      <c r="H3020" s="24"/>
      <c r="I3020" s="312"/>
      <c r="J3020" s="312"/>
      <c r="L3020" s="47"/>
      <c r="M3020" s="24"/>
      <c r="N3020" s="312"/>
      <c r="O3020" s="312"/>
      <c r="Q3020" s="47"/>
      <c r="R3020" s="136" t="s">
        <v>2199</v>
      </c>
      <c r="S3020" s="24" t="s">
        <v>2200</v>
      </c>
      <c r="T3020" s="155">
        <v>418437</v>
      </c>
      <c r="U3020" s="155">
        <v>0</v>
      </c>
    </row>
    <row r="3021" spans="2:21" x14ac:dyDescent="0.3">
      <c r="B3021" s="47"/>
      <c r="C3021" s="24"/>
      <c r="D3021" s="312"/>
      <c r="E3021" s="312"/>
      <c r="G3021" s="47"/>
      <c r="H3021" s="24"/>
      <c r="I3021" s="312"/>
      <c r="J3021" s="312"/>
      <c r="L3021" s="47"/>
      <c r="M3021" s="24"/>
      <c r="N3021" s="312"/>
      <c r="O3021" s="312"/>
      <c r="Q3021" s="47"/>
      <c r="R3021" s="136" t="s">
        <v>2201</v>
      </c>
      <c r="S3021" s="24" t="s">
        <v>2202</v>
      </c>
      <c r="T3021" s="155">
        <v>238968</v>
      </c>
      <c r="U3021" s="155">
        <v>0</v>
      </c>
    </row>
    <row r="3022" spans="2:21" x14ac:dyDescent="0.3">
      <c r="B3022" s="47"/>
      <c r="C3022" s="24"/>
      <c r="D3022" s="312"/>
      <c r="E3022" s="312"/>
      <c r="G3022" s="47"/>
      <c r="H3022" s="24"/>
      <c r="I3022" s="312"/>
      <c r="J3022" s="312"/>
      <c r="L3022" s="47"/>
      <c r="M3022" s="24"/>
      <c r="N3022" s="312"/>
      <c r="O3022" s="312"/>
      <c r="Q3022" s="47"/>
      <c r="R3022" s="136" t="s">
        <v>2203</v>
      </c>
      <c r="S3022" s="24" t="s">
        <v>2204</v>
      </c>
      <c r="T3022" s="155">
        <v>106494</v>
      </c>
      <c r="U3022" s="155">
        <v>0</v>
      </c>
    </row>
    <row r="3023" spans="2:21" x14ac:dyDescent="0.3">
      <c r="B3023" s="47"/>
      <c r="C3023" s="24"/>
      <c r="D3023" s="312"/>
      <c r="E3023" s="312"/>
      <c r="G3023" s="47"/>
      <c r="H3023" s="24"/>
      <c r="I3023" s="312"/>
      <c r="J3023" s="312"/>
      <c r="L3023" s="47"/>
      <c r="M3023" s="24"/>
      <c r="N3023" s="312"/>
      <c r="O3023" s="312"/>
      <c r="Q3023" s="47"/>
      <c r="R3023" s="136" t="s">
        <v>2205</v>
      </c>
      <c r="S3023" s="24" t="s">
        <v>2206</v>
      </c>
      <c r="T3023" s="155">
        <v>266391</v>
      </c>
      <c r="U3023" s="155">
        <v>0</v>
      </c>
    </row>
    <row r="3024" spans="2:21" x14ac:dyDescent="0.3">
      <c r="B3024" s="47"/>
      <c r="C3024" s="24"/>
      <c r="D3024" s="312"/>
      <c r="E3024" s="312"/>
      <c r="G3024" s="47"/>
      <c r="H3024" s="24"/>
      <c r="I3024" s="312"/>
      <c r="J3024" s="312"/>
      <c r="L3024" s="47"/>
      <c r="M3024" s="24"/>
      <c r="N3024" s="312"/>
      <c r="O3024" s="312"/>
      <c r="Q3024" s="47"/>
      <c r="R3024" s="136" t="s">
        <v>2207</v>
      </c>
      <c r="S3024" s="24" t="s">
        <v>2208</v>
      </c>
      <c r="T3024" s="155">
        <v>2489391</v>
      </c>
      <c r="U3024" s="155">
        <v>0</v>
      </c>
    </row>
    <row r="3025" spans="2:21" x14ac:dyDescent="0.3">
      <c r="B3025" s="47"/>
      <c r="C3025" s="24"/>
      <c r="D3025" s="312"/>
      <c r="E3025" s="312"/>
      <c r="G3025" s="47"/>
      <c r="H3025" s="24"/>
      <c r="I3025" s="312"/>
      <c r="J3025" s="312"/>
      <c r="L3025" s="47"/>
      <c r="M3025" s="24"/>
      <c r="N3025" s="312"/>
      <c r="O3025" s="312"/>
      <c r="Q3025" s="47"/>
      <c r="R3025" s="136" t="s">
        <v>2209</v>
      </c>
      <c r="S3025" s="24" t="s">
        <v>2210</v>
      </c>
      <c r="T3025" s="155">
        <v>1979019</v>
      </c>
      <c r="U3025" s="155">
        <v>0</v>
      </c>
    </row>
    <row r="3026" spans="2:21" x14ac:dyDescent="0.3">
      <c r="B3026" s="47"/>
      <c r="C3026" s="24"/>
      <c r="D3026" s="312"/>
      <c r="E3026" s="312"/>
      <c r="G3026" s="47"/>
      <c r="H3026" s="24"/>
      <c r="I3026" s="312"/>
      <c r="J3026" s="312"/>
      <c r="L3026" s="47"/>
      <c r="M3026" s="24"/>
      <c r="N3026" s="312"/>
      <c r="O3026" s="312"/>
      <c r="Q3026" s="47"/>
      <c r="R3026" s="136" t="s">
        <v>2340</v>
      </c>
      <c r="S3026" s="24" t="s">
        <v>2159</v>
      </c>
      <c r="T3026" s="155">
        <v>1247373</v>
      </c>
      <c r="U3026" s="155">
        <v>0</v>
      </c>
    </row>
    <row r="3027" spans="2:21" x14ac:dyDescent="0.3">
      <c r="B3027" s="47"/>
      <c r="C3027" s="24"/>
      <c r="D3027" s="312"/>
      <c r="E3027" s="312"/>
      <c r="G3027" s="47"/>
      <c r="H3027" s="24"/>
      <c r="I3027" s="312"/>
      <c r="J3027" s="312"/>
      <c r="L3027" s="47"/>
      <c r="M3027" s="24"/>
      <c r="N3027" s="312"/>
      <c r="O3027" s="312"/>
      <c r="Q3027" s="47"/>
      <c r="R3027" s="136" t="s">
        <v>2160</v>
      </c>
      <c r="S3027" s="24" t="s">
        <v>2161</v>
      </c>
      <c r="T3027" s="155">
        <v>534960</v>
      </c>
      <c r="U3027" s="155">
        <v>0</v>
      </c>
    </row>
    <row r="3028" spans="2:21" x14ac:dyDescent="0.3">
      <c r="B3028" s="47"/>
      <c r="C3028" s="24"/>
      <c r="D3028" s="312"/>
      <c r="E3028" s="312"/>
      <c r="G3028" s="47"/>
      <c r="H3028" s="24"/>
      <c r="I3028" s="312"/>
      <c r="J3028" s="312"/>
      <c r="L3028" s="47"/>
      <c r="M3028" s="24"/>
      <c r="N3028" s="312"/>
      <c r="O3028" s="312"/>
      <c r="Q3028" s="47"/>
      <c r="R3028" s="136" t="s">
        <v>2162</v>
      </c>
      <c r="S3028" s="24" t="s">
        <v>2163</v>
      </c>
      <c r="T3028" s="155">
        <v>364491</v>
      </c>
      <c r="U3028" s="155">
        <v>0</v>
      </c>
    </row>
    <row r="3029" spans="2:21" x14ac:dyDescent="0.3">
      <c r="B3029" s="47"/>
      <c r="C3029" s="24"/>
      <c r="D3029" s="312"/>
      <c r="E3029" s="312"/>
      <c r="G3029" s="47"/>
      <c r="H3029" s="24"/>
      <c r="I3029" s="312"/>
      <c r="J3029" s="312"/>
      <c r="L3029" s="47"/>
      <c r="M3029" s="24"/>
      <c r="N3029" s="312"/>
      <c r="O3029" s="312"/>
      <c r="Q3029" s="47"/>
      <c r="R3029" s="136" t="s">
        <v>2165</v>
      </c>
      <c r="S3029" s="24" t="s">
        <v>2166</v>
      </c>
      <c r="T3029" s="155">
        <v>338400</v>
      </c>
      <c r="U3029" s="155">
        <v>0</v>
      </c>
    </row>
    <row r="3030" spans="2:21" x14ac:dyDescent="0.3">
      <c r="B3030" s="47"/>
      <c r="C3030" s="24"/>
      <c r="D3030" s="312"/>
      <c r="E3030" s="312"/>
      <c r="G3030" s="47"/>
      <c r="H3030" s="24"/>
      <c r="I3030" s="312"/>
      <c r="J3030" s="312"/>
      <c r="L3030" s="47"/>
      <c r="M3030" s="24"/>
      <c r="N3030" s="312"/>
      <c r="O3030" s="312"/>
      <c r="Q3030" s="47"/>
      <c r="R3030" s="136" t="s">
        <v>2168</v>
      </c>
      <c r="S3030" s="24" t="s">
        <v>2169</v>
      </c>
      <c r="T3030" s="155">
        <v>17898</v>
      </c>
      <c r="U3030" s="155">
        <v>0</v>
      </c>
    </row>
    <row r="3031" spans="2:21" x14ac:dyDescent="0.3">
      <c r="B3031" s="47"/>
      <c r="C3031" s="24"/>
      <c r="D3031" s="312"/>
      <c r="E3031" s="312"/>
      <c r="G3031" s="47"/>
      <c r="H3031" s="24"/>
      <c r="I3031" s="312"/>
      <c r="J3031" s="312"/>
      <c r="L3031" s="47"/>
      <c r="M3031" s="24"/>
      <c r="N3031" s="312"/>
      <c r="O3031" s="312"/>
      <c r="Q3031" s="47"/>
      <c r="R3031" s="136" t="s">
        <v>2168</v>
      </c>
      <c r="S3031" s="24" t="s">
        <v>2169</v>
      </c>
      <c r="T3031" s="155">
        <v>393</v>
      </c>
      <c r="U3031" s="155">
        <v>0</v>
      </c>
    </row>
    <row r="3032" spans="2:21" x14ac:dyDescent="0.3">
      <c r="B3032" s="47"/>
      <c r="C3032" s="24"/>
      <c r="D3032" s="312"/>
      <c r="E3032" s="312"/>
      <c r="G3032" s="47"/>
      <c r="H3032" s="24"/>
      <c r="I3032" s="312"/>
      <c r="J3032" s="312"/>
      <c r="L3032" s="47"/>
      <c r="M3032" s="24"/>
      <c r="N3032" s="312"/>
      <c r="O3032" s="312"/>
      <c r="Q3032" s="47"/>
      <c r="R3032" s="136" t="s">
        <v>3313</v>
      </c>
      <c r="S3032" s="24" t="s">
        <v>2211</v>
      </c>
      <c r="T3032" s="155">
        <v>1171899</v>
      </c>
      <c r="U3032" s="155">
        <v>0</v>
      </c>
    </row>
    <row r="3033" spans="2:21" x14ac:dyDescent="0.3">
      <c r="B3033" s="47"/>
      <c r="C3033" s="24"/>
      <c r="D3033" s="312"/>
      <c r="E3033" s="312"/>
      <c r="G3033" s="47"/>
      <c r="H3033" s="24"/>
      <c r="I3033" s="312"/>
      <c r="J3033" s="312"/>
      <c r="L3033" s="47"/>
      <c r="M3033" s="24"/>
      <c r="N3033" s="312"/>
      <c r="O3033" s="312"/>
      <c r="Q3033" s="47"/>
      <c r="R3033" s="136" t="s">
        <v>2212</v>
      </c>
      <c r="S3033" s="24" t="s">
        <v>2213</v>
      </c>
      <c r="T3033" s="155">
        <v>759528</v>
      </c>
      <c r="U3033" s="155">
        <v>0</v>
      </c>
    </row>
    <row r="3034" spans="2:21" x14ac:dyDescent="0.3">
      <c r="B3034" s="47"/>
      <c r="C3034" s="24"/>
      <c r="D3034" s="312"/>
      <c r="E3034" s="312"/>
      <c r="G3034" s="47"/>
      <c r="H3034" s="24"/>
      <c r="I3034" s="312"/>
      <c r="J3034" s="312"/>
      <c r="L3034" s="47"/>
      <c r="M3034" s="24"/>
      <c r="N3034" s="312"/>
      <c r="O3034" s="312"/>
      <c r="Q3034" s="47"/>
      <c r="R3034" s="136" t="s">
        <v>2214</v>
      </c>
      <c r="S3034" s="24" t="s">
        <v>2215</v>
      </c>
      <c r="T3034" s="155">
        <v>1780578</v>
      </c>
      <c r="U3034" s="155">
        <v>0</v>
      </c>
    </row>
    <row r="3035" spans="2:21" x14ac:dyDescent="0.3">
      <c r="B3035" s="47"/>
      <c r="C3035" s="24"/>
      <c r="D3035" s="312"/>
      <c r="E3035" s="312"/>
      <c r="G3035" s="47"/>
      <c r="H3035" s="24"/>
      <c r="I3035" s="312"/>
      <c r="J3035" s="312"/>
      <c r="L3035" s="47"/>
      <c r="M3035" s="24"/>
      <c r="N3035" s="312"/>
      <c r="O3035" s="312"/>
      <c r="Q3035" s="47"/>
      <c r="R3035" s="136" t="s">
        <v>1985</v>
      </c>
      <c r="S3035" s="24" t="s">
        <v>2197</v>
      </c>
      <c r="T3035" s="155">
        <v>138</v>
      </c>
      <c r="U3035" s="155">
        <v>0</v>
      </c>
    </row>
    <row r="3036" spans="2:21" x14ac:dyDescent="0.3">
      <c r="B3036" s="47"/>
      <c r="C3036" s="24"/>
      <c r="D3036" s="312"/>
      <c r="E3036" s="312"/>
      <c r="G3036" s="47"/>
      <c r="H3036" s="24"/>
      <c r="I3036" s="312"/>
      <c r="J3036" s="312"/>
      <c r="L3036" s="47"/>
      <c r="M3036" s="24"/>
      <c r="N3036" s="312"/>
      <c r="O3036" s="312"/>
      <c r="Q3036" s="47"/>
      <c r="R3036" s="136" t="s">
        <v>1895</v>
      </c>
      <c r="S3036" s="24" t="s">
        <v>2174</v>
      </c>
      <c r="T3036" s="155">
        <v>306711</v>
      </c>
      <c r="U3036" s="155">
        <v>0</v>
      </c>
    </row>
    <row r="3037" spans="2:21" x14ac:dyDescent="0.3">
      <c r="B3037" s="47"/>
      <c r="C3037" s="24"/>
      <c r="D3037" s="312"/>
      <c r="E3037" s="312"/>
      <c r="G3037" s="47"/>
      <c r="H3037" s="24"/>
      <c r="I3037" s="312"/>
      <c r="J3037" s="312"/>
      <c r="L3037" s="47"/>
      <c r="M3037" s="24"/>
      <c r="N3037" s="312"/>
      <c r="O3037" s="312"/>
      <c r="Q3037" s="47"/>
      <c r="R3037" s="136" t="s">
        <v>2177</v>
      </c>
      <c r="S3037" s="24" t="s">
        <v>2341</v>
      </c>
      <c r="T3037" s="155">
        <v>630999</v>
      </c>
      <c r="U3037" s="155">
        <v>0</v>
      </c>
    </row>
    <row r="3038" spans="2:21" x14ac:dyDescent="0.3">
      <c r="B3038" s="47"/>
      <c r="C3038" s="24"/>
      <c r="D3038" s="312"/>
      <c r="E3038" s="312"/>
      <c r="G3038" s="47"/>
      <c r="H3038" s="24"/>
      <c r="I3038" s="312"/>
      <c r="J3038" s="312"/>
      <c r="L3038" s="47"/>
      <c r="M3038" s="24"/>
      <c r="N3038" s="312"/>
      <c r="O3038" s="312"/>
      <c r="Q3038" s="47"/>
      <c r="R3038" s="136" t="s">
        <v>2183</v>
      </c>
      <c r="S3038" s="24" t="s">
        <v>2182</v>
      </c>
      <c r="T3038" s="155">
        <v>231654</v>
      </c>
      <c r="U3038" s="155">
        <v>0</v>
      </c>
    </row>
    <row r="3039" spans="2:21" x14ac:dyDescent="0.3">
      <c r="B3039" s="47"/>
      <c r="C3039" s="24"/>
      <c r="D3039" s="312"/>
      <c r="E3039" s="312"/>
      <c r="G3039" s="47"/>
      <c r="H3039" s="24"/>
      <c r="I3039" s="312"/>
      <c r="J3039" s="312"/>
      <c r="L3039" s="47"/>
      <c r="M3039" s="24"/>
      <c r="N3039" s="312"/>
      <c r="O3039" s="312"/>
      <c r="Q3039" s="47"/>
      <c r="R3039" s="136" t="s">
        <v>2185</v>
      </c>
      <c r="S3039" s="24" t="s">
        <v>2184</v>
      </c>
      <c r="T3039" s="155">
        <v>355059</v>
      </c>
      <c r="U3039" s="155">
        <v>0</v>
      </c>
    </row>
    <row r="3040" spans="2:21" x14ac:dyDescent="0.3">
      <c r="B3040" s="47"/>
      <c r="C3040" s="24"/>
      <c r="D3040" s="312"/>
      <c r="E3040" s="312"/>
      <c r="G3040" s="47"/>
      <c r="H3040" s="24"/>
      <c r="I3040" s="312"/>
      <c r="J3040" s="312"/>
      <c r="L3040" s="47"/>
      <c r="M3040" s="24"/>
      <c r="N3040" s="312"/>
      <c r="O3040" s="312"/>
      <c r="Q3040" s="47"/>
      <c r="R3040" s="136" t="s">
        <v>2187</v>
      </c>
      <c r="S3040" s="24" t="s">
        <v>2186</v>
      </c>
      <c r="T3040" s="155">
        <v>1881225</v>
      </c>
      <c r="U3040" s="155">
        <v>0</v>
      </c>
    </row>
    <row r="3041" spans="2:21" x14ac:dyDescent="0.3">
      <c r="B3041" s="47"/>
      <c r="C3041" s="24"/>
      <c r="D3041" s="312"/>
      <c r="E3041" s="312"/>
      <c r="G3041" s="47"/>
      <c r="H3041" s="24"/>
      <c r="I3041" s="312"/>
      <c r="J3041" s="312"/>
      <c r="L3041" s="47"/>
      <c r="M3041" s="24"/>
      <c r="N3041" s="312"/>
      <c r="O3041" s="312"/>
      <c r="Q3041" s="47"/>
      <c r="R3041" s="136" t="s">
        <v>2342</v>
      </c>
      <c r="S3041" s="24" t="s">
        <v>2188</v>
      </c>
      <c r="T3041" s="155">
        <v>631338</v>
      </c>
      <c r="U3041" s="155">
        <v>0</v>
      </c>
    </row>
    <row r="3042" spans="2:21" x14ac:dyDescent="0.3">
      <c r="B3042" s="47"/>
      <c r="C3042" s="24"/>
      <c r="D3042" s="312"/>
      <c r="E3042" s="312"/>
      <c r="G3042" s="47"/>
      <c r="H3042" s="24"/>
      <c r="I3042" s="312"/>
      <c r="J3042" s="312"/>
      <c r="L3042" s="47"/>
      <c r="M3042" s="24"/>
      <c r="N3042" s="312"/>
      <c r="O3042" s="312"/>
      <c r="Q3042" s="47"/>
      <c r="R3042" s="136" t="s">
        <v>2342</v>
      </c>
      <c r="S3042" s="24" t="s">
        <v>2188</v>
      </c>
      <c r="T3042" s="155">
        <v>315669</v>
      </c>
      <c r="U3042" s="155">
        <v>0</v>
      </c>
    </row>
    <row r="3043" spans="2:21" x14ac:dyDescent="0.3">
      <c r="B3043" s="47"/>
      <c r="C3043" s="24"/>
      <c r="D3043" s="312"/>
      <c r="E3043" s="312"/>
      <c r="G3043" s="47"/>
      <c r="H3043" s="24"/>
      <c r="I3043" s="312"/>
      <c r="J3043" s="312"/>
      <c r="L3043" s="47"/>
      <c r="M3043" s="24"/>
      <c r="N3043" s="312"/>
      <c r="O3043" s="312"/>
      <c r="Q3043" s="47"/>
      <c r="R3043" s="136" t="s">
        <v>2190</v>
      </c>
      <c r="S3043" s="24" t="s">
        <v>2189</v>
      </c>
      <c r="T3043" s="155">
        <v>1055979</v>
      </c>
      <c r="U3043" s="155">
        <v>0</v>
      </c>
    </row>
    <row r="3044" spans="2:21" x14ac:dyDescent="0.3">
      <c r="B3044" s="47"/>
      <c r="C3044" s="24"/>
      <c r="D3044" s="312"/>
      <c r="E3044" s="312"/>
      <c r="G3044" s="47"/>
      <c r="H3044" s="24"/>
      <c r="I3044" s="312"/>
      <c r="J3044" s="312"/>
      <c r="L3044" s="47"/>
      <c r="M3044" s="24"/>
      <c r="N3044" s="312"/>
      <c r="O3044" s="312"/>
      <c r="Q3044" s="47"/>
      <c r="R3044" s="136" t="s">
        <v>2192</v>
      </c>
      <c r="S3044" s="24" t="s">
        <v>2191</v>
      </c>
      <c r="T3044" s="155">
        <v>136575</v>
      </c>
      <c r="U3044" s="155">
        <v>0</v>
      </c>
    </row>
    <row r="3045" spans="2:21" x14ac:dyDescent="0.3">
      <c r="B3045" s="47"/>
      <c r="C3045" s="24"/>
      <c r="D3045" s="312"/>
      <c r="E3045" s="312"/>
      <c r="G3045" s="47"/>
      <c r="H3045" s="24"/>
      <c r="I3045" s="312"/>
      <c r="J3045" s="312"/>
      <c r="L3045" s="47"/>
      <c r="M3045" s="24"/>
      <c r="N3045" s="312"/>
      <c r="O3045" s="312"/>
      <c r="Q3045" s="47"/>
      <c r="R3045" s="136" t="s">
        <v>1896</v>
      </c>
      <c r="S3045" s="24" t="s">
        <v>2193</v>
      </c>
      <c r="T3045" s="155">
        <v>271737</v>
      </c>
      <c r="U3045" s="155">
        <v>0</v>
      </c>
    </row>
    <row r="3046" spans="2:21" x14ac:dyDescent="0.3">
      <c r="B3046" s="47"/>
      <c r="C3046" s="24"/>
      <c r="D3046" s="312"/>
      <c r="E3046" s="312"/>
      <c r="G3046" s="47"/>
      <c r="H3046" s="24"/>
      <c r="I3046" s="312"/>
      <c r="J3046" s="312"/>
      <c r="L3046" s="47"/>
      <c r="M3046" s="24"/>
      <c r="N3046" s="312"/>
      <c r="O3046" s="312"/>
      <c r="Q3046" s="47"/>
      <c r="R3046" s="136" t="s">
        <v>3291</v>
      </c>
      <c r="S3046" s="24" t="s">
        <v>2171</v>
      </c>
      <c r="T3046" s="155">
        <v>399690</v>
      </c>
      <c r="U3046" s="155">
        <v>0</v>
      </c>
    </row>
    <row r="3047" spans="2:21" x14ac:dyDescent="0.3">
      <c r="B3047" s="47"/>
      <c r="C3047" s="24"/>
      <c r="D3047" s="312"/>
      <c r="E3047" s="312"/>
      <c r="G3047" s="47"/>
      <c r="H3047" s="24"/>
      <c r="I3047" s="312"/>
      <c r="J3047" s="312"/>
      <c r="L3047" s="47"/>
      <c r="M3047" s="24"/>
      <c r="N3047" s="312"/>
      <c r="O3047" s="312"/>
      <c r="Q3047" s="47"/>
      <c r="R3047" s="136" t="s">
        <v>1898</v>
      </c>
      <c r="S3047" s="24" t="s">
        <v>2218</v>
      </c>
      <c r="T3047" s="155">
        <v>3006</v>
      </c>
      <c r="U3047" s="155">
        <v>0</v>
      </c>
    </row>
    <row r="3048" spans="2:21" x14ac:dyDescent="0.3">
      <c r="B3048" s="47"/>
      <c r="C3048" s="24"/>
      <c r="D3048" s="312"/>
      <c r="E3048" s="312"/>
      <c r="G3048" s="47"/>
      <c r="H3048" s="24"/>
      <c r="I3048" s="312"/>
      <c r="J3048" s="312"/>
      <c r="L3048" s="47"/>
      <c r="M3048" s="24"/>
      <c r="N3048" s="312"/>
      <c r="O3048" s="312"/>
      <c r="Q3048" s="47"/>
      <c r="R3048" s="136" t="s">
        <v>2219</v>
      </c>
      <c r="S3048" s="24" t="s">
        <v>2220</v>
      </c>
      <c r="T3048" s="155">
        <v>218403</v>
      </c>
      <c r="U3048" s="155">
        <v>0</v>
      </c>
    </row>
    <row r="3049" spans="2:21" x14ac:dyDescent="0.3">
      <c r="B3049" s="47"/>
      <c r="C3049" s="24"/>
      <c r="D3049" s="312"/>
      <c r="E3049" s="312"/>
      <c r="G3049" s="47"/>
      <c r="H3049" s="24"/>
      <c r="I3049" s="312"/>
      <c r="J3049" s="312"/>
      <c r="L3049" s="47"/>
      <c r="M3049" s="24"/>
      <c r="N3049" s="312"/>
      <c r="O3049" s="312"/>
      <c r="Q3049" s="47"/>
      <c r="R3049" s="136" t="s">
        <v>2221</v>
      </c>
      <c r="S3049" s="24" t="s">
        <v>2222</v>
      </c>
      <c r="T3049" s="155">
        <v>164295</v>
      </c>
      <c r="U3049" s="155">
        <v>0</v>
      </c>
    </row>
    <row r="3050" spans="2:21" x14ac:dyDescent="0.3">
      <c r="B3050" s="47"/>
      <c r="C3050" s="24"/>
      <c r="D3050" s="312"/>
      <c r="E3050" s="312"/>
      <c r="G3050" s="47"/>
      <c r="H3050" s="24"/>
      <c r="I3050" s="312"/>
      <c r="J3050" s="312"/>
      <c r="L3050" s="47"/>
      <c r="M3050" s="24"/>
      <c r="N3050" s="312"/>
      <c r="O3050" s="312"/>
      <c r="Q3050" s="47"/>
      <c r="R3050" s="136" t="s">
        <v>2223</v>
      </c>
      <c r="S3050" s="24" t="s">
        <v>2224</v>
      </c>
      <c r="T3050" s="155">
        <v>36270</v>
      </c>
      <c r="U3050" s="155">
        <v>0</v>
      </c>
    </row>
    <row r="3051" spans="2:21" x14ac:dyDescent="0.3">
      <c r="B3051" s="47"/>
      <c r="C3051" s="24"/>
      <c r="D3051" s="312"/>
      <c r="E3051" s="312"/>
      <c r="G3051" s="47"/>
      <c r="H3051" s="24"/>
      <c r="I3051" s="312"/>
      <c r="J3051" s="312"/>
      <c r="L3051" s="47"/>
      <c r="M3051" s="24"/>
      <c r="N3051" s="312"/>
      <c r="O3051" s="312"/>
      <c r="Q3051" s="47"/>
      <c r="R3051" s="136" t="s">
        <v>2226</v>
      </c>
      <c r="S3051" s="24" t="s">
        <v>2227</v>
      </c>
      <c r="T3051" s="155">
        <v>203525</v>
      </c>
      <c r="U3051" s="155">
        <v>0</v>
      </c>
    </row>
    <row r="3052" spans="2:21" x14ac:dyDescent="0.3">
      <c r="B3052" s="47"/>
      <c r="C3052" s="24"/>
      <c r="D3052" s="312"/>
      <c r="E3052" s="312"/>
      <c r="G3052" s="47"/>
      <c r="H3052" s="24"/>
      <c r="I3052" s="312"/>
      <c r="J3052" s="312"/>
      <c r="L3052" s="47"/>
      <c r="M3052" s="24"/>
      <c r="N3052" s="312"/>
      <c r="O3052" s="312"/>
      <c r="Q3052" s="47"/>
      <c r="R3052" s="136" t="s">
        <v>2228</v>
      </c>
      <c r="S3052" s="24" t="s">
        <v>1990</v>
      </c>
      <c r="T3052" s="155">
        <v>9827</v>
      </c>
      <c r="U3052" s="155">
        <v>0</v>
      </c>
    </row>
    <row r="3053" spans="2:21" x14ac:dyDescent="0.3">
      <c r="B3053" s="47"/>
      <c r="C3053" s="24"/>
      <c r="D3053" s="312"/>
      <c r="E3053" s="312"/>
      <c r="G3053" s="47"/>
      <c r="H3053" s="24"/>
      <c r="I3053" s="312"/>
      <c r="J3053" s="312"/>
      <c r="L3053" s="47"/>
      <c r="M3053" s="24"/>
      <c r="N3053" s="312"/>
      <c r="O3053" s="312"/>
      <c r="Q3053" s="47"/>
      <c r="R3053" s="136" t="s">
        <v>2230</v>
      </c>
      <c r="S3053" s="24" t="s">
        <v>2231</v>
      </c>
      <c r="T3053" s="155">
        <v>18999</v>
      </c>
      <c r="U3053" s="155">
        <v>0</v>
      </c>
    </row>
    <row r="3054" spans="2:21" x14ac:dyDescent="0.3">
      <c r="B3054" s="47"/>
      <c r="C3054" s="24"/>
      <c r="D3054" s="312"/>
      <c r="E3054" s="312"/>
      <c r="G3054" s="47"/>
      <c r="H3054" s="24"/>
      <c r="I3054" s="312"/>
      <c r="J3054" s="312"/>
      <c r="L3054" s="47"/>
      <c r="M3054" s="24"/>
      <c r="N3054" s="312"/>
      <c r="O3054" s="312"/>
      <c r="Q3054" s="47"/>
      <c r="R3054" s="136" t="s">
        <v>2232</v>
      </c>
      <c r="S3054" s="24" t="s">
        <v>1988</v>
      </c>
      <c r="T3054" s="155">
        <v>52336</v>
      </c>
      <c r="U3054" s="155">
        <v>0</v>
      </c>
    </row>
    <row r="3055" spans="2:21" x14ac:dyDescent="0.3">
      <c r="B3055" s="47"/>
      <c r="C3055" s="24"/>
      <c r="D3055" s="312"/>
      <c r="E3055" s="312"/>
      <c r="G3055" s="47"/>
      <c r="H3055" s="24"/>
      <c r="I3055" s="312"/>
      <c r="J3055" s="312"/>
      <c r="L3055" s="47"/>
      <c r="M3055" s="24"/>
      <c r="N3055" s="312"/>
      <c r="O3055" s="312"/>
      <c r="Q3055" s="241">
        <v>80150003</v>
      </c>
      <c r="R3055" s="242"/>
      <c r="S3055" s="243" t="s">
        <v>2084</v>
      </c>
      <c r="T3055" s="239">
        <f>SUM(T3056:T3099)-SUM(U3056:U3099)</f>
        <v>2711509</v>
      </c>
      <c r="U3055" s="240">
        <v>0</v>
      </c>
    </row>
    <row r="3056" spans="2:21" x14ac:dyDescent="0.3">
      <c r="B3056" s="47"/>
      <c r="C3056" s="24"/>
      <c r="D3056" s="312"/>
      <c r="E3056" s="312"/>
      <c r="G3056" s="47"/>
      <c r="H3056" s="24"/>
      <c r="I3056" s="312"/>
      <c r="J3056" s="312"/>
      <c r="L3056" s="47"/>
      <c r="M3056" s="24"/>
      <c r="N3056" s="312"/>
      <c r="O3056" s="312"/>
      <c r="Q3056" s="47"/>
      <c r="R3056" s="136" t="s">
        <v>1931</v>
      </c>
      <c r="S3056" s="24" t="s">
        <v>1932</v>
      </c>
      <c r="T3056" s="155">
        <v>116910</v>
      </c>
      <c r="U3056" s="155">
        <v>0</v>
      </c>
    </row>
    <row r="3057" spans="2:21" x14ac:dyDescent="0.3">
      <c r="B3057" s="47"/>
      <c r="C3057" s="24"/>
      <c r="D3057" s="312"/>
      <c r="E3057" s="312"/>
      <c r="G3057" s="47"/>
      <c r="H3057" s="24"/>
      <c r="I3057" s="312"/>
      <c r="J3057" s="312"/>
      <c r="L3057" s="47"/>
      <c r="M3057" s="24"/>
      <c r="N3057" s="312"/>
      <c r="O3057" s="312"/>
      <c r="Q3057" s="47"/>
      <c r="R3057" s="136" t="s">
        <v>1933</v>
      </c>
      <c r="S3057" s="24" t="s">
        <v>2195</v>
      </c>
      <c r="T3057" s="155">
        <v>70192</v>
      </c>
      <c r="U3057" s="155">
        <v>0</v>
      </c>
    </row>
    <row r="3058" spans="2:21" x14ac:dyDescent="0.3">
      <c r="B3058" s="47"/>
      <c r="C3058" s="24"/>
      <c r="D3058" s="312"/>
      <c r="E3058" s="312"/>
      <c r="G3058" s="47"/>
      <c r="H3058" s="24"/>
      <c r="I3058" s="312"/>
      <c r="J3058" s="312"/>
      <c r="L3058" s="47"/>
      <c r="M3058" s="24"/>
      <c r="N3058" s="312"/>
      <c r="O3058" s="312"/>
      <c r="Q3058" s="47"/>
      <c r="R3058" s="136" t="s">
        <v>1934</v>
      </c>
      <c r="S3058" s="24" t="s">
        <v>2196</v>
      </c>
      <c r="T3058" s="155">
        <v>61636</v>
      </c>
      <c r="U3058" s="155">
        <v>0</v>
      </c>
    </row>
    <row r="3059" spans="2:21" x14ac:dyDescent="0.3">
      <c r="B3059" s="47"/>
      <c r="C3059" s="24"/>
      <c r="D3059" s="312"/>
      <c r="E3059" s="312"/>
      <c r="G3059" s="47"/>
      <c r="H3059" s="24"/>
      <c r="I3059" s="312"/>
      <c r="J3059" s="312"/>
      <c r="L3059" s="47"/>
      <c r="M3059" s="24"/>
      <c r="N3059" s="312"/>
      <c r="O3059" s="312"/>
      <c r="Q3059" s="47"/>
      <c r="R3059" s="136" t="s">
        <v>2154</v>
      </c>
      <c r="S3059" s="24" t="s">
        <v>2155</v>
      </c>
      <c r="T3059" s="155">
        <v>10737</v>
      </c>
      <c r="U3059" s="155">
        <v>0</v>
      </c>
    </row>
    <row r="3060" spans="2:21" x14ac:dyDescent="0.3">
      <c r="B3060" s="47"/>
      <c r="C3060" s="24"/>
      <c r="D3060" s="312"/>
      <c r="E3060" s="312"/>
      <c r="G3060" s="47"/>
      <c r="H3060" s="24"/>
      <c r="I3060" s="312"/>
      <c r="J3060" s="312"/>
      <c r="L3060" s="47"/>
      <c r="M3060" s="24"/>
      <c r="N3060" s="312"/>
      <c r="O3060" s="312"/>
      <c r="Q3060" s="47"/>
      <c r="R3060" s="136" t="s">
        <v>2156</v>
      </c>
      <c r="S3060" s="24" t="s">
        <v>2157</v>
      </c>
      <c r="T3060" s="155">
        <v>220323</v>
      </c>
      <c r="U3060" s="155">
        <v>0</v>
      </c>
    </row>
    <row r="3061" spans="2:21" x14ac:dyDescent="0.3">
      <c r="B3061" s="47"/>
      <c r="C3061" s="24"/>
      <c r="D3061" s="312"/>
      <c r="E3061" s="312"/>
      <c r="G3061" s="47"/>
      <c r="H3061" s="24"/>
      <c r="I3061" s="312"/>
      <c r="J3061" s="312"/>
      <c r="L3061" s="47"/>
      <c r="M3061" s="24"/>
      <c r="N3061" s="312"/>
      <c r="O3061" s="312"/>
      <c r="Q3061" s="47"/>
      <c r="R3061" s="136" t="s">
        <v>2199</v>
      </c>
      <c r="S3061" s="24" t="s">
        <v>2200</v>
      </c>
      <c r="T3061" s="155">
        <v>27180</v>
      </c>
      <c r="U3061" s="155">
        <v>0</v>
      </c>
    </row>
    <row r="3062" spans="2:21" x14ac:dyDescent="0.3">
      <c r="B3062" s="47"/>
      <c r="C3062" s="24"/>
      <c r="D3062" s="312"/>
      <c r="E3062" s="312"/>
      <c r="G3062" s="47"/>
      <c r="H3062" s="24"/>
      <c r="I3062" s="312"/>
      <c r="J3062" s="312"/>
      <c r="L3062" s="47"/>
      <c r="M3062" s="24"/>
      <c r="N3062" s="312"/>
      <c r="O3062" s="312"/>
      <c r="Q3062" s="47"/>
      <c r="R3062" s="136" t="s">
        <v>2201</v>
      </c>
      <c r="S3062" s="24" t="s">
        <v>2202</v>
      </c>
      <c r="T3062" s="155">
        <v>37197</v>
      </c>
      <c r="U3062" s="155">
        <v>0</v>
      </c>
    </row>
    <row r="3063" spans="2:21" x14ac:dyDescent="0.3">
      <c r="B3063" s="47"/>
      <c r="C3063" s="24"/>
      <c r="D3063" s="312"/>
      <c r="E3063" s="312"/>
      <c r="G3063" s="47"/>
      <c r="H3063" s="24"/>
      <c r="I3063" s="312"/>
      <c r="J3063" s="312"/>
      <c r="L3063" s="47"/>
      <c r="M3063" s="24"/>
      <c r="N3063" s="312"/>
      <c r="O3063" s="312"/>
      <c r="Q3063" s="47"/>
      <c r="R3063" s="136" t="s">
        <v>2203</v>
      </c>
      <c r="S3063" s="24" t="s">
        <v>2204</v>
      </c>
      <c r="T3063" s="155">
        <v>24674</v>
      </c>
      <c r="U3063" s="155">
        <v>0</v>
      </c>
    </row>
    <row r="3064" spans="2:21" x14ac:dyDescent="0.3">
      <c r="B3064" s="47"/>
      <c r="C3064" s="24"/>
      <c r="D3064" s="312"/>
      <c r="E3064" s="312"/>
      <c r="G3064" s="47"/>
      <c r="H3064" s="24"/>
      <c r="I3064" s="312"/>
      <c r="J3064" s="312"/>
      <c r="L3064" s="47"/>
      <c r="M3064" s="24"/>
      <c r="N3064" s="312"/>
      <c r="O3064" s="312"/>
      <c r="Q3064" s="47"/>
      <c r="R3064" s="136" t="s">
        <v>2205</v>
      </c>
      <c r="S3064" s="24" t="s">
        <v>2206</v>
      </c>
      <c r="T3064" s="155">
        <v>22381</v>
      </c>
      <c r="U3064" s="155">
        <v>0</v>
      </c>
    </row>
    <row r="3065" spans="2:21" x14ac:dyDescent="0.3">
      <c r="B3065" s="47"/>
      <c r="C3065" s="24"/>
      <c r="D3065" s="312"/>
      <c r="E3065" s="312"/>
      <c r="G3065" s="47"/>
      <c r="H3065" s="24"/>
      <c r="I3065" s="312"/>
      <c r="J3065" s="312"/>
      <c r="L3065" s="47"/>
      <c r="M3065" s="24"/>
      <c r="N3065" s="312"/>
      <c r="O3065" s="312"/>
      <c r="Q3065" s="47"/>
      <c r="R3065" s="136" t="s">
        <v>2207</v>
      </c>
      <c r="S3065" s="24" t="s">
        <v>2208</v>
      </c>
      <c r="T3065" s="155">
        <v>268803</v>
      </c>
      <c r="U3065" s="155">
        <v>0</v>
      </c>
    </row>
    <row r="3066" spans="2:21" x14ac:dyDescent="0.3">
      <c r="B3066" s="47"/>
      <c r="C3066" s="24"/>
      <c r="D3066" s="312"/>
      <c r="E3066" s="312"/>
      <c r="G3066" s="47"/>
      <c r="H3066" s="24"/>
      <c r="I3066" s="312"/>
      <c r="J3066" s="312"/>
      <c r="L3066" s="47"/>
      <c r="M3066" s="24"/>
      <c r="N3066" s="312"/>
      <c r="O3066" s="312"/>
      <c r="Q3066" s="47"/>
      <c r="R3066" s="136" t="s">
        <v>2209</v>
      </c>
      <c r="S3066" s="24" t="s">
        <v>2210</v>
      </c>
      <c r="T3066" s="155">
        <v>282031</v>
      </c>
      <c r="U3066" s="155">
        <v>0</v>
      </c>
    </row>
    <row r="3067" spans="2:21" x14ac:dyDescent="0.3">
      <c r="B3067" s="47"/>
      <c r="C3067" s="24"/>
      <c r="D3067" s="312"/>
      <c r="E3067" s="312"/>
      <c r="G3067" s="47"/>
      <c r="H3067" s="24"/>
      <c r="I3067" s="312"/>
      <c r="J3067" s="312"/>
      <c r="L3067" s="47"/>
      <c r="M3067" s="24"/>
      <c r="N3067" s="312"/>
      <c r="O3067" s="312"/>
      <c r="Q3067" s="47"/>
      <c r="R3067" s="136" t="s">
        <v>2340</v>
      </c>
      <c r="S3067" s="24" t="s">
        <v>2159</v>
      </c>
      <c r="T3067" s="155">
        <v>46575</v>
      </c>
      <c r="U3067" s="155">
        <v>0</v>
      </c>
    </row>
    <row r="3068" spans="2:21" x14ac:dyDescent="0.3">
      <c r="B3068" s="47"/>
      <c r="C3068" s="24"/>
      <c r="D3068" s="312"/>
      <c r="E3068" s="312"/>
      <c r="G3068" s="47"/>
      <c r="H3068" s="24"/>
      <c r="I3068" s="312"/>
      <c r="J3068" s="312"/>
      <c r="L3068" s="47"/>
      <c r="M3068" s="24"/>
      <c r="N3068" s="312"/>
      <c r="O3068" s="312"/>
      <c r="Q3068" s="47"/>
      <c r="R3068" s="136" t="s">
        <v>2160</v>
      </c>
      <c r="S3068" s="24" t="s">
        <v>2161</v>
      </c>
      <c r="T3068" s="155">
        <v>16254</v>
      </c>
      <c r="U3068" s="155">
        <v>0</v>
      </c>
    </row>
    <row r="3069" spans="2:21" x14ac:dyDescent="0.3">
      <c r="B3069" s="47"/>
      <c r="C3069" s="24"/>
      <c r="D3069" s="312"/>
      <c r="E3069" s="312"/>
      <c r="G3069" s="47"/>
      <c r="H3069" s="24"/>
      <c r="I3069" s="312"/>
      <c r="J3069" s="312"/>
      <c r="L3069" s="47"/>
      <c r="M3069" s="24"/>
      <c r="N3069" s="312"/>
      <c r="O3069" s="312"/>
      <c r="Q3069" s="47"/>
      <c r="R3069" s="136" t="s">
        <v>2162</v>
      </c>
      <c r="S3069" s="24" t="s">
        <v>2163</v>
      </c>
      <c r="T3069" s="155">
        <v>38305</v>
      </c>
      <c r="U3069" s="155">
        <v>0</v>
      </c>
    </row>
    <row r="3070" spans="2:21" x14ac:dyDescent="0.3">
      <c r="B3070" s="47"/>
      <c r="C3070" s="24"/>
      <c r="D3070" s="312"/>
      <c r="E3070" s="312"/>
      <c r="G3070" s="47"/>
      <c r="H3070" s="24"/>
      <c r="I3070" s="312"/>
      <c r="J3070" s="312"/>
      <c r="L3070" s="47"/>
      <c r="M3070" s="24"/>
      <c r="N3070" s="312"/>
      <c r="O3070" s="312"/>
      <c r="Q3070" s="47"/>
      <c r="R3070" s="136" t="s">
        <v>2165</v>
      </c>
      <c r="S3070" s="24" t="s">
        <v>2166</v>
      </c>
      <c r="T3070" s="155">
        <v>43035</v>
      </c>
      <c r="U3070" s="155">
        <v>0</v>
      </c>
    </row>
    <row r="3071" spans="2:21" x14ac:dyDescent="0.3">
      <c r="B3071" s="47"/>
      <c r="C3071" s="24"/>
      <c r="D3071" s="312"/>
      <c r="E3071" s="312"/>
      <c r="G3071" s="47"/>
      <c r="H3071" s="24"/>
      <c r="I3071" s="312"/>
      <c r="J3071" s="312"/>
      <c r="L3071" s="47"/>
      <c r="M3071" s="24"/>
      <c r="N3071" s="312"/>
      <c r="O3071" s="312"/>
      <c r="Q3071" s="47"/>
      <c r="R3071" s="136" t="s">
        <v>2168</v>
      </c>
      <c r="S3071" s="24" t="s">
        <v>2169</v>
      </c>
      <c r="T3071" s="155">
        <v>7380</v>
      </c>
      <c r="U3071" s="155">
        <v>0</v>
      </c>
    </row>
    <row r="3072" spans="2:21" x14ac:dyDescent="0.3">
      <c r="B3072" s="47"/>
      <c r="C3072" s="24"/>
      <c r="D3072" s="312"/>
      <c r="E3072" s="312"/>
      <c r="G3072" s="47"/>
      <c r="H3072" s="24"/>
      <c r="I3072" s="312"/>
      <c r="J3072" s="312"/>
      <c r="L3072" s="47"/>
      <c r="M3072" s="24"/>
      <c r="N3072" s="312"/>
      <c r="O3072" s="312"/>
      <c r="Q3072" s="47"/>
      <c r="R3072" s="136" t="s">
        <v>2168</v>
      </c>
      <c r="S3072" s="24" t="s">
        <v>2169</v>
      </c>
      <c r="T3072" s="155">
        <v>3690</v>
      </c>
      <c r="U3072" s="155">
        <v>0</v>
      </c>
    </row>
    <row r="3073" spans="2:21" x14ac:dyDescent="0.3">
      <c r="B3073" s="47"/>
      <c r="C3073" s="24"/>
      <c r="D3073" s="312"/>
      <c r="E3073" s="312"/>
      <c r="G3073" s="47"/>
      <c r="H3073" s="24"/>
      <c r="I3073" s="312"/>
      <c r="J3073" s="312"/>
      <c r="L3073" s="47"/>
      <c r="M3073" s="24"/>
      <c r="N3073" s="312"/>
      <c r="O3073" s="312"/>
      <c r="Q3073" s="47"/>
      <c r="R3073" s="136" t="s">
        <v>3313</v>
      </c>
      <c r="S3073" s="24" t="s">
        <v>2211</v>
      </c>
      <c r="T3073" s="155">
        <v>10998</v>
      </c>
      <c r="U3073" s="155">
        <v>0</v>
      </c>
    </row>
    <row r="3074" spans="2:21" x14ac:dyDescent="0.3">
      <c r="B3074" s="47"/>
      <c r="C3074" s="24"/>
      <c r="D3074" s="312"/>
      <c r="E3074" s="312"/>
      <c r="G3074" s="47"/>
      <c r="H3074" s="24"/>
      <c r="I3074" s="312"/>
      <c r="J3074" s="312"/>
      <c r="L3074" s="47"/>
      <c r="M3074" s="24"/>
      <c r="N3074" s="312"/>
      <c r="O3074" s="312"/>
      <c r="Q3074" s="47"/>
      <c r="R3074" s="136" t="s">
        <v>2212</v>
      </c>
      <c r="S3074" s="24" t="s">
        <v>2213</v>
      </c>
      <c r="T3074" s="155">
        <v>32409</v>
      </c>
      <c r="U3074" s="155">
        <v>0</v>
      </c>
    </row>
    <row r="3075" spans="2:21" x14ac:dyDescent="0.3">
      <c r="B3075" s="47"/>
      <c r="C3075" s="24"/>
      <c r="D3075" s="312"/>
      <c r="E3075" s="312"/>
      <c r="G3075" s="47"/>
      <c r="H3075" s="24"/>
      <c r="I3075" s="312"/>
      <c r="J3075" s="312"/>
      <c r="L3075" s="47"/>
      <c r="M3075" s="24"/>
      <c r="N3075" s="312"/>
      <c r="O3075" s="312"/>
      <c r="Q3075" s="47"/>
      <c r="R3075" s="136" t="s">
        <v>2214</v>
      </c>
      <c r="S3075" s="24" t="s">
        <v>2215</v>
      </c>
      <c r="T3075" s="155">
        <v>213390</v>
      </c>
      <c r="U3075" s="155">
        <v>0</v>
      </c>
    </row>
    <row r="3076" spans="2:21" x14ac:dyDescent="0.3">
      <c r="B3076" s="47"/>
      <c r="C3076" s="24"/>
      <c r="D3076" s="312"/>
      <c r="E3076" s="312"/>
      <c r="G3076" s="47"/>
      <c r="H3076" s="24"/>
      <c r="I3076" s="312"/>
      <c r="J3076" s="312"/>
      <c r="L3076" s="47"/>
      <c r="M3076" s="24"/>
      <c r="N3076" s="312"/>
      <c r="O3076" s="312"/>
      <c r="Q3076" s="47"/>
      <c r="R3076" s="136" t="s">
        <v>2216</v>
      </c>
      <c r="S3076" s="24" t="s">
        <v>2217</v>
      </c>
      <c r="T3076" s="155">
        <v>1773</v>
      </c>
      <c r="U3076" s="155">
        <v>0</v>
      </c>
    </row>
    <row r="3077" spans="2:21" x14ac:dyDescent="0.3">
      <c r="B3077" s="47"/>
      <c r="C3077" s="24"/>
      <c r="D3077" s="312"/>
      <c r="E3077" s="312"/>
      <c r="G3077" s="47"/>
      <c r="H3077" s="24"/>
      <c r="I3077" s="312"/>
      <c r="J3077" s="312"/>
      <c r="L3077" s="47"/>
      <c r="M3077" s="24"/>
      <c r="N3077" s="312"/>
      <c r="O3077" s="312"/>
      <c r="Q3077" s="47"/>
      <c r="R3077" s="136" t="s">
        <v>1985</v>
      </c>
      <c r="S3077" s="24" t="s">
        <v>2197</v>
      </c>
      <c r="T3077" s="155">
        <v>60784</v>
      </c>
      <c r="U3077" s="155">
        <v>0</v>
      </c>
    </row>
    <row r="3078" spans="2:21" x14ac:dyDescent="0.3">
      <c r="B3078" s="47"/>
      <c r="C3078" s="24"/>
      <c r="D3078" s="312"/>
      <c r="E3078" s="312"/>
      <c r="G3078" s="47"/>
      <c r="H3078" s="24"/>
      <c r="I3078" s="312"/>
      <c r="J3078" s="312"/>
      <c r="L3078" s="47"/>
      <c r="M3078" s="24"/>
      <c r="N3078" s="312"/>
      <c r="O3078" s="312"/>
      <c r="Q3078" s="47"/>
      <c r="R3078" s="136" t="s">
        <v>1986</v>
      </c>
      <c r="S3078" s="24" t="s">
        <v>2198</v>
      </c>
      <c r="T3078" s="155">
        <v>61570</v>
      </c>
      <c r="U3078" s="155">
        <v>0</v>
      </c>
    </row>
    <row r="3079" spans="2:21" x14ac:dyDescent="0.3">
      <c r="B3079" s="47"/>
      <c r="C3079" s="24"/>
      <c r="D3079" s="312"/>
      <c r="E3079" s="312"/>
      <c r="G3079" s="47"/>
      <c r="H3079" s="24"/>
      <c r="I3079" s="312"/>
      <c r="J3079" s="312"/>
      <c r="L3079" s="47"/>
      <c r="M3079" s="24"/>
      <c r="N3079" s="312"/>
      <c r="O3079" s="312"/>
      <c r="Q3079" s="47"/>
      <c r="R3079" s="136" t="s">
        <v>1895</v>
      </c>
      <c r="S3079" s="24" t="s">
        <v>2174</v>
      </c>
      <c r="T3079" s="155">
        <v>88515</v>
      </c>
      <c r="U3079" s="155">
        <v>0</v>
      </c>
    </row>
    <row r="3080" spans="2:21" x14ac:dyDescent="0.3">
      <c r="B3080" s="47"/>
      <c r="C3080" s="24"/>
      <c r="D3080" s="312"/>
      <c r="E3080" s="312"/>
      <c r="G3080" s="47"/>
      <c r="H3080" s="24"/>
      <c r="I3080" s="312"/>
      <c r="J3080" s="312"/>
      <c r="L3080" s="47"/>
      <c r="M3080" s="24"/>
      <c r="N3080" s="312"/>
      <c r="O3080" s="312"/>
      <c r="Q3080" s="47"/>
      <c r="R3080" s="136" t="s">
        <v>2177</v>
      </c>
      <c r="S3080" s="24" t="s">
        <v>2341</v>
      </c>
      <c r="T3080" s="155">
        <v>30051</v>
      </c>
      <c r="U3080" s="155">
        <v>0</v>
      </c>
    </row>
    <row r="3081" spans="2:21" x14ac:dyDescent="0.3">
      <c r="B3081" s="47"/>
      <c r="C3081" s="24"/>
      <c r="D3081" s="312"/>
      <c r="E3081" s="312"/>
      <c r="G3081" s="47"/>
      <c r="H3081" s="24"/>
      <c r="I3081" s="312"/>
      <c r="J3081" s="312"/>
      <c r="L3081" s="47"/>
      <c r="M3081" s="24"/>
      <c r="N3081" s="312"/>
      <c r="O3081" s="312"/>
      <c r="Q3081" s="47"/>
      <c r="R3081" s="136" t="s">
        <v>2183</v>
      </c>
      <c r="S3081" s="24" t="s">
        <v>2182</v>
      </c>
      <c r="T3081" s="155">
        <v>133065</v>
      </c>
      <c r="U3081" s="155">
        <v>0</v>
      </c>
    </row>
    <row r="3082" spans="2:21" x14ac:dyDescent="0.3">
      <c r="B3082" s="47"/>
      <c r="C3082" s="24"/>
      <c r="D3082" s="312"/>
      <c r="E3082" s="312"/>
      <c r="G3082" s="47"/>
      <c r="H3082" s="24"/>
      <c r="I3082" s="312"/>
      <c r="J3082" s="312"/>
      <c r="L3082" s="47"/>
      <c r="M3082" s="24"/>
      <c r="N3082" s="312"/>
      <c r="O3082" s="312"/>
      <c r="Q3082" s="47"/>
      <c r="R3082" s="136" t="s">
        <v>2185</v>
      </c>
      <c r="S3082" s="24" t="s">
        <v>2184</v>
      </c>
      <c r="T3082" s="155">
        <v>23886</v>
      </c>
      <c r="U3082" s="155">
        <v>0</v>
      </c>
    </row>
    <row r="3083" spans="2:21" x14ac:dyDescent="0.3">
      <c r="B3083" s="47"/>
      <c r="C3083" s="24"/>
      <c r="D3083" s="312"/>
      <c r="E3083" s="312"/>
      <c r="G3083" s="47"/>
      <c r="H3083" s="24"/>
      <c r="I3083" s="312"/>
      <c r="J3083" s="312"/>
      <c r="L3083" s="47"/>
      <c r="M3083" s="24"/>
      <c r="N3083" s="312"/>
      <c r="O3083" s="312"/>
      <c r="Q3083" s="47"/>
      <c r="R3083" s="136" t="s">
        <v>2187</v>
      </c>
      <c r="S3083" s="24" t="s">
        <v>2186</v>
      </c>
      <c r="T3083" s="155">
        <v>443174</v>
      </c>
      <c r="U3083" s="155">
        <v>0</v>
      </c>
    </row>
    <row r="3084" spans="2:21" x14ac:dyDescent="0.3">
      <c r="B3084" s="47"/>
      <c r="C3084" s="24"/>
      <c r="D3084" s="312"/>
      <c r="E3084" s="312"/>
      <c r="G3084" s="47"/>
      <c r="H3084" s="24"/>
      <c r="I3084" s="312"/>
      <c r="J3084" s="312"/>
      <c r="L3084" s="47"/>
      <c r="M3084" s="24"/>
      <c r="N3084" s="312"/>
      <c r="O3084" s="312"/>
      <c r="Q3084" s="47"/>
      <c r="R3084" s="136" t="s">
        <v>2342</v>
      </c>
      <c r="S3084" s="24" t="s">
        <v>2188</v>
      </c>
      <c r="T3084" s="155">
        <v>12054</v>
      </c>
      <c r="U3084" s="155">
        <v>0</v>
      </c>
    </row>
    <row r="3085" spans="2:21" x14ac:dyDescent="0.3">
      <c r="B3085" s="47"/>
      <c r="C3085" s="24"/>
      <c r="D3085" s="312"/>
      <c r="E3085" s="312"/>
      <c r="G3085" s="47"/>
      <c r="H3085" s="24"/>
      <c r="I3085" s="312"/>
      <c r="J3085" s="312"/>
      <c r="L3085" s="47"/>
      <c r="M3085" s="24"/>
      <c r="N3085" s="312"/>
      <c r="O3085" s="312"/>
      <c r="Q3085" s="47"/>
      <c r="R3085" s="136" t="s">
        <v>2342</v>
      </c>
      <c r="S3085" s="24" t="s">
        <v>2188</v>
      </c>
      <c r="T3085" s="155">
        <v>29628</v>
      </c>
      <c r="U3085" s="155">
        <v>0</v>
      </c>
    </row>
    <row r="3086" spans="2:21" x14ac:dyDescent="0.3">
      <c r="B3086" s="47"/>
      <c r="C3086" s="24"/>
      <c r="D3086" s="312"/>
      <c r="E3086" s="312"/>
      <c r="G3086" s="47"/>
      <c r="H3086" s="24"/>
      <c r="I3086" s="312"/>
      <c r="J3086" s="312"/>
      <c r="L3086" s="47"/>
      <c r="M3086" s="24"/>
      <c r="N3086" s="312"/>
      <c r="O3086" s="312"/>
      <c r="Q3086" s="47"/>
      <c r="R3086" s="136" t="s">
        <v>2190</v>
      </c>
      <c r="S3086" s="24" t="s">
        <v>2189</v>
      </c>
      <c r="T3086" s="155">
        <v>42777</v>
      </c>
      <c r="U3086" s="155">
        <v>0</v>
      </c>
    </row>
    <row r="3087" spans="2:21" x14ac:dyDescent="0.3">
      <c r="B3087" s="47"/>
      <c r="C3087" s="24"/>
      <c r="D3087" s="312"/>
      <c r="E3087" s="312"/>
      <c r="G3087" s="47"/>
      <c r="H3087" s="24"/>
      <c r="I3087" s="312"/>
      <c r="J3087" s="312"/>
      <c r="L3087" s="47"/>
      <c r="M3087" s="24"/>
      <c r="N3087" s="312"/>
      <c r="O3087" s="312"/>
      <c r="Q3087" s="47"/>
      <c r="R3087" s="136" t="s">
        <v>2192</v>
      </c>
      <c r="S3087" s="24" t="s">
        <v>2191</v>
      </c>
      <c r="T3087" s="155">
        <v>14148</v>
      </c>
      <c r="U3087" s="155">
        <v>0</v>
      </c>
    </row>
    <row r="3088" spans="2:21" x14ac:dyDescent="0.3">
      <c r="B3088" s="47"/>
      <c r="C3088" s="24"/>
      <c r="D3088" s="312"/>
      <c r="E3088" s="312"/>
      <c r="G3088" s="47"/>
      <c r="H3088" s="24"/>
      <c r="I3088" s="312"/>
      <c r="J3088" s="312"/>
      <c r="L3088" s="47"/>
      <c r="M3088" s="24"/>
      <c r="N3088" s="312"/>
      <c r="O3088" s="312"/>
      <c r="Q3088" s="47"/>
      <c r="R3088" s="136" t="s">
        <v>1896</v>
      </c>
      <c r="S3088" s="24" t="s">
        <v>2193</v>
      </c>
      <c r="T3088" s="155">
        <v>58887</v>
      </c>
      <c r="U3088" s="155">
        <v>0</v>
      </c>
    </row>
    <row r="3089" spans="2:21" x14ac:dyDescent="0.3">
      <c r="B3089" s="47"/>
      <c r="C3089" s="24"/>
      <c r="D3089" s="312"/>
      <c r="E3089" s="312"/>
      <c r="G3089" s="47"/>
      <c r="H3089" s="24"/>
      <c r="I3089" s="312"/>
      <c r="J3089" s="312"/>
      <c r="L3089" s="47"/>
      <c r="M3089" s="24"/>
      <c r="N3089" s="312"/>
      <c r="O3089" s="312"/>
      <c r="Q3089" s="47"/>
      <c r="R3089" s="136" t="s">
        <v>3291</v>
      </c>
      <c r="S3089" s="24" t="s">
        <v>2171</v>
      </c>
      <c r="T3089" s="155">
        <v>22257</v>
      </c>
      <c r="U3089" s="155">
        <v>0</v>
      </c>
    </row>
    <row r="3090" spans="2:21" x14ac:dyDescent="0.3">
      <c r="B3090" s="47"/>
      <c r="C3090" s="24"/>
      <c r="D3090" s="312"/>
      <c r="E3090" s="312"/>
      <c r="G3090" s="47"/>
      <c r="H3090" s="24"/>
      <c r="I3090" s="312"/>
      <c r="J3090" s="312"/>
      <c r="L3090" s="47"/>
      <c r="M3090" s="24"/>
      <c r="N3090" s="312"/>
      <c r="O3090" s="312"/>
      <c r="Q3090" s="47"/>
      <c r="R3090" s="136" t="s">
        <v>1898</v>
      </c>
      <c r="S3090" s="24" t="s">
        <v>2218</v>
      </c>
      <c r="T3090" s="155">
        <v>13871</v>
      </c>
      <c r="U3090" s="155">
        <v>0</v>
      </c>
    </row>
    <row r="3091" spans="2:21" x14ac:dyDescent="0.3">
      <c r="B3091" s="47"/>
      <c r="C3091" s="24"/>
      <c r="D3091" s="312"/>
      <c r="E3091" s="312"/>
      <c r="G3091" s="47"/>
      <c r="H3091" s="24"/>
      <c r="I3091" s="312"/>
      <c r="J3091" s="312"/>
      <c r="L3091" s="47"/>
      <c r="M3091" s="24"/>
      <c r="N3091" s="312"/>
      <c r="O3091" s="312"/>
      <c r="Q3091" s="47"/>
      <c r="R3091" s="136" t="s">
        <v>2219</v>
      </c>
      <c r="S3091" s="24" t="s">
        <v>2220</v>
      </c>
      <c r="T3091" s="155">
        <v>9648</v>
      </c>
      <c r="U3091" s="155">
        <v>0</v>
      </c>
    </row>
    <row r="3092" spans="2:21" x14ac:dyDescent="0.3">
      <c r="B3092" s="47"/>
      <c r="C3092" s="24"/>
      <c r="D3092" s="312"/>
      <c r="E3092" s="312"/>
      <c r="G3092" s="47"/>
      <c r="H3092" s="24"/>
      <c r="I3092" s="312"/>
      <c r="J3092" s="312"/>
      <c r="L3092" s="47"/>
      <c r="M3092" s="24"/>
      <c r="N3092" s="312"/>
      <c r="O3092" s="312"/>
      <c r="Q3092" s="47"/>
      <c r="R3092" s="136" t="s">
        <v>2221</v>
      </c>
      <c r="S3092" s="24" t="s">
        <v>2222</v>
      </c>
      <c r="T3092" s="155">
        <v>6894</v>
      </c>
      <c r="U3092" s="155">
        <v>0</v>
      </c>
    </row>
    <row r="3093" spans="2:21" x14ac:dyDescent="0.3">
      <c r="B3093" s="47"/>
      <c r="C3093" s="24"/>
      <c r="D3093" s="312"/>
      <c r="E3093" s="312"/>
      <c r="G3093" s="47"/>
      <c r="H3093" s="24"/>
      <c r="I3093" s="312"/>
      <c r="J3093" s="312"/>
      <c r="L3093" s="47"/>
      <c r="M3093" s="24"/>
      <c r="N3093" s="312"/>
      <c r="O3093" s="312"/>
      <c r="Q3093" s="47"/>
      <c r="R3093" s="136" t="s">
        <v>2223</v>
      </c>
      <c r="S3093" s="24" t="s">
        <v>2224</v>
      </c>
      <c r="T3093" s="155">
        <v>50868</v>
      </c>
      <c r="U3093" s="155">
        <v>0</v>
      </c>
    </row>
    <row r="3094" spans="2:21" x14ac:dyDescent="0.3">
      <c r="B3094" s="47"/>
      <c r="C3094" s="24"/>
      <c r="D3094" s="312"/>
      <c r="E3094" s="312"/>
      <c r="G3094" s="47"/>
      <c r="H3094" s="24"/>
      <c r="I3094" s="312"/>
      <c r="J3094" s="312"/>
      <c r="L3094" s="47"/>
      <c r="M3094" s="24"/>
      <c r="N3094" s="312"/>
      <c r="O3094" s="312"/>
      <c r="Q3094" s="47"/>
      <c r="R3094" s="136" t="s">
        <v>2226</v>
      </c>
      <c r="S3094" s="24" t="s">
        <v>2227</v>
      </c>
      <c r="T3094" s="155">
        <v>34218</v>
      </c>
      <c r="U3094" s="155">
        <v>0</v>
      </c>
    </row>
    <row r="3095" spans="2:21" x14ac:dyDescent="0.3">
      <c r="B3095" s="47"/>
      <c r="C3095" s="24"/>
      <c r="D3095" s="312"/>
      <c r="E3095" s="312"/>
      <c r="G3095" s="47"/>
      <c r="H3095" s="24"/>
      <c r="I3095" s="312"/>
      <c r="J3095" s="312"/>
      <c r="L3095" s="47"/>
      <c r="M3095" s="24"/>
      <c r="N3095" s="312"/>
      <c r="O3095" s="312"/>
      <c r="Q3095" s="47"/>
      <c r="R3095" s="136" t="s">
        <v>2229</v>
      </c>
      <c r="S3095" s="24" t="s">
        <v>1987</v>
      </c>
      <c r="T3095" s="155">
        <v>3231</v>
      </c>
      <c r="U3095" s="155">
        <v>0</v>
      </c>
    </row>
    <row r="3096" spans="2:21" x14ac:dyDescent="0.3">
      <c r="B3096" s="47"/>
      <c r="C3096" s="24"/>
      <c r="D3096" s="312"/>
      <c r="E3096" s="312"/>
      <c r="G3096" s="47"/>
      <c r="H3096" s="24"/>
      <c r="I3096" s="312"/>
      <c r="J3096" s="312"/>
      <c r="L3096" s="47"/>
      <c r="M3096" s="24"/>
      <c r="N3096" s="312"/>
      <c r="O3096" s="312"/>
      <c r="Q3096" s="47"/>
      <c r="R3096" s="136" t="s">
        <v>2230</v>
      </c>
      <c r="S3096" s="24" t="s">
        <v>2231</v>
      </c>
      <c r="T3096" s="155">
        <v>486</v>
      </c>
      <c r="U3096" s="155">
        <v>0</v>
      </c>
    </row>
    <row r="3097" spans="2:21" x14ac:dyDescent="0.3">
      <c r="B3097" s="47"/>
      <c r="C3097" s="24"/>
      <c r="D3097" s="312"/>
      <c r="E3097" s="312"/>
      <c r="G3097" s="47"/>
      <c r="H3097" s="24"/>
      <c r="I3097" s="312"/>
      <c r="J3097" s="312"/>
      <c r="L3097" s="47"/>
      <c r="M3097" s="24"/>
      <c r="N3097" s="312"/>
      <c r="O3097" s="312"/>
      <c r="Q3097" s="47"/>
      <c r="R3097" s="136" t="s">
        <v>2232</v>
      </c>
      <c r="S3097" s="24" t="s">
        <v>1988</v>
      </c>
      <c r="T3097" s="155">
        <v>7416</v>
      </c>
      <c r="U3097" s="155">
        <v>0</v>
      </c>
    </row>
    <row r="3098" spans="2:21" x14ac:dyDescent="0.3">
      <c r="B3098" s="47"/>
      <c r="C3098" s="24"/>
      <c r="D3098" s="312"/>
      <c r="E3098" s="312"/>
      <c r="G3098" s="47"/>
      <c r="H3098" s="24"/>
      <c r="I3098" s="312"/>
      <c r="J3098" s="312"/>
      <c r="L3098" s="47"/>
      <c r="M3098" s="24"/>
      <c r="N3098" s="312"/>
      <c r="O3098" s="312"/>
      <c r="Q3098" s="47"/>
      <c r="R3098" s="136" t="s">
        <v>2233</v>
      </c>
      <c r="S3098" s="24" t="s">
        <v>1989</v>
      </c>
      <c r="T3098" s="155">
        <v>4104</v>
      </c>
      <c r="U3098" s="155">
        <v>0</v>
      </c>
    </row>
    <row r="3099" spans="2:21" x14ac:dyDescent="0.3">
      <c r="B3099" s="47"/>
      <c r="C3099" s="24"/>
      <c r="D3099" s="312"/>
      <c r="E3099" s="312"/>
      <c r="G3099" s="47"/>
      <c r="H3099" s="24"/>
      <c r="I3099" s="312"/>
      <c r="J3099" s="312"/>
      <c r="L3099" s="47"/>
      <c r="M3099" s="24"/>
      <c r="N3099" s="312"/>
      <c r="O3099" s="312"/>
      <c r="Q3099" s="47"/>
      <c r="R3099" s="136" t="s">
        <v>2234</v>
      </c>
      <c r="S3099" s="24" t="s">
        <v>2235</v>
      </c>
      <c r="T3099" s="155">
        <v>4104</v>
      </c>
      <c r="U3099" s="155">
        <v>0</v>
      </c>
    </row>
    <row r="3100" spans="2:21" x14ac:dyDescent="0.3">
      <c r="B3100" s="47"/>
      <c r="C3100" s="24"/>
      <c r="D3100" s="312"/>
      <c r="E3100" s="312"/>
      <c r="G3100" s="47"/>
      <c r="H3100" s="24"/>
      <c r="I3100" s="312"/>
      <c r="J3100" s="312"/>
      <c r="L3100" s="47"/>
      <c r="M3100" s="24"/>
      <c r="N3100" s="312"/>
      <c r="O3100" s="312"/>
      <c r="Q3100" s="241">
        <v>80150004</v>
      </c>
      <c r="R3100" s="242"/>
      <c r="S3100" s="243" t="s">
        <v>2085</v>
      </c>
      <c r="T3100" s="239">
        <f>SUM(T3101:T3138)-SUM(U3101:U3138)</f>
        <v>518612</v>
      </c>
      <c r="U3100" s="240">
        <v>0</v>
      </c>
    </row>
    <row r="3101" spans="2:21" x14ac:dyDescent="0.3">
      <c r="B3101" s="47"/>
      <c r="C3101" s="24"/>
      <c r="D3101" s="312"/>
      <c r="E3101" s="312"/>
      <c r="G3101" s="47"/>
      <c r="H3101" s="24"/>
      <c r="I3101" s="312"/>
      <c r="J3101" s="312"/>
      <c r="L3101" s="47"/>
      <c r="M3101" s="24"/>
      <c r="N3101" s="312"/>
      <c r="O3101" s="312"/>
      <c r="Q3101" s="47"/>
      <c r="R3101" s="136" t="s">
        <v>2160</v>
      </c>
      <c r="S3101" s="24" t="s">
        <v>2161</v>
      </c>
      <c r="T3101" s="155">
        <v>4104</v>
      </c>
      <c r="U3101" s="155">
        <v>0</v>
      </c>
    </row>
    <row r="3102" spans="2:21" x14ac:dyDescent="0.3">
      <c r="B3102" s="47"/>
      <c r="C3102" s="24"/>
      <c r="D3102" s="312"/>
      <c r="E3102" s="312"/>
      <c r="G3102" s="47"/>
      <c r="H3102" s="24"/>
      <c r="I3102" s="312"/>
      <c r="J3102" s="312"/>
      <c r="L3102" s="47"/>
      <c r="M3102" s="24"/>
      <c r="N3102" s="312"/>
      <c r="O3102" s="312"/>
      <c r="Q3102" s="47"/>
      <c r="R3102" s="136" t="s">
        <v>2154</v>
      </c>
      <c r="S3102" s="24" t="s">
        <v>2155</v>
      </c>
      <c r="T3102" s="155">
        <v>23821</v>
      </c>
      <c r="U3102" s="155">
        <v>0</v>
      </c>
    </row>
    <row r="3103" spans="2:21" x14ac:dyDescent="0.3">
      <c r="B3103" s="47"/>
      <c r="C3103" s="24"/>
      <c r="D3103" s="312"/>
      <c r="E3103" s="312"/>
      <c r="G3103" s="47"/>
      <c r="H3103" s="24"/>
      <c r="I3103" s="312"/>
      <c r="J3103" s="312"/>
      <c r="L3103" s="47"/>
      <c r="M3103" s="24"/>
      <c r="N3103" s="312"/>
      <c r="O3103" s="312"/>
      <c r="Q3103" s="47"/>
      <c r="R3103" s="136" t="s">
        <v>2156</v>
      </c>
      <c r="S3103" s="24" t="s">
        <v>2157</v>
      </c>
      <c r="T3103" s="155">
        <v>91033</v>
      </c>
      <c r="U3103" s="155">
        <v>0</v>
      </c>
    </row>
    <row r="3104" spans="2:21" x14ac:dyDescent="0.3">
      <c r="B3104" s="47"/>
      <c r="C3104" s="24"/>
      <c r="D3104" s="312"/>
      <c r="E3104" s="312"/>
      <c r="G3104" s="47"/>
      <c r="H3104" s="24"/>
      <c r="I3104" s="312"/>
      <c r="J3104" s="312"/>
      <c r="L3104" s="47"/>
      <c r="M3104" s="24"/>
      <c r="N3104" s="312"/>
      <c r="O3104" s="312"/>
      <c r="Q3104" s="47"/>
      <c r="R3104" s="136" t="s">
        <v>2340</v>
      </c>
      <c r="S3104" s="24" t="s">
        <v>2159</v>
      </c>
      <c r="T3104" s="155">
        <v>5694</v>
      </c>
      <c r="U3104" s="155">
        <v>0</v>
      </c>
    </row>
    <row r="3105" spans="2:21" x14ac:dyDescent="0.3">
      <c r="B3105" s="47"/>
      <c r="C3105" s="24"/>
      <c r="D3105" s="312"/>
      <c r="E3105" s="312"/>
      <c r="G3105" s="47"/>
      <c r="H3105" s="24"/>
      <c r="I3105" s="312"/>
      <c r="J3105" s="312"/>
      <c r="L3105" s="47"/>
      <c r="M3105" s="24"/>
      <c r="N3105" s="312"/>
      <c r="O3105" s="312"/>
      <c r="Q3105" s="47"/>
      <c r="R3105" s="136" t="s">
        <v>1898</v>
      </c>
      <c r="S3105" s="24" t="s">
        <v>2218</v>
      </c>
      <c r="T3105" s="155">
        <v>7236</v>
      </c>
      <c r="U3105" s="155">
        <v>0</v>
      </c>
    </row>
    <row r="3106" spans="2:21" x14ac:dyDescent="0.3">
      <c r="B3106" s="47"/>
      <c r="C3106" s="24"/>
      <c r="D3106" s="312"/>
      <c r="E3106" s="312"/>
      <c r="G3106" s="47"/>
      <c r="H3106" s="24"/>
      <c r="I3106" s="312"/>
      <c r="J3106" s="312"/>
      <c r="L3106" s="47"/>
      <c r="M3106" s="24"/>
      <c r="N3106" s="312"/>
      <c r="O3106" s="312"/>
      <c r="Q3106" s="47"/>
      <c r="R3106" s="136" t="s">
        <v>2199</v>
      </c>
      <c r="S3106" s="24" t="s">
        <v>2200</v>
      </c>
      <c r="T3106" s="155">
        <v>3861</v>
      </c>
      <c r="U3106" s="155">
        <v>0</v>
      </c>
    </row>
    <row r="3107" spans="2:21" x14ac:dyDescent="0.3">
      <c r="B3107" s="47"/>
      <c r="C3107" s="24"/>
      <c r="D3107" s="312"/>
      <c r="E3107" s="312"/>
      <c r="G3107" s="47"/>
      <c r="H3107" s="24"/>
      <c r="I3107" s="312"/>
      <c r="J3107" s="312"/>
      <c r="L3107" s="47"/>
      <c r="M3107" s="24"/>
      <c r="N3107" s="312"/>
      <c r="O3107" s="312"/>
      <c r="Q3107" s="47"/>
      <c r="R3107" s="136" t="s">
        <v>3313</v>
      </c>
      <c r="S3107" s="24" t="s">
        <v>2211</v>
      </c>
      <c r="T3107" s="155">
        <v>3564</v>
      </c>
      <c r="U3107" s="155">
        <v>0</v>
      </c>
    </row>
    <row r="3108" spans="2:21" x14ac:dyDescent="0.3">
      <c r="B3108" s="47"/>
      <c r="C3108" s="24"/>
      <c r="D3108" s="312"/>
      <c r="E3108" s="312"/>
      <c r="G3108" s="47"/>
      <c r="H3108" s="24"/>
      <c r="I3108" s="312"/>
      <c r="J3108" s="312"/>
      <c r="L3108" s="47"/>
      <c r="M3108" s="24"/>
      <c r="N3108" s="312"/>
      <c r="O3108" s="312"/>
      <c r="Q3108" s="47"/>
      <c r="R3108" s="136" t="s">
        <v>2209</v>
      </c>
      <c r="S3108" s="24" t="s">
        <v>2210</v>
      </c>
      <c r="T3108" s="155">
        <v>4842</v>
      </c>
      <c r="U3108" s="155">
        <v>0</v>
      </c>
    </row>
    <row r="3109" spans="2:21" x14ac:dyDescent="0.3">
      <c r="B3109" s="47"/>
      <c r="C3109" s="24"/>
      <c r="D3109" s="312"/>
      <c r="E3109" s="312"/>
      <c r="G3109" s="47"/>
      <c r="H3109" s="24"/>
      <c r="I3109" s="312"/>
      <c r="J3109" s="312"/>
      <c r="L3109" s="47"/>
      <c r="M3109" s="24"/>
      <c r="N3109" s="312"/>
      <c r="O3109" s="312"/>
      <c r="Q3109" s="47"/>
      <c r="R3109" s="136" t="s">
        <v>2165</v>
      </c>
      <c r="S3109" s="24" t="s">
        <v>2166</v>
      </c>
      <c r="T3109" s="155">
        <v>3852</v>
      </c>
      <c r="U3109" s="155">
        <v>0</v>
      </c>
    </row>
    <row r="3110" spans="2:21" x14ac:dyDescent="0.3">
      <c r="B3110" s="47"/>
      <c r="C3110" s="24"/>
      <c r="D3110" s="312"/>
      <c r="E3110" s="312"/>
      <c r="G3110" s="47"/>
      <c r="H3110" s="24"/>
      <c r="I3110" s="312"/>
      <c r="J3110" s="312"/>
      <c r="L3110" s="47"/>
      <c r="M3110" s="24"/>
      <c r="N3110" s="312"/>
      <c r="O3110" s="312"/>
      <c r="Q3110" s="47"/>
      <c r="R3110" s="136" t="s">
        <v>2168</v>
      </c>
      <c r="S3110" s="24" t="s">
        <v>2169</v>
      </c>
      <c r="T3110" s="155">
        <v>1800</v>
      </c>
      <c r="U3110" s="155">
        <v>0</v>
      </c>
    </row>
    <row r="3111" spans="2:21" x14ac:dyDescent="0.3">
      <c r="B3111" s="47"/>
      <c r="C3111" s="24"/>
      <c r="D3111" s="312"/>
      <c r="E3111" s="312"/>
      <c r="G3111" s="47"/>
      <c r="H3111" s="24"/>
      <c r="I3111" s="312"/>
      <c r="J3111" s="312"/>
      <c r="L3111" s="47"/>
      <c r="M3111" s="24"/>
      <c r="N3111" s="312"/>
      <c r="O3111" s="312"/>
      <c r="Q3111" s="47"/>
      <c r="R3111" s="136" t="s">
        <v>2223</v>
      </c>
      <c r="S3111" s="24" t="s">
        <v>2224</v>
      </c>
      <c r="T3111" s="155">
        <v>8271</v>
      </c>
      <c r="U3111" s="155">
        <v>0</v>
      </c>
    </row>
    <row r="3112" spans="2:21" x14ac:dyDescent="0.3">
      <c r="B3112" s="47"/>
      <c r="C3112" s="24"/>
      <c r="D3112" s="312"/>
      <c r="E3112" s="312"/>
      <c r="G3112" s="47"/>
      <c r="H3112" s="24"/>
      <c r="I3112" s="312"/>
      <c r="J3112" s="312"/>
      <c r="L3112" s="47"/>
      <c r="M3112" s="24"/>
      <c r="N3112" s="312"/>
      <c r="O3112" s="312"/>
      <c r="Q3112" s="47"/>
      <c r="R3112" s="136" t="s">
        <v>2219</v>
      </c>
      <c r="S3112" s="24" t="s">
        <v>2220</v>
      </c>
      <c r="T3112" s="155">
        <v>7605</v>
      </c>
      <c r="U3112" s="155">
        <v>0</v>
      </c>
    </row>
    <row r="3113" spans="2:21" x14ac:dyDescent="0.3">
      <c r="B3113" s="47"/>
      <c r="C3113" s="24"/>
      <c r="D3113" s="312"/>
      <c r="E3113" s="312"/>
      <c r="G3113" s="47"/>
      <c r="H3113" s="24"/>
      <c r="I3113" s="312"/>
      <c r="J3113" s="312"/>
      <c r="L3113" s="47"/>
      <c r="M3113" s="24"/>
      <c r="N3113" s="312"/>
      <c r="O3113" s="312"/>
      <c r="Q3113" s="47"/>
      <c r="R3113" s="136" t="s">
        <v>2203</v>
      </c>
      <c r="S3113" s="24" t="s">
        <v>2204</v>
      </c>
      <c r="T3113" s="155">
        <v>2606</v>
      </c>
      <c r="U3113" s="155">
        <v>0</v>
      </c>
    </row>
    <row r="3114" spans="2:21" x14ac:dyDescent="0.3">
      <c r="B3114" s="47"/>
      <c r="C3114" s="24"/>
      <c r="D3114" s="312"/>
      <c r="E3114" s="312"/>
      <c r="G3114" s="47"/>
      <c r="H3114" s="24"/>
      <c r="I3114" s="312"/>
      <c r="J3114" s="312"/>
      <c r="L3114" s="47"/>
      <c r="M3114" s="24"/>
      <c r="N3114" s="312"/>
      <c r="O3114" s="312"/>
      <c r="Q3114" s="47"/>
      <c r="R3114" s="136" t="s">
        <v>2162</v>
      </c>
      <c r="S3114" s="24" t="s">
        <v>2163</v>
      </c>
      <c r="T3114" s="155">
        <v>3465</v>
      </c>
      <c r="U3114" s="155">
        <v>0</v>
      </c>
    </row>
    <row r="3115" spans="2:21" x14ac:dyDescent="0.3">
      <c r="B3115" s="47"/>
      <c r="C3115" s="24"/>
      <c r="D3115" s="312"/>
      <c r="E3115" s="312"/>
      <c r="G3115" s="47"/>
      <c r="H3115" s="24"/>
      <c r="I3115" s="312"/>
      <c r="J3115" s="312"/>
      <c r="L3115" s="47"/>
      <c r="M3115" s="24"/>
      <c r="N3115" s="312"/>
      <c r="O3115" s="312"/>
      <c r="Q3115" s="47"/>
      <c r="R3115" s="136" t="s">
        <v>2205</v>
      </c>
      <c r="S3115" s="24" t="s">
        <v>2206</v>
      </c>
      <c r="T3115" s="155">
        <v>4293</v>
      </c>
      <c r="U3115" s="155">
        <v>0</v>
      </c>
    </row>
    <row r="3116" spans="2:21" x14ac:dyDescent="0.3">
      <c r="B3116" s="47"/>
      <c r="C3116" s="24"/>
      <c r="D3116" s="312"/>
      <c r="E3116" s="312"/>
      <c r="G3116" s="47"/>
      <c r="H3116" s="24"/>
      <c r="I3116" s="312"/>
      <c r="J3116" s="312"/>
      <c r="L3116" s="47"/>
      <c r="M3116" s="24"/>
      <c r="N3116" s="312"/>
      <c r="O3116" s="312"/>
      <c r="Q3116" s="47"/>
      <c r="R3116" s="136" t="s">
        <v>3291</v>
      </c>
      <c r="S3116" s="24" t="s">
        <v>2171</v>
      </c>
      <c r="T3116" s="155">
        <v>3357</v>
      </c>
      <c r="U3116" s="155">
        <v>0</v>
      </c>
    </row>
    <row r="3117" spans="2:21" x14ac:dyDescent="0.3">
      <c r="B3117" s="47"/>
      <c r="C3117" s="24"/>
      <c r="D3117" s="312"/>
      <c r="E3117" s="312"/>
      <c r="G3117" s="47"/>
      <c r="H3117" s="24"/>
      <c r="I3117" s="312"/>
      <c r="J3117" s="312"/>
      <c r="L3117" s="47"/>
      <c r="M3117" s="24"/>
      <c r="N3117" s="312"/>
      <c r="O3117" s="312"/>
      <c r="Q3117" s="47"/>
      <c r="R3117" s="136" t="s">
        <v>2183</v>
      </c>
      <c r="S3117" s="24" t="s">
        <v>2182</v>
      </c>
      <c r="T3117" s="155">
        <v>3069</v>
      </c>
      <c r="U3117" s="155">
        <v>0</v>
      </c>
    </row>
    <row r="3118" spans="2:21" x14ac:dyDescent="0.3">
      <c r="B3118" s="47"/>
      <c r="C3118" s="24"/>
      <c r="D3118" s="312"/>
      <c r="E3118" s="312"/>
      <c r="G3118" s="47"/>
      <c r="H3118" s="24"/>
      <c r="I3118" s="312"/>
      <c r="J3118" s="312"/>
      <c r="L3118" s="47"/>
      <c r="M3118" s="24"/>
      <c r="N3118" s="312"/>
      <c r="O3118" s="312"/>
      <c r="Q3118" s="47"/>
      <c r="R3118" s="136" t="s">
        <v>2226</v>
      </c>
      <c r="S3118" s="24" t="s">
        <v>2227</v>
      </c>
      <c r="T3118" s="155">
        <v>7236</v>
      </c>
      <c r="U3118" s="155">
        <v>0</v>
      </c>
    </row>
    <row r="3119" spans="2:21" x14ac:dyDescent="0.3">
      <c r="B3119" s="47"/>
      <c r="C3119" s="24"/>
      <c r="D3119" s="312"/>
      <c r="E3119" s="312"/>
      <c r="G3119" s="47"/>
      <c r="H3119" s="24"/>
      <c r="I3119" s="312"/>
      <c r="J3119" s="312"/>
      <c r="L3119" s="47"/>
      <c r="M3119" s="24"/>
      <c r="N3119" s="312"/>
      <c r="O3119" s="312"/>
      <c r="Q3119" s="47"/>
      <c r="R3119" s="136" t="s">
        <v>2221</v>
      </c>
      <c r="S3119" s="24" t="s">
        <v>2222</v>
      </c>
      <c r="T3119" s="155">
        <v>8397</v>
      </c>
      <c r="U3119" s="155">
        <v>0</v>
      </c>
    </row>
    <row r="3120" spans="2:21" x14ac:dyDescent="0.3">
      <c r="B3120" s="47"/>
      <c r="C3120" s="24"/>
      <c r="D3120" s="312"/>
      <c r="E3120" s="312"/>
      <c r="G3120" s="47"/>
      <c r="H3120" s="24"/>
      <c r="I3120" s="312"/>
      <c r="J3120" s="312"/>
      <c r="L3120" s="47"/>
      <c r="M3120" s="24"/>
      <c r="N3120" s="312"/>
      <c r="O3120" s="312"/>
      <c r="Q3120" s="47"/>
      <c r="R3120" s="136" t="s">
        <v>2201</v>
      </c>
      <c r="S3120" s="24" t="s">
        <v>2202</v>
      </c>
      <c r="T3120" s="155">
        <v>4338</v>
      </c>
      <c r="U3120" s="155">
        <v>0</v>
      </c>
    </row>
    <row r="3121" spans="2:21" x14ac:dyDescent="0.3">
      <c r="B3121" s="47"/>
      <c r="C3121" s="24"/>
      <c r="D3121" s="312"/>
      <c r="E3121" s="312"/>
      <c r="G3121" s="47"/>
      <c r="H3121" s="24"/>
      <c r="I3121" s="312"/>
      <c r="J3121" s="312"/>
      <c r="L3121" s="47"/>
      <c r="M3121" s="24"/>
      <c r="N3121" s="312"/>
      <c r="O3121" s="312"/>
      <c r="Q3121" s="47"/>
      <c r="R3121" s="136" t="s">
        <v>1895</v>
      </c>
      <c r="S3121" s="24" t="s">
        <v>2174</v>
      </c>
      <c r="T3121" s="155">
        <v>4347</v>
      </c>
      <c r="U3121" s="155">
        <v>0</v>
      </c>
    </row>
    <row r="3122" spans="2:21" x14ac:dyDescent="0.3">
      <c r="B3122" s="47"/>
      <c r="C3122" s="24"/>
      <c r="D3122" s="312"/>
      <c r="E3122" s="312"/>
      <c r="G3122" s="47"/>
      <c r="H3122" s="24"/>
      <c r="I3122" s="312"/>
      <c r="J3122" s="312"/>
      <c r="L3122" s="47"/>
      <c r="M3122" s="24"/>
      <c r="N3122" s="312"/>
      <c r="O3122" s="312"/>
      <c r="Q3122" s="47"/>
      <c r="R3122" s="136" t="s">
        <v>2192</v>
      </c>
      <c r="S3122" s="24" t="s">
        <v>2191</v>
      </c>
      <c r="T3122" s="155">
        <v>3573</v>
      </c>
      <c r="U3122" s="155">
        <v>0</v>
      </c>
    </row>
    <row r="3123" spans="2:21" x14ac:dyDescent="0.3">
      <c r="B3123" s="47"/>
      <c r="C3123" s="24"/>
      <c r="D3123" s="312"/>
      <c r="E3123" s="312"/>
      <c r="G3123" s="47"/>
      <c r="H3123" s="24"/>
      <c r="I3123" s="312"/>
      <c r="J3123" s="312"/>
      <c r="L3123" s="47"/>
      <c r="M3123" s="24"/>
      <c r="N3123" s="312"/>
      <c r="O3123" s="312"/>
      <c r="Q3123" s="47"/>
      <c r="R3123" s="136" t="s">
        <v>1896</v>
      </c>
      <c r="S3123" s="24" t="s">
        <v>2193</v>
      </c>
      <c r="T3123" s="155">
        <v>2871</v>
      </c>
      <c r="U3123" s="155">
        <v>0</v>
      </c>
    </row>
    <row r="3124" spans="2:21" x14ac:dyDescent="0.3">
      <c r="B3124" s="47"/>
      <c r="C3124" s="24"/>
      <c r="D3124" s="312"/>
      <c r="E3124" s="312"/>
      <c r="G3124" s="47"/>
      <c r="H3124" s="24"/>
      <c r="I3124" s="312"/>
      <c r="J3124" s="312"/>
      <c r="L3124" s="47"/>
      <c r="M3124" s="24"/>
      <c r="N3124" s="312"/>
      <c r="O3124" s="312"/>
      <c r="Q3124" s="47"/>
      <c r="R3124" s="136" t="s">
        <v>2185</v>
      </c>
      <c r="S3124" s="24" t="s">
        <v>2184</v>
      </c>
      <c r="T3124" s="155">
        <v>3231</v>
      </c>
      <c r="U3124" s="155">
        <v>0</v>
      </c>
    </row>
    <row r="3125" spans="2:21" x14ac:dyDescent="0.3">
      <c r="B3125" s="47"/>
      <c r="C3125" s="24"/>
      <c r="D3125" s="312"/>
      <c r="E3125" s="312"/>
      <c r="G3125" s="47"/>
      <c r="H3125" s="24"/>
      <c r="I3125" s="312"/>
      <c r="J3125" s="312"/>
      <c r="L3125" s="47"/>
      <c r="M3125" s="24"/>
      <c r="N3125" s="312"/>
      <c r="O3125" s="312"/>
      <c r="Q3125" s="47"/>
      <c r="R3125" s="136" t="s">
        <v>2212</v>
      </c>
      <c r="S3125" s="24" t="s">
        <v>2213</v>
      </c>
      <c r="T3125" s="155">
        <v>540</v>
      </c>
      <c r="U3125" s="155">
        <v>0</v>
      </c>
    </row>
    <row r="3126" spans="2:21" x14ac:dyDescent="0.3">
      <c r="B3126" s="47"/>
      <c r="C3126" s="24"/>
      <c r="D3126" s="312"/>
      <c r="E3126" s="312"/>
      <c r="G3126" s="47"/>
      <c r="H3126" s="24"/>
      <c r="I3126" s="312"/>
      <c r="J3126" s="312"/>
      <c r="L3126" s="47"/>
      <c r="M3126" s="24"/>
      <c r="N3126" s="312"/>
      <c r="O3126" s="312"/>
      <c r="Q3126" s="47"/>
      <c r="R3126" s="136" t="s">
        <v>2230</v>
      </c>
      <c r="S3126" s="24" t="s">
        <v>2231</v>
      </c>
      <c r="T3126" s="155">
        <v>7236</v>
      </c>
      <c r="U3126" s="155">
        <v>0</v>
      </c>
    </row>
    <row r="3127" spans="2:21" x14ac:dyDescent="0.3">
      <c r="B3127" s="47"/>
      <c r="C3127" s="24"/>
      <c r="D3127" s="312"/>
      <c r="E3127" s="312"/>
      <c r="G3127" s="47"/>
      <c r="H3127" s="24"/>
      <c r="I3127" s="312"/>
      <c r="J3127" s="312"/>
      <c r="L3127" s="47"/>
      <c r="M3127" s="24"/>
      <c r="N3127" s="312"/>
      <c r="O3127" s="312"/>
      <c r="Q3127" s="47"/>
      <c r="R3127" s="136" t="s">
        <v>2342</v>
      </c>
      <c r="S3127" s="24" t="s">
        <v>2188</v>
      </c>
      <c r="T3127" s="155">
        <v>324</v>
      </c>
      <c r="U3127" s="155">
        <v>0</v>
      </c>
    </row>
    <row r="3128" spans="2:21" x14ac:dyDescent="0.3">
      <c r="B3128" s="47"/>
      <c r="C3128" s="24"/>
      <c r="D3128" s="312"/>
      <c r="E3128" s="312"/>
      <c r="G3128" s="47"/>
      <c r="H3128" s="24"/>
      <c r="I3128" s="312"/>
      <c r="J3128" s="312"/>
      <c r="L3128" s="47"/>
      <c r="M3128" s="24"/>
      <c r="N3128" s="312"/>
      <c r="O3128" s="312"/>
      <c r="Q3128" s="47"/>
      <c r="R3128" s="136" t="s">
        <v>2190</v>
      </c>
      <c r="S3128" s="24" t="s">
        <v>2189</v>
      </c>
      <c r="T3128" s="155">
        <v>7488</v>
      </c>
      <c r="U3128" s="155">
        <v>0</v>
      </c>
    </row>
    <row r="3129" spans="2:21" x14ac:dyDescent="0.3">
      <c r="B3129" s="47"/>
      <c r="C3129" s="24"/>
      <c r="D3129" s="312"/>
      <c r="E3129" s="312"/>
      <c r="G3129" s="47"/>
      <c r="H3129" s="24"/>
      <c r="I3129" s="312"/>
      <c r="J3129" s="312"/>
      <c r="L3129" s="47"/>
      <c r="M3129" s="24"/>
      <c r="N3129" s="312"/>
      <c r="O3129" s="312"/>
      <c r="Q3129" s="47"/>
      <c r="R3129" s="136" t="s">
        <v>2207</v>
      </c>
      <c r="S3129" s="24" t="s">
        <v>2208</v>
      </c>
      <c r="T3129" s="155">
        <v>40509</v>
      </c>
      <c r="U3129" s="155">
        <v>0</v>
      </c>
    </row>
    <row r="3130" spans="2:21" x14ac:dyDescent="0.3">
      <c r="B3130" s="47"/>
      <c r="C3130" s="24"/>
      <c r="D3130" s="312"/>
      <c r="E3130" s="312"/>
      <c r="G3130" s="47"/>
      <c r="H3130" s="24"/>
      <c r="I3130" s="312"/>
      <c r="J3130" s="312"/>
      <c r="L3130" s="47"/>
      <c r="M3130" s="24"/>
      <c r="N3130" s="312"/>
      <c r="O3130" s="312"/>
      <c r="Q3130" s="47"/>
      <c r="R3130" s="136" t="s">
        <v>2214</v>
      </c>
      <c r="S3130" s="24" t="s">
        <v>2215</v>
      </c>
      <c r="T3130" s="155">
        <v>41841</v>
      </c>
      <c r="U3130" s="155">
        <v>0</v>
      </c>
    </row>
    <row r="3131" spans="2:21" x14ac:dyDescent="0.3">
      <c r="B3131" s="47"/>
      <c r="C3131" s="24"/>
      <c r="D3131" s="312"/>
      <c r="E3131" s="312"/>
      <c r="G3131" s="47"/>
      <c r="H3131" s="24"/>
      <c r="I3131" s="312"/>
      <c r="J3131" s="312"/>
      <c r="L3131" s="47"/>
      <c r="M3131" s="24"/>
      <c r="N3131" s="312"/>
      <c r="O3131" s="312"/>
      <c r="Q3131" s="47"/>
      <c r="R3131" s="136" t="s">
        <v>2187</v>
      </c>
      <c r="S3131" s="24" t="s">
        <v>2186</v>
      </c>
      <c r="T3131" s="155">
        <v>39168</v>
      </c>
      <c r="U3131" s="155">
        <v>0</v>
      </c>
    </row>
    <row r="3132" spans="2:21" x14ac:dyDescent="0.3">
      <c r="B3132" s="47"/>
      <c r="C3132" s="24"/>
      <c r="D3132" s="312"/>
      <c r="E3132" s="312"/>
      <c r="G3132" s="47"/>
      <c r="H3132" s="24"/>
      <c r="I3132" s="312"/>
      <c r="J3132" s="312"/>
      <c r="L3132" s="47"/>
      <c r="M3132" s="24"/>
      <c r="N3132" s="312"/>
      <c r="O3132" s="312"/>
      <c r="Q3132" s="47"/>
      <c r="R3132" s="136" t="s">
        <v>1931</v>
      </c>
      <c r="S3132" s="24" t="s">
        <v>1932</v>
      </c>
      <c r="T3132" s="155">
        <v>45846</v>
      </c>
      <c r="U3132" s="155">
        <v>0</v>
      </c>
    </row>
    <row r="3133" spans="2:21" x14ac:dyDescent="0.3">
      <c r="B3133" s="47"/>
      <c r="C3133" s="24"/>
      <c r="D3133" s="312"/>
      <c r="E3133" s="312"/>
      <c r="G3133" s="47"/>
      <c r="H3133" s="24"/>
      <c r="I3133" s="312"/>
      <c r="J3133" s="312"/>
      <c r="L3133" s="47"/>
      <c r="M3133" s="24"/>
      <c r="N3133" s="312"/>
      <c r="O3133" s="312"/>
      <c r="Q3133" s="47"/>
      <c r="R3133" s="136" t="s">
        <v>2228</v>
      </c>
      <c r="S3133" s="24" t="s">
        <v>1990</v>
      </c>
      <c r="T3133" s="155">
        <v>7236</v>
      </c>
      <c r="U3133" s="155">
        <v>0</v>
      </c>
    </row>
    <row r="3134" spans="2:21" x14ac:dyDescent="0.3">
      <c r="B3134" s="47"/>
      <c r="C3134" s="24"/>
      <c r="D3134" s="312"/>
      <c r="E3134" s="312"/>
      <c r="G3134" s="47"/>
      <c r="H3134" s="24"/>
      <c r="I3134" s="312"/>
      <c r="J3134" s="312"/>
      <c r="L3134" s="47"/>
      <c r="M3134" s="24"/>
      <c r="N3134" s="312"/>
      <c r="O3134" s="312"/>
      <c r="Q3134" s="47"/>
      <c r="R3134" s="136" t="s">
        <v>1985</v>
      </c>
      <c r="S3134" s="24" t="s">
        <v>2197</v>
      </c>
      <c r="T3134" s="155">
        <v>46825</v>
      </c>
      <c r="U3134" s="155">
        <v>0</v>
      </c>
    </row>
    <row r="3135" spans="2:21" x14ac:dyDescent="0.3">
      <c r="B3135" s="47"/>
      <c r="C3135" s="24"/>
      <c r="D3135" s="312"/>
      <c r="E3135" s="312"/>
      <c r="G3135" s="47"/>
      <c r="H3135" s="24"/>
      <c r="I3135" s="312"/>
      <c r="J3135" s="312"/>
      <c r="L3135" s="47"/>
      <c r="M3135" s="24"/>
      <c r="N3135" s="312"/>
      <c r="O3135" s="312"/>
      <c r="Q3135" s="47"/>
      <c r="R3135" s="136" t="s">
        <v>1933</v>
      </c>
      <c r="S3135" s="24" t="s">
        <v>2195</v>
      </c>
      <c r="T3135" s="155">
        <v>28297</v>
      </c>
      <c r="U3135" s="155">
        <v>0</v>
      </c>
    </row>
    <row r="3136" spans="2:21" x14ac:dyDescent="0.3">
      <c r="B3136" s="47"/>
      <c r="C3136" s="24"/>
      <c r="D3136" s="312"/>
      <c r="E3136" s="312"/>
      <c r="G3136" s="47"/>
      <c r="H3136" s="24"/>
      <c r="I3136" s="312"/>
      <c r="J3136" s="312"/>
      <c r="L3136" s="47"/>
      <c r="M3136" s="24"/>
      <c r="N3136" s="312"/>
      <c r="O3136" s="312"/>
      <c r="Q3136" s="47"/>
      <c r="R3136" s="136" t="s">
        <v>1934</v>
      </c>
      <c r="S3136" s="24" t="s">
        <v>2196</v>
      </c>
      <c r="T3136" s="155">
        <v>28297</v>
      </c>
      <c r="U3136" s="155">
        <v>0</v>
      </c>
    </row>
    <row r="3137" spans="2:21" x14ac:dyDescent="0.3">
      <c r="B3137" s="47"/>
      <c r="C3137" s="24"/>
      <c r="D3137" s="312"/>
      <c r="E3137" s="312"/>
      <c r="G3137" s="47"/>
      <c r="H3137" s="24"/>
      <c r="I3137" s="312"/>
      <c r="J3137" s="312"/>
      <c r="L3137" s="47"/>
      <c r="M3137" s="24"/>
      <c r="N3137" s="312"/>
      <c r="O3137" s="312"/>
      <c r="Q3137" s="47"/>
      <c r="R3137" s="136" t="s">
        <v>2168</v>
      </c>
      <c r="S3137" s="24" t="s">
        <v>2169</v>
      </c>
      <c r="T3137" s="155">
        <v>900</v>
      </c>
      <c r="U3137" s="155">
        <v>0</v>
      </c>
    </row>
    <row r="3138" spans="2:21" x14ac:dyDescent="0.3">
      <c r="B3138" s="47"/>
      <c r="C3138" s="24"/>
      <c r="D3138" s="312"/>
      <c r="E3138" s="312"/>
      <c r="G3138" s="47"/>
      <c r="H3138" s="24"/>
      <c r="I3138" s="312"/>
      <c r="J3138" s="312"/>
      <c r="L3138" s="47"/>
      <c r="M3138" s="24"/>
      <c r="N3138" s="312"/>
      <c r="O3138" s="312"/>
      <c r="Q3138" s="47"/>
      <c r="R3138" s="136" t="s">
        <v>2342</v>
      </c>
      <c r="S3138" s="24" t="s">
        <v>2188</v>
      </c>
      <c r="T3138" s="155">
        <v>7639</v>
      </c>
      <c r="U3138" s="155">
        <v>0</v>
      </c>
    </row>
    <row r="3139" spans="2:21" x14ac:dyDescent="0.3">
      <c r="B3139" s="47"/>
      <c r="C3139" s="24"/>
      <c r="D3139" s="312"/>
      <c r="E3139" s="312"/>
      <c r="G3139" s="47"/>
      <c r="H3139" s="24"/>
      <c r="I3139" s="312"/>
      <c r="J3139" s="312"/>
      <c r="L3139" s="47"/>
      <c r="M3139" s="24"/>
      <c r="N3139" s="312"/>
      <c r="O3139" s="312"/>
      <c r="Q3139" s="241">
        <v>80150005</v>
      </c>
      <c r="R3139" s="242"/>
      <c r="S3139" s="243" t="s">
        <v>2086</v>
      </c>
      <c r="T3139" s="239">
        <f>SUM(T3140)-SUM(U3140)</f>
        <v>467415</v>
      </c>
      <c r="U3139" s="240">
        <v>0</v>
      </c>
    </row>
    <row r="3140" spans="2:21" x14ac:dyDescent="0.3">
      <c r="B3140" s="47"/>
      <c r="C3140" s="24"/>
      <c r="D3140" s="312"/>
      <c r="E3140" s="312"/>
      <c r="G3140" s="47"/>
      <c r="H3140" s="24"/>
      <c r="I3140" s="312"/>
      <c r="J3140" s="312"/>
      <c r="L3140" s="47"/>
      <c r="M3140" s="24"/>
      <c r="N3140" s="312"/>
      <c r="O3140" s="312"/>
      <c r="Q3140" s="47"/>
      <c r="R3140" s="136" t="s">
        <v>2156</v>
      </c>
      <c r="S3140" s="24" t="s">
        <v>2157</v>
      </c>
      <c r="T3140" s="155">
        <v>467415</v>
      </c>
      <c r="U3140" s="155">
        <v>0</v>
      </c>
    </row>
    <row r="3141" spans="2:21" x14ac:dyDescent="0.3">
      <c r="B3141" s="47"/>
      <c r="C3141" s="24"/>
      <c r="D3141" s="312"/>
      <c r="E3141" s="312"/>
      <c r="G3141" s="47"/>
      <c r="H3141" s="24"/>
      <c r="I3141" s="312"/>
      <c r="J3141" s="312"/>
      <c r="L3141" s="47"/>
      <c r="M3141" s="24"/>
      <c r="N3141" s="312"/>
      <c r="O3141" s="312"/>
      <c r="Q3141" s="241">
        <v>80150006</v>
      </c>
      <c r="R3141" s="242"/>
      <c r="S3141" s="243" t="s">
        <v>2087</v>
      </c>
      <c r="T3141" s="240">
        <v>0</v>
      </c>
      <c r="U3141" s="240">
        <v>0</v>
      </c>
    </row>
    <row r="3142" spans="2:21" x14ac:dyDescent="0.3">
      <c r="B3142" s="47"/>
      <c r="C3142" s="24"/>
      <c r="D3142" s="312"/>
      <c r="E3142" s="312"/>
      <c r="G3142" s="47"/>
      <c r="H3142" s="24"/>
      <c r="I3142" s="312"/>
      <c r="J3142" s="312"/>
      <c r="L3142" s="47"/>
      <c r="M3142" s="24"/>
      <c r="N3142" s="312"/>
      <c r="O3142" s="312"/>
      <c r="Q3142" s="241">
        <v>80150007</v>
      </c>
      <c r="R3142" s="242"/>
      <c r="S3142" s="243" t="s">
        <v>2088</v>
      </c>
      <c r="T3142" s="240">
        <v>0</v>
      </c>
      <c r="U3142" s="240">
        <v>0</v>
      </c>
    </row>
    <row r="3143" spans="2:21" x14ac:dyDescent="0.3">
      <c r="B3143" s="47"/>
      <c r="C3143" s="24"/>
      <c r="D3143" s="312"/>
      <c r="E3143" s="312"/>
      <c r="G3143" s="47"/>
      <c r="H3143" s="24"/>
      <c r="I3143" s="312"/>
      <c r="J3143" s="312"/>
      <c r="L3143" s="47"/>
      <c r="M3143" s="24"/>
      <c r="N3143" s="312"/>
      <c r="O3143" s="312"/>
      <c r="Q3143" s="241">
        <v>80150008</v>
      </c>
      <c r="R3143" s="242"/>
      <c r="S3143" s="243" t="s">
        <v>2089</v>
      </c>
      <c r="T3143" s="240">
        <v>0</v>
      </c>
      <c r="U3143" s="240">
        <v>0</v>
      </c>
    </row>
    <row r="3144" spans="2:21" x14ac:dyDescent="0.3">
      <c r="B3144" s="47"/>
      <c r="C3144" s="24"/>
      <c r="D3144" s="312"/>
      <c r="E3144" s="312"/>
      <c r="G3144" s="47"/>
      <c r="H3144" s="24"/>
      <c r="I3144" s="312"/>
      <c r="J3144" s="312"/>
      <c r="L3144" s="47"/>
      <c r="M3144" s="24"/>
      <c r="N3144" s="312"/>
      <c r="O3144" s="312"/>
      <c r="Q3144" s="241">
        <v>80150021</v>
      </c>
      <c r="R3144" s="242"/>
      <c r="S3144" s="243" t="s">
        <v>2090</v>
      </c>
      <c r="T3144" s="240">
        <v>0</v>
      </c>
      <c r="U3144" s="240">
        <v>0</v>
      </c>
    </row>
    <row r="3145" spans="2:21" x14ac:dyDescent="0.3">
      <c r="B3145" s="47"/>
      <c r="C3145" s="24"/>
      <c r="D3145" s="312"/>
      <c r="E3145" s="312"/>
      <c r="G3145" s="47"/>
      <c r="H3145" s="24"/>
      <c r="I3145" s="312"/>
      <c r="J3145" s="312"/>
      <c r="L3145" s="47"/>
      <c r="M3145" s="24"/>
      <c r="N3145" s="312"/>
      <c r="O3145" s="312"/>
      <c r="Q3145" s="241">
        <v>80150022</v>
      </c>
      <c r="R3145" s="242"/>
      <c r="S3145" s="243" t="s">
        <v>2091</v>
      </c>
      <c r="T3145" s="240">
        <v>0</v>
      </c>
      <c r="U3145" s="240">
        <v>0</v>
      </c>
    </row>
    <row r="3146" spans="2:21" x14ac:dyDescent="0.3">
      <c r="B3146" s="47"/>
      <c r="C3146" s="24"/>
      <c r="D3146" s="312"/>
      <c r="E3146" s="312"/>
      <c r="G3146" s="47"/>
      <c r="H3146" s="24"/>
      <c r="I3146" s="312"/>
      <c r="J3146" s="312"/>
      <c r="L3146" s="47"/>
      <c r="M3146" s="24"/>
      <c r="N3146" s="312"/>
      <c r="O3146" s="312"/>
      <c r="Q3146" s="47"/>
      <c r="R3146" s="136"/>
      <c r="S3146" s="24"/>
      <c r="T3146" s="155"/>
      <c r="U3146" s="155"/>
    </row>
    <row r="3147" spans="2:21" x14ac:dyDescent="0.3">
      <c r="B3147" s="47"/>
      <c r="C3147" s="24"/>
      <c r="D3147" s="312"/>
      <c r="E3147" s="312"/>
      <c r="G3147" s="47"/>
      <c r="H3147" s="24"/>
      <c r="I3147" s="312"/>
      <c r="J3147" s="312"/>
      <c r="K3147">
        <v>8016</v>
      </c>
      <c r="L3147" s="241">
        <v>8016</v>
      </c>
      <c r="M3147" s="243" t="s">
        <v>2094</v>
      </c>
      <c r="N3147" s="314">
        <f>T3147</f>
        <v>0</v>
      </c>
      <c r="O3147" s="314">
        <v>0</v>
      </c>
      <c r="Q3147" s="241">
        <v>80160001</v>
      </c>
      <c r="R3147" s="242"/>
      <c r="S3147" s="243" t="s">
        <v>2095</v>
      </c>
      <c r="T3147" s="240">
        <v>0</v>
      </c>
      <c r="U3147" s="240">
        <v>0</v>
      </c>
    </row>
    <row r="3148" spans="2:21" x14ac:dyDescent="0.3">
      <c r="B3148" s="47"/>
      <c r="C3148" s="24"/>
      <c r="D3148" s="312"/>
      <c r="E3148" s="312"/>
      <c r="G3148" s="47"/>
      <c r="H3148" s="24"/>
      <c r="I3148" s="312"/>
      <c r="J3148" s="312"/>
      <c r="L3148" s="47"/>
      <c r="M3148" s="24"/>
      <c r="N3148" s="312"/>
      <c r="O3148" s="312"/>
      <c r="Q3148" s="47"/>
      <c r="R3148" s="136"/>
      <c r="S3148" s="24"/>
      <c r="T3148" s="155"/>
      <c r="U3148" s="155"/>
    </row>
    <row r="3149" spans="2:21" s="338" customFormat="1" x14ac:dyDescent="0.3">
      <c r="B3149" s="335"/>
      <c r="C3149" s="336"/>
      <c r="D3149" s="337"/>
      <c r="E3149" s="337"/>
      <c r="G3149" s="335"/>
      <c r="H3149" s="336"/>
      <c r="I3149" s="337"/>
      <c r="J3149" s="337"/>
      <c r="K3149" s="338">
        <v>8017</v>
      </c>
      <c r="L3149" s="339">
        <v>8017</v>
      </c>
      <c r="M3149" s="341" t="s">
        <v>2092</v>
      </c>
      <c r="N3149" s="343">
        <f>T3149</f>
        <v>26982</v>
      </c>
      <c r="O3149" s="343">
        <v>0</v>
      </c>
      <c r="Q3149" s="339">
        <v>80170001</v>
      </c>
      <c r="R3149" s="340"/>
      <c r="S3149" s="341" t="s">
        <v>2092</v>
      </c>
      <c r="T3149" s="344">
        <f>SUM(T3150:T3155)-SUM(U3150:U3155)</f>
        <v>26982</v>
      </c>
      <c r="U3149" s="342">
        <v>0</v>
      </c>
    </row>
    <row r="3150" spans="2:21" x14ac:dyDescent="0.3">
      <c r="B3150" s="47"/>
      <c r="C3150" s="24"/>
      <c r="D3150" s="312"/>
      <c r="E3150" s="312"/>
      <c r="G3150" s="47"/>
      <c r="H3150" s="24"/>
      <c r="I3150" s="312"/>
      <c r="J3150" s="312"/>
      <c r="L3150" s="47"/>
      <c r="M3150" s="24"/>
      <c r="N3150" s="312"/>
      <c r="O3150" s="312"/>
      <c r="Q3150" s="47"/>
      <c r="R3150" s="136" t="s">
        <v>2199</v>
      </c>
      <c r="S3150" s="24" t="s">
        <v>2200</v>
      </c>
      <c r="T3150" s="155">
        <v>4905</v>
      </c>
      <c r="U3150" s="155">
        <v>0</v>
      </c>
    </row>
    <row r="3151" spans="2:21" x14ac:dyDescent="0.3">
      <c r="B3151" s="47"/>
      <c r="C3151" s="24"/>
      <c r="D3151" s="312"/>
      <c r="E3151" s="312"/>
      <c r="G3151" s="47"/>
      <c r="H3151" s="24"/>
      <c r="I3151" s="312"/>
      <c r="J3151" s="312"/>
      <c r="L3151" s="47"/>
      <c r="M3151" s="24"/>
      <c r="N3151" s="312"/>
      <c r="O3151" s="312"/>
      <c r="Q3151" s="47"/>
      <c r="R3151" s="136" t="s">
        <v>3313</v>
      </c>
      <c r="S3151" s="24" t="s">
        <v>2211</v>
      </c>
      <c r="T3151" s="155">
        <v>4905</v>
      </c>
      <c r="U3151" s="155">
        <v>0</v>
      </c>
    </row>
    <row r="3152" spans="2:21" x14ac:dyDescent="0.3">
      <c r="B3152" s="47"/>
      <c r="C3152" s="24"/>
      <c r="D3152" s="312"/>
      <c r="E3152" s="312"/>
      <c r="G3152" s="47"/>
      <c r="H3152" s="24"/>
      <c r="I3152" s="312"/>
      <c r="J3152" s="312"/>
      <c r="L3152" s="47"/>
      <c r="M3152" s="24"/>
      <c r="N3152" s="312"/>
      <c r="O3152" s="312"/>
      <c r="Q3152" s="47"/>
      <c r="R3152" s="136" t="s">
        <v>2209</v>
      </c>
      <c r="S3152" s="24" t="s">
        <v>2210</v>
      </c>
      <c r="T3152" s="155">
        <v>4905</v>
      </c>
      <c r="U3152" s="155">
        <v>0</v>
      </c>
    </row>
    <row r="3153" spans="2:21" x14ac:dyDescent="0.3">
      <c r="B3153" s="47"/>
      <c r="C3153" s="24"/>
      <c r="D3153" s="312"/>
      <c r="E3153" s="312"/>
      <c r="G3153" s="47"/>
      <c r="H3153" s="24"/>
      <c r="I3153" s="312"/>
      <c r="J3153" s="312"/>
      <c r="L3153" s="47"/>
      <c r="M3153" s="24"/>
      <c r="N3153" s="312"/>
      <c r="O3153" s="312"/>
      <c r="Q3153" s="47"/>
      <c r="R3153" s="136" t="s">
        <v>2212</v>
      </c>
      <c r="S3153" s="24" t="s">
        <v>2213</v>
      </c>
      <c r="T3153" s="155">
        <v>4905</v>
      </c>
      <c r="U3153" s="155">
        <v>0</v>
      </c>
    </row>
    <row r="3154" spans="2:21" x14ac:dyDescent="0.3">
      <c r="B3154" s="47"/>
      <c r="C3154" s="24"/>
      <c r="D3154" s="312"/>
      <c r="E3154" s="312"/>
      <c r="G3154" s="47"/>
      <c r="H3154" s="24"/>
      <c r="I3154" s="312"/>
      <c r="J3154" s="312"/>
      <c r="L3154" s="47"/>
      <c r="M3154" s="24"/>
      <c r="N3154" s="312"/>
      <c r="O3154" s="312"/>
      <c r="Q3154" s="47"/>
      <c r="R3154" s="136" t="s">
        <v>2207</v>
      </c>
      <c r="S3154" s="24" t="s">
        <v>2208</v>
      </c>
      <c r="T3154" s="155">
        <v>3681</v>
      </c>
      <c r="U3154" s="155">
        <v>0</v>
      </c>
    </row>
    <row r="3155" spans="2:21" x14ac:dyDescent="0.3">
      <c r="B3155" s="47"/>
      <c r="C3155" s="24"/>
      <c r="D3155" s="312"/>
      <c r="E3155" s="312"/>
      <c r="G3155" s="47"/>
      <c r="H3155" s="24"/>
      <c r="I3155" s="312"/>
      <c r="J3155" s="312"/>
      <c r="L3155" s="47"/>
      <c r="M3155" s="24"/>
      <c r="N3155" s="312"/>
      <c r="O3155" s="312"/>
      <c r="Q3155" s="47"/>
      <c r="R3155" s="136" t="s">
        <v>2214</v>
      </c>
      <c r="S3155" s="24" t="s">
        <v>2215</v>
      </c>
      <c r="T3155" s="155">
        <v>3681</v>
      </c>
      <c r="U3155" s="155">
        <v>0</v>
      </c>
    </row>
    <row r="3156" spans="2:21" x14ac:dyDescent="0.3">
      <c r="B3156" s="47"/>
      <c r="C3156" s="24"/>
      <c r="D3156" s="312"/>
      <c r="E3156" s="312"/>
      <c r="G3156" s="47"/>
      <c r="H3156" s="24"/>
      <c r="I3156" s="312"/>
      <c r="J3156" s="312"/>
      <c r="L3156" s="47"/>
      <c r="M3156" s="24"/>
      <c r="N3156" s="312"/>
      <c r="O3156" s="312"/>
      <c r="Q3156" s="47"/>
      <c r="R3156" s="136"/>
      <c r="S3156" s="24"/>
      <c r="T3156" s="155"/>
      <c r="U3156" s="155"/>
    </row>
    <row r="3157" spans="2:21" s="338" customFormat="1" x14ac:dyDescent="0.3">
      <c r="B3157" s="335"/>
      <c r="C3157" s="336"/>
      <c r="D3157" s="337"/>
      <c r="E3157" s="337"/>
      <c r="G3157" s="335"/>
      <c r="H3157" s="336"/>
      <c r="I3157" s="337"/>
      <c r="J3157" s="337"/>
      <c r="K3157" s="338">
        <v>8018</v>
      </c>
      <c r="L3157" s="339">
        <v>8018</v>
      </c>
      <c r="M3157" s="341" t="s">
        <v>2096</v>
      </c>
      <c r="N3157" s="343">
        <f>T3157+T3158+T3159+T3160+T3165+T3204+T3205+T3206+T3211+T3214+T3216+T3220+T3231+T3236+T3237+T3238+T3248+T3249</f>
        <v>32008201</v>
      </c>
      <c r="O3157" s="343">
        <v>0</v>
      </c>
      <c r="Q3157" s="339">
        <v>80180001</v>
      </c>
      <c r="R3157" s="340"/>
      <c r="S3157" s="341" t="s">
        <v>2097</v>
      </c>
      <c r="T3157" s="342">
        <v>0</v>
      </c>
      <c r="U3157" s="342">
        <v>0</v>
      </c>
    </row>
    <row r="3158" spans="2:21" x14ac:dyDescent="0.3">
      <c r="B3158" s="47"/>
      <c r="C3158" s="24"/>
      <c r="D3158" s="312"/>
      <c r="E3158" s="312"/>
      <c r="G3158" s="47"/>
      <c r="H3158" s="24"/>
      <c r="I3158" s="312"/>
      <c r="J3158" s="312"/>
      <c r="L3158" s="47"/>
      <c r="M3158" s="24"/>
      <c r="N3158" s="312"/>
      <c r="O3158" s="312"/>
      <c r="Q3158" s="241">
        <v>80180002</v>
      </c>
      <c r="R3158" s="242"/>
      <c r="S3158" s="243" t="s">
        <v>1142</v>
      </c>
      <c r="T3158" s="240">
        <v>0</v>
      </c>
      <c r="U3158" s="240">
        <v>0</v>
      </c>
    </row>
    <row r="3159" spans="2:21" x14ac:dyDescent="0.3">
      <c r="B3159" s="47"/>
      <c r="C3159" s="24"/>
      <c r="D3159" s="312"/>
      <c r="E3159" s="312"/>
      <c r="G3159" s="47"/>
      <c r="H3159" s="24"/>
      <c r="I3159" s="312"/>
      <c r="J3159" s="312"/>
      <c r="L3159" s="47"/>
      <c r="M3159" s="24"/>
      <c r="N3159" s="312"/>
      <c r="O3159" s="312"/>
      <c r="Q3159" s="241">
        <v>80180003</v>
      </c>
      <c r="R3159" s="242"/>
      <c r="S3159" s="243" t="s">
        <v>1143</v>
      </c>
      <c r="T3159" s="240">
        <v>0</v>
      </c>
      <c r="U3159" s="240">
        <v>0</v>
      </c>
    </row>
    <row r="3160" spans="2:21" x14ac:dyDescent="0.3">
      <c r="B3160" s="47"/>
      <c r="C3160" s="24"/>
      <c r="D3160" s="312"/>
      <c r="E3160" s="312"/>
      <c r="G3160" s="47"/>
      <c r="H3160" s="24"/>
      <c r="I3160" s="312"/>
      <c r="J3160" s="312"/>
      <c r="L3160" s="47"/>
      <c r="M3160" s="24"/>
      <c r="N3160" s="312"/>
      <c r="O3160" s="312"/>
      <c r="Q3160" s="241">
        <v>80180004</v>
      </c>
      <c r="R3160" s="242"/>
      <c r="S3160" s="243" t="s">
        <v>1144</v>
      </c>
      <c r="T3160" s="239">
        <f>SUM(T3161:T3164)-SUM(U3161:U3164)</f>
        <v>4442889</v>
      </c>
      <c r="U3160" s="240">
        <v>0</v>
      </c>
    </row>
    <row r="3161" spans="2:21" x14ac:dyDescent="0.3">
      <c r="B3161" s="47"/>
      <c r="C3161" s="24"/>
      <c r="D3161" s="312"/>
      <c r="E3161" s="312"/>
      <c r="G3161" s="47"/>
      <c r="H3161" s="24"/>
      <c r="I3161" s="312"/>
      <c r="J3161" s="312"/>
      <c r="L3161" s="47"/>
      <c r="M3161" s="24"/>
      <c r="N3161" s="312"/>
      <c r="O3161" s="312"/>
      <c r="Q3161" s="47"/>
      <c r="R3161" s="136" t="s">
        <v>2138</v>
      </c>
      <c r="S3161" s="24" t="s">
        <v>7</v>
      </c>
      <c r="T3161" s="155">
        <v>1048326</v>
      </c>
      <c r="U3161" s="155">
        <v>0</v>
      </c>
    </row>
    <row r="3162" spans="2:21" x14ac:dyDescent="0.3">
      <c r="B3162" s="47"/>
      <c r="C3162" s="24"/>
      <c r="D3162" s="312"/>
      <c r="E3162" s="312"/>
      <c r="G3162" s="47"/>
      <c r="H3162" s="24"/>
      <c r="I3162" s="312"/>
      <c r="J3162" s="312"/>
      <c r="L3162" s="47"/>
      <c r="M3162" s="24"/>
      <c r="N3162" s="312"/>
      <c r="O3162" s="312"/>
      <c r="Q3162" s="47"/>
      <c r="R3162" s="136" t="s">
        <v>1177</v>
      </c>
      <c r="S3162" s="24" t="s">
        <v>2141</v>
      </c>
      <c r="T3162" s="155">
        <v>2086458</v>
      </c>
      <c r="U3162" s="155">
        <v>0</v>
      </c>
    </row>
    <row r="3163" spans="2:21" x14ac:dyDescent="0.3">
      <c r="B3163" s="47"/>
      <c r="C3163" s="24"/>
      <c r="D3163" s="312"/>
      <c r="E3163" s="312"/>
      <c r="G3163" s="47"/>
      <c r="H3163" s="24"/>
      <c r="I3163" s="312"/>
      <c r="J3163" s="312"/>
      <c r="L3163" s="47"/>
      <c r="M3163" s="24"/>
      <c r="N3163" s="312"/>
      <c r="O3163" s="312"/>
      <c r="Q3163" s="47"/>
      <c r="R3163" s="136" t="s">
        <v>2152</v>
      </c>
      <c r="S3163" s="24" t="s">
        <v>2153</v>
      </c>
      <c r="T3163" s="155">
        <v>1253105</v>
      </c>
      <c r="U3163" s="155">
        <v>0</v>
      </c>
    </row>
    <row r="3164" spans="2:21" x14ac:dyDescent="0.3">
      <c r="B3164" s="47"/>
      <c r="C3164" s="24"/>
      <c r="D3164" s="312"/>
      <c r="E3164" s="312"/>
      <c r="G3164" s="47"/>
      <c r="H3164" s="24"/>
      <c r="I3164" s="312"/>
      <c r="J3164" s="312"/>
      <c r="L3164" s="47"/>
      <c r="M3164" s="24"/>
      <c r="N3164" s="312"/>
      <c r="O3164" s="312"/>
      <c r="Q3164" s="47"/>
      <c r="R3164" s="136" t="s">
        <v>1898</v>
      </c>
      <c r="S3164" s="24" t="s">
        <v>2218</v>
      </c>
      <c r="T3164" s="155">
        <v>55000</v>
      </c>
      <c r="U3164" s="155">
        <v>0</v>
      </c>
    </row>
    <row r="3165" spans="2:21" x14ac:dyDescent="0.3">
      <c r="B3165" s="47"/>
      <c r="C3165" s="24"/>
      <c r="D3165" s="312"/>
      <c r="E3165" s="312"/>
      <c r="G3165" s="47"/>
      <c r="H3165" s="24"/>
      <c r="I3165" s="312"/>
      <c r="J3165" s="312"/>
      <c r="L3165" s="47"/>
      <c r="M3165" s="24"/>
      <c r="N3165" s="312"/>
      <c r="O3165" s="312"/>
      <c r="Q3165" s="241">
        <v>80180005</v>
      </c>
      <c r="R3165" s="242"/>
      <c r="S3165" s="243" t="s">
        <v>1145</v>
      </c>
      <c r="T3165" s="239">
        <f>SUM(T3166:T3203)-SUM(U3166:U3203)</f>
        <v>2849095</v>
      </c>
      <c r="U3165" s="240">
        <v>0</v>
      </c>
    </row>
    <row r="3166" spans="2:21" x14ac:dyDescent="0.3">
      <c r="B3166" s="47"/>
      <c r="C3166" s="24"/>
      <c r="D3166" s="312"/>
      <c r="E3166" s="312"/>
      <c r="G3166" s="47"/>
      <c r="H3166" s="24"/>
      <c r="I3166" s="312"/>
      <c r="J3166" s="312"/>
      <c r="L3166" s="47"/>
      <c r="M3166" s="24"/>
      <c r="N3166" s="312"/>
      <c r="O3166" s="312"/>
      <c r="Q3166" s="47"/>
      <c r="R3166" s="136" t="s">
        <v>1931</v>
      </c>
      <c r="S3166" s="24" t="s">
        <v>1932</v>
      </c>
      <c r="T3166" s="155">
        <v>189799</v>
      </c>
      <c r="U3166" s="155">
        <v>0</v>
      </c>
    </row>
    <row r="3167" spans="2:21" x14ac:dyDescent="0.3">
      <c r="B3167" s="47"/>
      <c r="C3167" s="24"/>
      <c r="D3167" s="312"/>
      <c r="E3167" s="312"/>
      <c r="G3167" s="47"/>
      <c r="H3167" s="24"/>
      <c r="I3167" s="312"/>
      <c r="J3167" s="312"/>
      <c r="L3167" s="47"/>
      <c r="M3167" s="24"/>
      <c r="N3167" s="312"/>
      <c r="O3167" s="312"/>
      <c r="Q3167" s="47"/>
      <c r="R3167" s="136" t="s">
        <v>1933</v>
      </c>
      <c r="S3167" s="24" t="s">
        <v>2195</v>
      </c>
      <c r="T3167" s="155">
        <v>55000</v>
      </c>
      <c r="U3167" s="155">
        <v>0</v>
      </c>
    </row>
    <row r="3168" spans="2:21" x14ac:dyDescent="0.3">
      <c r="B3168" s="47"/>
      <c r="C3168" s="24"/>
      <c r="D3168" s="312"/>
      <c r="E3168" s="312"/>
      <c r="G3168" s="47"/>
      <c r="H3168" s="24"/>
      <c r="I3168" s="312"/>
      <c r="J3168" s="312"/>
      <c r="L3168" s="47"/>
      <c r="M3168" s="24"/>
      <c r="N3168" s="312"/>
      <c r="O3168" s="312"/>
      <c r="Q3168" s="47"/>
      <c r="R3168" s="136" t="s">
        <v>1934</v>
      </c>
      <c r="S3168" s="24" t="s">
        <v>2196</v>
      </c>
      <c r="T3168" s="155">
        <v>33600</v>
      </c>
      <c r="U3168" s="155">
        <v>0</v>
      </c>
    </row>
    <row r="3169" spans="2:21" x14ac:dyDescent="0.3">
      <c r="B3169" s="47"/>
      <c r="C3169" s="24"/>
      <c r="D3169" s="312"/>
      <c r="E3169" s="312"/>
      <c r="G3169" s="47"/>
      <c r="H3169" s="24"/>
      <c r="I3169" s="312"/>
      <c r="J3169" s="312"/>
      <c r="L3169" s="47"/>
      <c r="M3169" s="24"/>
      <c r="N3169" s="312"/>
      <c r="O3169" s="312"/>
      <c r="Q3169" s="47"/>
      <c r="R3169" s="136" t="s">
        <v>2138</v>
      </c>
      <c r="S3169" s="24" t="s">
        <v>7</v>
      </c>
      <c r="T3169" s="155">
        <v>30000</v>
      </c>
      <c r="U3169" s="155">
        <v>0</v>
      </c>
    </row>
    <row r="3170" spans="2:21" x14ac:dyDescent="0.3">
      <c r="B3170" s="47"/>
      <c r="C3170" s="24"/>
      <c r="D3170" s="312"/>
      <c r="E3170" s="312"/>
      <c r="G3170" s="47"/>
      <c r="H3170" s="24"/>
      <c r="I3170" s="312"/>
      <c r="J3170" s="312"/>
      <c r="L3170" s="47"/>
      <c r="M3170" s="24"/>
      <c r="N3170" s="312"/>
      <c r="O3170" s="312"/>
      <c r="Q3170" s="47"/>
      <c r="R3170" s="136" t="s">
        <v>2199</v>
      </c>
      <c r="S3170" s="24" t="s">
        <v>2200</v>
      </c>
      <c r="T3170" s="155">
        <v>70715</v>
      </c>
      <c r="U3170" s="155">
        <v>0</v>
      </c>
    </row>
    <row r="3171" spans="2:21" x14ac:dyDescent="0.3">
      <c r="B3171" s="47"/>
      <c r="C3171" s="24"/>
      <c r="D3171" s="312"/>
      <c r="E3171" s="312"/>
      <c r="G3171" s="47"/>
      <c r="H3171" s="24"/>
      <c r="I3171" s="312"/>
      <c r="J3171" s="312"/>
      <c r="L3171" s="47"/>
      <c r="M3171" s="24"/>
      <c r="N3171" s="312"/>
      <c r="O3171" s="312"/>
      <c r="Q3171" s="47"/>
      <c r="R3171" s="136" t="s">
        <v>2201</v>
      </c>
      <c r="S3171" s="24" t="s">
        <v>2202</v>
      </c>
      <c r="T3171" s="155">
        <v>31871</v>
      </c>
      <c r="U3171" s="155">
        <v>0</v>
      </c>
    </row>
    <row r="3172" spans="2:21" x14ac:dyDescent="0.3">
      <c r="B3172" s="47"/>
      <c r="C3172" s="24"/>
      <c r="D3172" s="312"/>
      <c r="E3172" s="312"/>
      <c r="G3172" s="47"/>
      <c r="H3172" s="24"/>
      <c r="I3172" s="312"/>
      <c r="J3172" s="312"/>
      <c r="L3172" s="47"/>
      <c r="M3172" s="24"/>
      <c r="N3172" s="312"/>
      <c r="O3172" s="312"/>
      <c r="Q3172" s="47"/>
      <c r="R3172" s="136" t="s">
        <v>2203</v>
      </c>
      <c r="S3172" s="24" t="s">
        <v>2204</v>
      </c>
      <c r="T3172" s="155">
        <v>43960</v>
      </c>
      <c r="U3172" s="155">
        <v>0</v>
      </c>
    </row>
    <row r="3173" spans="2:21" x14ac:dyDescent="0.3">
      <c r="B3173" s="47"/>
      <c r="C3173" s="24"/>
      <c r="D3173" s="312"/>
      <c r="E3173" s="312"/>
      <c r="G3173" s="47"/>
      <c r="H3173" s="24"/>
      <c r="I3173" s="312"/>
      <c r="J3173" s="312"/>
      <c r="L3173" s="47"/>
      <c r="M3173" s="24"/>
      <c r="N3173" s="312"/>
      <c r="O3173" s="312"/>
      <c r="Q3173" s="47"/>
      <c r="R3173" s="136" t="s">
        <v>2205</v>
      </c>
      <c r="S3173" s="24" t="s">
        <v>2206</v>
      </c>
      <c r="T3173" s="155">
        <v>43960</v>
      </c>
      <c r="U3173" s="155">
        <v>0</v>
      </c>
    </row>
    <row r="3174" spans="2:21" x14ac:dyDescent="0.3">
      <c r="B3174" s="47"/>
      <c r="C3174" s="24"/>
      <c r="D3174" s="312"/>
      <c r="E3174" s="312"/>
      <c r="G3174" s="47"/>
      <c r="H3174" s="24"/>
      <c r="I3174" s="312"/>
      <c r="J3174" s="312"/>
      <c r="L3174" s="47"/>
      <c r="M3174" s="24"/>
      <c r="N3174" s="312"/>
      <c r="O3174" s="312"/>
      <c r="Q3174" s="47"/>
      <c r="R3174" s="136" t="s">
        <v>2207</v>
      </c>
      <c r="S3174" s="24" t="s">
        <v>2208</v>
      </c>
      <c r="T3174" s="155">
        <v>80729</v>
      </c>
      <c r="U3174" s="155">
        <v>0</v>
      </c>
    </row>
    <row r="3175" spans="2:21" x14ac:dyDescent="0.3">
      <c r="B3175" s="47"/>
      <c r="C3175" s="24"/>
      <c r="D3175" s="312"/>
      <c r="E3175" s="312"/>
      <c r="G3175" s="47"/>
      <c r="H3175" s="24"/>
      <c r="I3175" s="312"/>
      <c r="J3175" s="312"/>
      <c r="L3175" s="47"/>
      <c r="M3175" s="24"/>
      <c r="N3175" s="312"/>
      <c r="O3175" s="312"/>
      <c r="Q3175" s="47"/>
      <c r="R3175" s="136" t="s">
        <v>2209</v>
      </c>
      <c r="S3175" s="24" t="s">
        <v>2210</v>
      </c>
      <c r="T3175" s="155">
        <v>39697</v>
      </c>
      <c r="U3175" s="155">
        <v>0</v>
      </c>
    </row>
    <row r="3176" spans="2:21" x14ac:dyDescent="0.3">
      <c r="B3176" s="47"/>
      <c r="C3176" s="24"/>
      <c r="D3176" s="312"/>
      <c r="E3176" s="312"/>
      <c r="G3176" s="47"/>
      <c r="H3176" s="24"/>
      <c r="I3176" s="312"/>
      <c r="J3176" s="312"/>
      <c r="L3176" s="47"/>
      <c r="M3176" s="24"/>
      <c r="N3176" s="312"/>
      <c r="O3176" s="312"/>
      <c r="Q3176" s="47"/>
      <c r="R3176" s="136" t="s">
        <v>2340</v>
      </c>
      <c r="S3176" s="24" t="s">
        <v>2159</v>
      </c>
      <c r="T3176" s="155">
        <v>58871</v>
      </c>
      <c r="U3176" s="155">
        <v>0</v>
      </c>
    </row>
    <row r="3177" spans="2:21" x14ac:dyDescent="0.3">
      <c r="B3177" s="47"/>
      <c r="C3177" s="24"/>
      <c r="D3177" s="312"/>
      <c r="E3177" s="312"/>
      <c r="G3177" s="47"/>
      <c r="H3177" s="24"/>
      <c r="I3177" s="312"/>
      <c r="J3177" s="312"/>
      <c r="L3177" s="47"/>
      <c r="M3177" s="24"/>
      <c r="N3177" s="312"/>
      <c r="O3177" s="312"/>
      <c r="Q3177" s="47"/>
      <c r="R3177" s="136" t="s">
        <v>2160</v>
      </c>
      <c r="S3177" s="24" t="s">
        <v>2161</v>
      </c>
      <c r="T3177" s="155">
        <v>11593</v>
      </c>
      <c r="U3177" s="155">
        <v>0</v>
      </c>
    </row>
    <row r="3178" spans="2:21" x14ac:dyDescent="0.3">
      <c r="B3178" s="47"/>
      <c r="C3178" s="24"/>
      <c r="D3178" s="312"/>
      <c r="E3178" s="312"/>
      <c r="G3178" s="47"/>
      <c r="H3178" s="24"/>
      <c r="I3178" s="312"/>
      <c r="J3178" s="312"/>
      <c r="L3178" s="47"/>
      <c r="M3178" s="24"/>
      <c r="N3178" s="312"/>
      <c r="O3178" s="312"/>
      <c r="Q3178" s="47"/>
      <c r="R3178" s="136" t="s">
        <v>2162</v>
      </c>
      <c r="S3178" s="24" t="s">
        <v>2163</v>
      </c>
      <c r="T3178" s="155">
        <v>25570</v>
      </c>
      <c r="U3178" s="155">
        <v>0</v>
      </c>
    </row>
    <row r="3179" spans="2:21" x14ac:dyDescent="0.3">
      <c r="B3179" s="47"/>
      <c r="C3179" s="24"/>
      <c r="D3179" s="312"/>
      <c r="E3179" s="312"/>
      <c r="G3179" s="47"/>
      <c r="H3179" s="24"/>
      <c r="I3179" s="312"/>
      <c r="J3179" s="312"/>
      <c r="L3179" s="47"/>
      <c r="M3179" s="24"/>
      <c r="N3179" s="312"/>
      <c r="O3179" s="312"/>
      <c r="Q3179" s="47"/>
      <c r="R3179" s="136" t="s">
        <v>2165</v>
      </c>
      <c r="S3179" s="24" t="s">
        <v>2166</v>
      </c>
      <c r="T3179" s="155">
        <v>22882</v>
      </c>
      <c r="U3179" s="155">
        <v>0</v>
      </c>
    </row>
    <row r="3180" spans="2:21" x14ac:dyDescent="0.3">
      <c r="B3180" s="47"/>
      <c r="C3180" s="24"/>
      <c r="D3180" s="312"/>
      <c r="E3180" s="312"/>
      <c r="G3180" s="47"/>
      <c r="H3180" s="24"/>
      <c r="I3180" s="312"/>
      <c r="J3180" s="312"/>
      <c r="L3180" s="47"/>
      <c r="M3180" s="24"/>
      <c r="N3180" s="312"/>
      <c r="O3180" s="312"/>
      <c r="Q3180" s="47"/>
      <c r="R3180" s="136" t="s">
        <v>2168</v>
      </c>
      <c r="S3180" s="24" t="s">
        <v>2169</v>
      </c>
      <c r="T3180" s="155">
        <v>16228</v>
      </c>
      <c r="U3180" s="155">
        <v>0</v>
      </c>
    </row>
    <row r="3181" spans="2:21" x14ac:dyDescent="0.3">
      <c r="B3181" s="47"/>
      <c r="C3181" s="24"/>
      <c r="D3181" s="312"/>
      <c r="E3181" s="312"/>
      <c r="G3181" s="47"/>
      <c r="H3181" s="24"/>
      <c r="I3181" s="312"/>
      <c r="J3181" s="312"/>
      <c r="L3181" s="47"/>
      <c r="M3181" s="24"/>
      <c r="N3181" s="312"/>
      <c r="O3181" s="312"/>
      <c r="Q3181" s="47"/>
      <c r="R3181" s="136" t="s">
        <v>3313</v>
      </c>
      <c r="S3181" s="24" t="s">
        <v>2211</v>
      </c>
      <c r="T3181" s="155">
        <v>63882</v>
      </c>
      <c r="U3181" s="155">
        <v>0</v>
      </c>
    </row>
    <row r="3182" spans="2:21" x14ac:dyDescent="0.3">
      <c r="B3182" s="47"/>
      <c r="C3182" s="24"/>
      <c r="D3182" s="312"/>
      <c r="E3182" s="312"/>
      <c r="G3182" s="47"/>
      <c r="H3182" s="24"/>
      <c r="I3182" s="312"/>
      <c r="J3182" s="312"/>
      <c r="L3182" s="47"/>
      <c r="M3182" s="24"/>
      <c r="N3182" s="312"/>
      <c r="O3182" s="312"/>
      <c r="Q3182" s="47"/>
      <c r="R3182" s="136" t="s">
        <v>2212</v>
      </c>
      <c r="S3182" s="24" t="s">
        <v>2213</v>
      </c>
      <c r="T3182" s="155">
        <v>31545</v>
      </c>
      <c r="U3182" s="155">
        <v>0</v>
      </c>
    </row>
    <row r="3183" spans="2:21" x14ac:dyDescent="0.3">
      <c r="B3183" s="47"/>
      <c r="C3183" s="24"/>
      <c r="D3183" s="312"/>
      <c r="E3183" s="312"/>
      <c r="G3183" s="47"/>
      <c r="H3183" s="24"/>
      <c r="I3183" s="312"/>
      <c r="J3183" s="312"/>
      <c r="L3183" s="47"/>
      <c r="M3183" s="24"/>
      <c r="N3183" s="312"/>
      <c r="O3183" s="312"/>
      <c r="Q3183" s="47"/>
      <c r="R3183" s="136" t="s">
        <v>2214</v>
      </c>
      <c r="S3183" s="24" t="s">
        <v>2215</v>
      </c>
      <c r="T3183" s="155">
        <v>70519</v>
      </c>
      <c r="U3183" s="155">
        <v>0</v>
      </c>
    </row>
    <row r="3184" spans="2:21" x14ac:dyDescent="0.3">
      <c r="B3184" s="47"/>
      <c r="C3184" s="24"/>
      <c r="D3184" s="312"/>
      <c r="E3184" s="312"/>
      <c r="G3184" s="47"/>
      <c r="H3184" s="24"/>
      <c r="I3184" s="312"/>
      <c r="J3184" s="312"/>
      <c r="L3184" s="47"/>
      <c r="M3184" s="24"/>
      <c r="N3184" s="312"/>
      <c r="O3184" s="312"/>
      <c r="Q3184" s="47"/>
      <c r="R3184" s="136" t="s">
        <v>1985</v>
      </c>
      <c r="S3184" s="24" t="s">
        <v>2197</v>
      </c>
      <c r="T3184" s="155">
        <v>60650</v>
      </c>
      <c r="U3184" s="155">
        <v>0</v>
      </c>
    </row>
    <row r="3185" spans="2:21" x14ac:dyDescent="0.3">
      <c r="B3185" s="47"/>
      <c r="C3185" s="24"/>
      <c r="D3185" s="312"/>
      <c r="E3185" s="312"/>
      <c r="G3185" s="47"/>
      <c r="H3185" s="24"/>
      <c r="I3185" s="312"/>
      <c r="J3185" s="312"/>
      <c r="L3185" s="47"/>
      <c r="M3185" s="24"/>
      <c r="N3185" s="312"/>
      <c r="O3185" s="312"/>
      <c r="Q3185" s="47"/>
      <c r="R3185" s="136" t="s">
        <v>1895</v>
      </c>
      <c r="S3185" s="24" t="s">
        <v>2174</v>
      </c>
      <c r="T3185" s="155">
        <v>87663</v>
      </c>
      <c r="U3185" s="155">
        <v>0</v>
      </c>
    </row>
    <row r="3186" spans="2:21" x14ac:dyDescent="0.3">
      <c r="B3186" s="47"/>
      <c r="C3186" s="24"/>
      <c r="D3186" s="312"/>
      <c r="E3186" s="312"/>
      <c r="G3186" s="47"/>
      <c r="H3186" s="24"/>
      <c r="I3186" s="312"/>
      <c r="J3186" s="312"/>
      <c r="L3186" s="47"/>
      <c r="M3186" s="24"/>
      <c r="N3186" s="312"/>
      <c r="O3186" s="312"/>
      <c r="Q3186" s="47"/>
      <c r="R3186" s="136" t="s">
        <v>2177</v>
      </c>
      <c r="S3186" s="24" t="s">
        <v>2341</v>
      </c>
      <c r="T3186" s="155">
        <v>229661</v>
      </c>
      <c r="U3186" s="155">
        <v>0</v>
      </c>
    </row>
    <row r="3187" spans="2:21" x14ac:dyDescent="0.3">
      <c r="B3187" s="47"/>
      <c r="C3187" s="24"/>
      <c r="D3187" s="312"/>
      <c r="E3187" s="312"/>
      <c r="G3187" s="47"/>
      <c r="H3187" s="24"/>
      <c r="I3187" s="312"/>
      <c r="J3187" s="312"/>
      <c r="L3187" s="47"/>
      <c r="M3187" s="24"/>
      <c r="N3187" s="312"/>
      <c r="O3187" s="312"/>
      <c r="Q3187" s="47"/>
      <c r="R3187" s="136" t="s">
        <v>2183</v>
      </c>
      <c r="S3187" s="24" t="s">
        <v>2182</v>
      </c>
      <c r="T3187" s="155">
        <v>74047</v>
      </c>
      <c r="U3187" s="155">
        <v>0</v>
      </c>
    </row>
    <row r="3188" spans="2:21" x14ac:dyDescent="0.3">
      <c r="B3188" s="47"/>
      <c r="C3188" s="24"/>
      <c r="D3188" s="312"/>
      <c r="E3188" s="312"/>
      <c r="G3188" s="47"/>
      <c r="H3188" s="24"/>
      <c r="I3188" s="312"/>
      <c r="J3188" s="312"/>
      <c r="L3188" s="47"/>
      <c r="M3188" s="24"/>
      <c r="N3188" s="312"/>
      <c r="O3188" s="312"/>
      <c r="Q3188" s="47"/>
      <c r="R3188" s="136" t="s">
        <v>2185</v>
      </c>
      <c r="S3188" s="24" t="s">
        <v>2184</v>
      </c>
      <c r="T3188" s="155">
        <v>25572</v>
      </c>
      <c r="U3188" s="155">
        <v>0</v>
      </c>
    </row>
    <row r="3189" spans="2:21" x14ac:dyDescent="0.3">
      <c r="B3189" s="47"/>
      <c r="C3189" s="24"/>
      <c r="D3189" s="312"/>
      <c r="E3189" s="312"/>
      <c r="G3189" s="47"/>
      <c r="H3189" s="24"/>
      <c r="I3189" s="312"/>
      <c r="J3189" s="312"/>
      <c r="L3189" s="47"/>
      <c r="M3189" s="24"/>
      <c r="N3189" s="312"/>
      <c r="O3189" s="312"/>
      <c r="Q3189" s="47"/>
      <c r="R3189" s="136" t="s">
        <v>2187</v>
      </c>
      <c r="S3189" s="24" t="s">
        <v>2186</v>
      </c>
      <c r="T3189" s="155">
        <v>105464</v>
      </c>
      <c r="U3189" s="155">
        <v>0</v>
      </c>
    </row>
    <row r="3190" spans="2:21" x14ac:dyDescent="0.3">
      <c r="B3190" s="47"/>
      <c r="C3190" s="24"/>
      <c r="D3190" s="312"/>
      <c r="E3190" s="312"/>
      <c r="G3190" s="47"/>
      <c r="H3190" s="24"/>
      <c r="I3190" s="312"/>
      <c r="J3190" s="312"/>
      <c r="L3190" s="47"/>
      <c r="M3190" s="24"/>
      <c r="N3190" s="312"/>
      <c r="O3190" s="312"/>
      <c r="Q3190" s="47"/>
      <c r="R3190" s="136" t="s">
        <v>2342</v>
      </c>
      <c r="S3190" s="24" t="s">
        <v>2188</v>
      </c>
      <c r="T3190" s="155">
        <v>65694</v>
      </c>
      <c r="U3190" s="155">
        <v>0</v>
      </c>
    </row>
    <row r="3191" spans="2:21" x14ac:dyDescent="0.3">
      <c r="B3191" s="47"/>
      <c r="C3191" s="24"/>
      <c r="D3191" s="312"/>
      <c r="E3191" s="312"/>
      <c r="G3191" s="47"/>
      <c r="H3191" s="24"/>
      <c r="I3191" s="312"/>
      <c r="J3191" s="312"/>
      <c r="L3191" s="47"/>
      <c r="M3191" s="24"/>
      <c r="N3191" s="312"/>
      <c r="O3191" s="312"/>
      <c r="Q3191" s="47"/>
      <c r="R3191" s="136" t="s">
        <v>2342</v>
      </c>
      <c r="S3191" s="24" t="s">
        <v>2188</v>
      </c>
      <c r="T3191" s="155">
        <v>75803</v>
      </c>
      <c r="U3191" s="155">
        <v>0</v>
      </c>
    </row>
    <row r="3192" spans="2:21" x14ac:dyDescent="0.3">
      <c r="B3192" s="47"/>
      <c r="C3192" s="24"/>
      <c r="D3192" s="312"/>
      <c r="E3192" s="312"/>
      <c r="G3192" s="47"/>
      <c r="H3192" s="24"/>
      <c r="I3192" s="312"/>
      <c r="J3192" s="312"/>
      <c r="L3192" s="47"/>
      <c r="M3192" s="24"/>
      <c r="N3192" s="312"/>
      <c r="O3192" s="312"/>
      <c r="Q3192" s="47"/>
      <c r="R3192" s="136" t="s">
        <v>2190</v>
      </c>
      <c r="S3192" s="24" t="s">
        <v>2189</v>
      </c>
      <c r="T3192" s="155">
        <v>33918</v>
      </c>
      <c r="U3192" s="155">
        <v>0</v>
      </c>
    </row>
    <row r="3193" spans="2:21" x14ac:dyDescent="0.3">
      <c r="B3193" s="47"/>
      <c r="C3193" s="24"/>
      <c r="D3193" s="312"/>
      <c r="E3193" s="312"/>
      <c r="G3193" s="47"/>
      <c r="H3193" s="24"/>
      <c r="I3193" s="312"/>
      <c r="J3193" s="312"/>
      <c r="L3193" s="47"/>
      <c r="M3193" s="24"/>
      <c r="N3193" s="312"/>
      <c r="O3193" s="312"/>
      <c r="Q3193" s="47"/>
      <c r="R3193" s="136" t="s">
        <v>2192</v>
      </c>
      <c r="S3193" s="24" t="s">
        <v>2191</v>
      </c>
      <c r="T3193" s="155">
        <v>18246</v>
      </c>
      <c r="U3193" s="155">
        <v>0</v>
      </c>
    </row>
    <row r="3194" spans="2:21" x14ac:dyDescent="0.3">
      <c r="B3194" s="47"/>
      <c r="C3194" s="24"/>
      <c r="D3194" s="312"/>
      <c r="E3194" s="312"/>
      <c r="G3194" s="47"/>
      <c r="H3194" s="24"/>
      <c r="I3194" s="312"/>
      <c r="J3194" s="312"/>
      <c r="L3194" s="47"/>
      <c r="M3194" s="24"/>
      <c r="N3194" s="312"/>
      <c r="O3194" s="312"/>
      <c r="Q3194" s="47"/>
      <c r="R3194" s="136" t="s">
        <v>1896</v>
      </c>
      <c r="S3194" s="24" t="s">
        <v>2193</v>
      </c>
      <c r="T3194" s="155">
        <v>25569</v>
      </c>
      <c r="U3194" s="155">
        <v>0</v>
      </c>
    </row>
    <row r="3195" spans="2:21" x14ac:dyDescent="0.3">
      <c r="B3195" s="47"/>
      <c r="C3195" s="24"/>
      <c r="D3195" s="312"/>
      <c r="E3195" s="312"/>
      <c r="G3195" s="47"/>
      <c r="H3195" s="24"/>
      <c r="I3195" s="312"/>
      <c r="J3195" s="312"/>
      <c r="L3195" s="47"/>
      <c r="M3195" s="24"/>
      <c r="N3195" s="312"/>
      <c r="O3195" s="312"/>
      <c r="Q3195" s="47"/>
      <c r="R3195" s="136" t="s">
        <v>3291</v>
      </c>
      <c r="S3195" s="24" t="s">
        <v>2171</v>
      </c>
      <c r="T3195" s="155">
        <v>88487</v>
      </c>
      <c r="U3195" s="155">
        <v>0</v>
      </c>
    </row>
    <row r="3196" spans="2:21" x14ac:dyDescent="0.3">
      <c r="B3196" s="47"/>
      <c r="C3196" s="24"/>
      <c r="D3196" s="312"/>
      <c r="E3196" s="312"/>
      <c r="G3196" s="47"/>
      <c r="H3196" s="24"/>
      <c r="I3196" s="312"/>
      <c r="J3196" s="312"/>
      <c r="L3196" s="47"/>
      <c r="M3196" s="24"/>
      <c r="N3196" s="312"/>
      <c r="O3196" s="312"/>
      <c r="Q3196" s="47"/>
      <c r="R3196" s="136" t="s">
        <v>1898</v>
      </c>
      <c r="S3196" s="24" t="s">
        <v>2218</v>
      </c>
      <c r="T3196" s="155">
        <v>274650</v>
      </c>
      <c r="U3196" s="155">
        <v>0</v>
      </c>
    </row>
    <row r="3197" spans="2:21" x14ac:dyDescent="0.3">
      <c r="B3197" s="47"/>
      <c r="C3197" s="24"/>
      <c r="D3197" s="312"/>
      <c r="E3197" s="312"/>
      <c r="G3197" s="47"/>
      <c r="H3197" s="24"/>
      <c r="I3197" s="312"/>
      <c r="J3197" s="312"/>
      <c r="L3197" s="47"/>
      <c r="M3197" s="24"/>
      <c r="N3197" s="312"/>
      <c r="O3197" s="312"/>
      <c r="Q3197" s="47"/>
      <c r="R3197" s="136" t="s">
        <v>2219</v>
      </c>
      <c r="S3197" s="24" t="s">
        <v>2220</v>
      </c>
      <c r="T3197" s="155">
        <v>28800</v>
      </c>
      <c r="U3197" s="155">
        <v>0</v>
      </c>
    </row>
    <row r="3198" spans="2:21" x14ac:dyDescent="0.3">
      <c r="B3198" s="47"/>
      <c r="C3198" s="24"/>
      <c r="D3198" s="312"/>
      <c r="E3198" s="312"/>
      <c r="G3198" s="47"/>
      <c r="H3198" s="24"/>
      <c r="I3198" s="312"/>
      <c r="J3198" s="312"/>
      <c r="L3198" s="47"/>
      <c r="M3198" s="24"/>
      <c r="N3198" s="312"/>
      <c r="O3198" s="312"/>
      <c r="Q3198" s="47"/>
      <c r="R3198" s="136" t="s">
        <v>2221</v>
      </c>
      <c r="S3198" s="24" t="s">
        <v>2222</v>
      </c>
      <c r="T3198" s="155">
        <v>2250</v>
      </c>
      <c r="U3198" s="155">
        <v>0</v>
      </c>
    </row>
    <row r="3199" spans="2:21" x14ac:dyDescent="0.3">
      <c r="B3199" s="47"/>
      <c r="C3199" s="24"/>
      <c r="D3199" s="312"/>
      <c r="E3199" s="312"/>
      <c r="G3199" s="47"/>
      <c r="H3199" s="24"/>
      <c r="I3199" s="312"/>
      <c r="J3199" s="312"/>
      <c r="L3199" s="47"/>
      <c r="M3199" s="24"/>
      <c r="N3199" s="312"/>
      <c r="O3199" s="312"/>
      <c r="Q3199" s="47"/>
      <c r="R3199" s="136" t="s">
        <v>2223</v>
      </c>
      <c r="S3199" s="24" t="s">
        <v>2224</v>
      </c>
      <c r="T3199" s="155">
        <v>53200</v>
      </c>
      <c r="U3199" s="155">
        <v>0</v>
      </c>
    </row>
    <row r="3200" spans="2:21" x14ac:dyDescent="0.3">
      <c r="B3200" s="47"/>
      <c r="C3200" s="24"/>
      <c r="D3200" s="312"/>
      <c r="E3200" s="312"/>
      <c r="G3200" s="47"/>
      <c r="H3200" s="24"/>
      <c r="I3200" s="312"/>
      <c r="J3200" s="312"/>
      <c r="L3200" s="47"/>
      <c r="M3200" s="24"/>
      <c r="N3200" s="312"/>
      <c r="O3200" s="312"/>
      <c r="Q3200" s="47"/>
      <c r="R3200" s="136" t="s">
        <v>2226</v>
      </c>
      <c r="S3200" s="24" t="s">
        <v>2227</v>
      </c>
      <c r="T3200" s="155">
        <v>11500</v>
      </c>
      <c r="U3200" s="155">
        <v>0</v>
      </c>
    </row>
    <row r="3201" spans="2:21" x14ac:dyDescent="0.3">
      <c r="B3201" s="47"/>
      <c r="C3201" s="24"/>
      <c r="D3201" s="312"/>
      <c r="E3201" s="312"/>
      <c r="G3201" s="47"/>
      <c r="H3201" s="24"/>
      <c r="I3201" s="312"/>
      <c r="J3201" s="312"/>
      <c r="L3201" s="47"/>
      <c r="M3201" s="24"/>
      <c r="N3201" s="312"/>
      <c r="O3201" s="312"/>
      <c r="Q3201" s="47"/>
      <c r="R3201" s="136" t="s">
        <v>2228</v>
      </c>
      <c r="S3201" s="24" t="s">
        <v>1990</v>
      </c>
      <c r="T3201" s="155">
        <v>373500</v>
      </c>
      <c r="U3201" s="155">
        <v>0</v>
      </c>
    </row>
    <row r="3202" spans="2:21" x14ac:dyDescent="0.3">
      <c r="B3202" s="47"/>
      <c r="C3202" s="24"/>
      <c r="D3202" s="312"/>
      <c r="E3202" s="312"/>
      <c r="G3202" s="47"/>
      <c r="H3202" s="24"/>
      <c r="I3202" s="312"/>
      <c r="J3202" s="312"/>
      <c r="L3202" s="47"/>
      <c r="M3202" s="24"/>
      <c r="N3202" s="312"/>
      <c r="O3202" s="312"/>
      <c r="Q3202" s="47"/>
      <c r="R3202" s="136" t="s">
        <v>2232</v>
      </c>
      <c r="S3202" s="24" t="s">
        <v>1988</v>
      </c>
      <c r="T3202" s="155">
        <v>290000</v>
      </c>
      <c r="U3202" s="155">
        <v>0</v>
      </c>
    </row>
    <row r="3203" spans="2:21" x14ac:dyDescent="0.3">
      <c r="B3203" s="47"/>
      <c r="C3203" s="24"/>
      <c r="D3203" s="312"/>
      <c r="E3203" s="312"/>
      <c r="G3203" s="47"/>
      <c r="H3203" s="24"/>
      <c r="I3203" s="312"/>
      <c r="J3203" s="312"/>
      <c r="L3203" s="47"/>
      <c r="M3203" s="24"/>
      <c r="N3203" s="312"/>
      <c r="O3203" s="312"/>
      <c r="Q3203" s="47"/>
      <c r="R3203" s="136" t="s">
        <v>2234</v>
      </c>
      <c r="S3203" s="24" t="s">
        <v>2235</v>
      </c>
      <c r="T3203" s="155">
        <v>4000</v>
      </c>
      <c r="U3203" s="155">
        <v>0</v>
      </c>
    </row>
    <row r="3204" spans="2:21" x14ac:dyDescent="0.3">
      <c r="B3204" s="47"/>
      <c r="C3204" s="24"/>
      <c r="D3204" s="312"/>
      <c r="E3204" s="312"/>
      <c r="G3204" s="47"/>
      <c r="H3204" s="24"/>
      <c r="I3204" s="312"/>
      <c r="J3204" s="312"/>
      <c r="L3204" s="47"/>
      <c r="M3204" s="24"/>
      <c r="N3204" s="312"/>
      <c r="O3204" s="312"/>
      <c r="Q3204" s="241">
        <v>80180006</v>
      </c>
      <c r="R3204" s="242"/>
      <c r="S3204" s="243" t="s">
        <v>1146</v>
      </c>
      <c r="T3204" s="240">
        <v>0</v>
      </c>
      <c r="U3204" s="240">
        <v>0</v>
      </c>
    </row>
    <row r="3205" spans="2:21" x14ac:dyDescent="0.3">
      <c r="B3205" s="47"/>
      <c r="C3205" s="24"/>
      <c r="D3205" s="312"/>
      <c r="E3205" s="312"/>
      <c r="G3205" s="47"/>
      <c r="H3205" s="24"/>
      <c r="I3205" s="312"/>
      <c r="J3205" s="312"/>
      <c r="L3205" s="47"/>
      <c r="M3205" s="24"/>
      <c r="N3205" s="312"/>
      <c r="O3205" s="312"/>
      <c r="Q3205" s="241">
        <v>80180007</v>
      </c>
      <c r="R3205" s="242"/>
      <c r="S3205" s="243" t="s">
        <v>1147</v>
      </c>
      <c r="T3205" s="240">
        <v>0</v>
      </c>
      <c r="U3205" s="240">
        <v>0</v>
      </c>
    </row>
    <row r="3206" spans="2:21" x14ac:dyDescent="0.3">
      <c r="B3206" s="47"/>
      <c r="C3206" s="24"/>
      <c r="D3206" s="312"/>
      <c r="E3206" s="312"/>
      <c r="G3206" s="47"/>
      <c r="H3206" s="24"/>
      <c r="I3206" s="312"/>
      <c r="J3206" s="312"/>
      <c r="L3206" s="47"/>
      <c r="M3206" s="24"/>
      <c r="N3206" s="312"/>
      <c r="O3206" s="312"/>
      <c r="Q3206" s="241">
        <v>80180008</v>
      </c>
      <c r="R3206" s="242"/>
      <c r="S3206" s="246" t="s">
        <v>1148</v>
      </c>
      <c r="T3206" s="239">
        <f>SUM(T3207:T3210)-SUM(U3207:U3210)</f>
        <v>123357</v>
      </c>
      <c r="U3206" s="240">
        <v>0</v>
      </c>
    </row>
    <row r="3207" spans="2:21" x14ac:dyDescent="0.3">
      <c r="B3207" s="47"/>
      <c r="C3207" s="24"/>
      <c r="D3207" s="312"/>
      <c r="E3207" s="312"/>
      <c r="G3207" s="47"/>
      <c r="H3207" s="24"/>
      <c r="I3207" s="312"/>
      <c r="J3207" s="312"/>
      <c r="L3207" s="47"/>
      <c r="M3207" s="24"/>
      <c r="N3207" s="312"/>
      <c r="O3207" s="312"/>
      <c r="Q3207" s="47"/>
      <c r="R3207" s="136" t="s">
        <v>2207</v>
      </c>
      <c r="S3207" s="25" t="s">
        <v>2208</v>
      </c>
      <c r="T3207" s="155">
        <v>20700</v>
      </c>
      <c r="U3207" s="155">
        <v>0</v>
      </c>
    </row>
    <row r="3208" spans="2:21" x14ac:dyDescent="0.3">
      <c r="B3208" s="47"/>
      <c r="C3208" s="24"/>
      <c r="D3208" s="312"/>
      <c r="E3208" s="312"/>
      <c r="G3208" s="47"/>
      <c r="H3208" s="24"/>
      <c r="I3208" s="312"/>
      <c r="J3208" s="312"/>
      <c r="L3208" s="47"/>
      <c r="M3208" s="24"/>
      <c r="N3208" s="312"/>
      <c r="O3208" s="312"/>
      <c r="Q3208" s="47"/>
      <c r="R3208" s="136" t="s">
        <v>1895</v>
      </c>
      <c r="S3208" s="25" t="s">
        <v>2174</v>
      </c>
      <c r="T3208" s="155">
        <v>26826</v>
      </c>
      <c r="U3208" s="155">
        <v>0</v>
      </c>
    </row>
    <row r="3209" spans="2:21" x14ac:dyDescent="0.3">
      <c r="B3209" s="47"/>
      <c r="C3209" s="24"/>
      <c r="D3209" s="312"/>
      <c r="E3209" s="312"/>
      <c r="G3209" s="47"/>
      <c r="H3209" s="24"/>
      <c r="I3209" s="312"/>
      <c r="J3209" s="312"/>
      <c r="L3209" s="47"/>
      <c r="M3209" s="24"/>
      <c r="N3209" s="312"/>
      <c r="O3209" s="312"/>
      <c r="Q3209" s="47"/>
      <c r="R3209" s="136" t="s">
        <v>2177</v>
      </c>
      <c r="S3209" s="25" t="s">
        <v>2341</v>
      </c>
      <c r="T3209" s="155">
        <v>40880</v>
      </c>
      <c r="U3209" s="155">
        <v>0</v>
      </c>
    </row>
    <row r="3210" spans="2:21" x14ac:dyDescent="0.3">
      <c r="B3210" s="47"/>
      <c r="C3210" s="24"/>
      <c r="D3210" s="312"/>
      <c r="E3210" s="312"/>
      <c r="G3210" s="47"/>
      <c r="H3210" s="24"/>
      <c r="I3210" s="312"/>
      <c r="J3210" s="312"/>
      <c r="L3210" s="47"/>
      <c r="M3210" s="24"/>
      <c r="N3210" s="312"/>
      <c r="O3210" s="312"/>
      <c r="Q3210" s="47"/>
      <c r="R3210" s="136" t="s">
        <v>3291</v>
      </c>
      <c r="S3210" s="25" t="s">
        <v>2171</v>
      </c>
      <c r="T3210" s="155">
        <v>34951</v>
      </c>
      <c r="U3210" s="155">
        <v>0</v>
      </c>
    </row>
    <row r="3211" spans="2:21" x14ac:dyDescent="0.3">
      <c r="B3211" s="47"/>
      <c r="C3211" s="24"/>
      <c r="D3211" s="312"/>
      <c r="E3211" s="312"/>
      <c r="G3211" s="47"/>
      <c r="H3211" s="24"/>
      <c r="I3211" s="312"/>
      <c r="J3211" s="312"/>
      <c r="L3211" s="47"/>
      <c r="M3211" s="24"/>
      <c r="N3211" s="312"/>
      <c r="O3211" s="312"/>
      <c r="Q3211" s="241">
        <v>80180009</v>
      </c>
      <c r="R3211" s="242"/>
      <c r="S3211" s="246" t="s">
        <v>1149</v>
      </c>
      <c r="T3211" s="239">
        <f>SUM(T3212:T3213)-SUM(U3212:U3213)</f>
        <v>193503</v>
      </c>
      <c r="U3211" s="240">
        <v>0</v>
      </c>
    </row>
    <row r="3212" spans="2:21" x14ac:dyDescent="0.3">
      <c r="B3212" s="47"/>
      <c r="C3212" s="24"/>
      <c r="D3212" s="312"/>
      <c r="E3212" s="312"/>
      <c r="G3212" s="47"/>
      <c r="H3212" s="24"/>
      <c r="I3212" s="312"/>
      <c r="J3212" s="312"/>
      <c r="L3212" s="47"/>
      <c r="M3212" s="24"/>
      <c r="N3212" s="312"/>
      <c r="O3212" s="312"/>
      <c r="Q3212" s="47"/>
      <c r="R3212" s="136" t="s">
        <v>2199</v>
      </c>
      <c r="S3212" s="25" t="s">
        <v>2200</v>
      </c>
      <c r="T3212" s="155">
        <v>1500</v>
      </c>
      <c r="U3212" s="155">
        <v>0</v>
      </c>
    </row>
    <row r="3213" spans="2:21" x14ac:dyDescent="0.3">
      <c r="B3213" s="47"/>
      <c r="C3213" s="24"/>
      <c r="D3213" s="312"/>
      <c r="E3213" s="312"/>
      <c r="G3213" s="47"/>
      <c r="H3213" s="24"/>
      <c r="I3213" s="312"/>
      <c r="J3213" s="312"/>
      <c r="L3213" s="47"/>
      <c r="M3213" s="24"/>
      <c r="N3213" s="312"/>
      <c r="O3213" s="312"/>
      <c r="Q3213" s="47"/>
      <c r="R3213" s="136" t="s">
        <v>1985</v>
      </c>
      <c r="S3213" s="25" t="s">
        <v>2197</v>
      </c>
      <c r="T3213" s="155">
        <v>192003</v>
      </c>
      <c r="U3213" s="155">
        <v>0</v>
      </c>
    </row>
    <row r="3214" spans="2:21" x14ac:dyDescent="0.3">
      <c r="B3214" s="47"/>
      <c r="C3214" s="24"/>
      <c r="D3214" s="312"/>
      <c r="E3214" s="312"/>
      <c r="G3214" s="47"/>
      <c r="H3214" s="24"/>
      <c r="I3214" s="312"/>
      <c r="J3214" s="312"/>
      <c r="L3214" s="47"/>
      <c r="M3214" s="24"/>
      <c r="N3214" s="312"/>
      <c r="O3214" s="312"/>
      <c r="Q3214" s="241">
        <v>80180010</v>
      </c>
      <c r="R3214" s="242"/>
      <c r="S3214" s="246" t="s">
        <v>1150</v>
      </c>
      <c r="T3214" s="239">
        <f>SUM(T3215)-SUM(U3215)</f>
        <v>2091326</v>
      </c>
      <c r="U3214" s="240">
        <v>0</v>
      </c>
    </row>
    <row r="3215" spans="2:21" x14ac:dyDescent="0.3">
      <c r="B3215" s="47"/>
      <c r="C3215" s="24"/>
      <c r="D3215" s="312"/>
      <c r="E3215" s="312"/>
      <c r="G3215" s="47"/>
      <c r="H3215" s="24"/>
      <c r="I3215" s="312"/>
      <c r="J3215" s="312"/>
      <c r="L3215" s="47"/>
      <c r="M3215" s="24"/>
      <c r="N3215" s="312"/>
      <c r="O3215" s="312"/>
      <c r="Q3215" s="47"/>
      <c r="R3215" s="136" t="s">
        <v>2138</v>
      </c>
      <c r="S3215" s="25" t="s">
        <v>7</v>
      </c>
      <c r="T3215" s="155">
        <v>2091326</v>
      </c>
      <c r="U3215" s="155">
        <v>0</v>
      </c>
    </row>
    <row r="3216" spans="2:21" x14ac:dyDescent="0.3">
      <c r="B3216" s="47"/>
      <c r="C3216" s="24"/>
      <c r="D3216" s="312"/>
      <c r="E3216" s="312"/>
      <c r="G3216" s="47"/>
      <c r="H3216" s="24"/>
      <c r="I3216" s="312"/>
      <c r="J3216" s="312"/>
      <c r="L3216" s="47"/>
      <c r="M3216" s="24"/>
      <c r="N3216" s="312"/>
      <c r="O3216" s="312"/>
      <c r="Q3216" s="241">
        <v>80180011</v>
      </c>
      <c r="R3216" s="242"/>
      <c r="S3216" s="246" t="s">
        <v>1151</v>
      </c>
      <c r="T3216" s="239">
        <f>SUM(T3217:T3219)-SUM(U3217:U3219)</f>
        <v>1831886</v>
      </c>
      <c r="U3216" s="240">
        <v>0</v>
      </c>
    </row>
    <row r="3217" spans="2:21" x14ac:dyDescent="0.3">
      <c r="B3217" s="47"/>
      <c r="C3217" s="24"/>
      <c r="D3217" s="312"/>
      <c r="E3217" s="312"/>
      <c r="G3217" s="47"/>
      <c r="H3217" s="24"/>
      <c r="I3217" s="312"/>
      <c r="J3217" s="312"/>
      <c r="L3217" s="47"/>
      <c r="M3217" s="24"/>
      <c r="N3217" s="312"/>
      <c r="O3217" s="312"/>
      <c r="Q3217" s="47"/>
      <c r="R3217" s="136" t="s">
        <v>2152</v>
      </c>
      <c r="S3217" s="25" t="s">
        <v>2153</v>
      </c>
      <c r="T3217" s="155">
        <v>1436086</v>
      </c>
      <c r="U3217" s="155">
        <v>0</v>
      </c>
    </row>
    <row r="3218" spans="2:21" x14ac:dyDescent="0.3">
      <c r="B3218" s="47"/>
      <c r="C3218" s="24"/>
      <c r="D3218" s="312"/>
      <c r="E3218" s="312"/>
      <c r="G3218" s="47"/>
      <c r="H3218" s="24"/>
      <c r="I3218" s="312"/>
      <c r="J3218" s="312"/>
      <c r="L3218" s="47"/>
      <c r="M3218" s="24"/>
      <c r="N3218" s="312"/>
      <c r="O3218" s="312"/>
      <c r="Q3218" s="47"/>
      <c r="R3218" s="136" t="s">
        <v>2138</v>
      </c>
      <c r="S3218" s="25" t="s">
        <v>7</v>
      </c>
      <c r="T3218" s="155">
        <v>232489</v>
      </c>
      <c r="U3218" s="155">
        <v>0</v>
      </c>
    </row>
    <row r="3219" spans="2:21" x14ac:dyDescent="0.3">
      <c r="B3219" s="47"/>
      <c r="C3219" s="24"/>
      <c r="D3219" s="312"/>
      <c r="E3219" s="312"/>
      <c r="G3219" s="47"/>
      <c r="H3219" s="24"/>
      <c r="I3219" s="312"/>
      <c r="J3219" s="312"/>
      <c r="L3219" s="47"/>
      <c r="M3219" s="24"/>
      <c r="N3219" s="312"/>
      <c r="O3219" s="312"/>
      <c r="Q3219" s="47"/>
      <c r="R3219" s="136" t="s">
        <v>1179</v>
      </c>
      <c r="S3219" s="25" t="s">
        <v>2148</v>
      </c>
      <c r="T3219" s="155">
        <v>163311</v>
      </c>
      <c r="U3219" s="155">
        <v>0</v>
      </c>
    </row>
    <row r="3220" spans="2:21" x14ac:dyDescent="0.3">
      <c r="B3220" s="47"/>
      <c r="C3220" s="24"/>
      <c r="D3220" s="312"/>
      <c r="E3220" s="312"/>
      <c r="G3220" s="47"/>
      <c r="H3220" s="24"/>
      <c r="I3220" s="312"/>
      <c r="J3220" s="312"/>
      <c r="L3220" s="47"/>
      <c r="M3220" s="24"/>
      <c r="N3220" s="312"/>
      <c r="O3220" s="312"/>
      <c r="Q3220" s="241">
        <v>80180012</v>
      </c>
      <c r="R3220" s="242"/>
      <c r="S3220" s="246" t="s">
        <v>1152</v>
      </c>
      <c r="T3220" s="239">
        <f>SUM(T3221:T3230)-SUM(U3221:U3230)</f>
        <v>429083</v>
      </c>
      <c r="U3220" s="240">
        <v>0</v>
      </c>
    </row>
    <row r="3221" spans="2:21" x14ac:dyDescent="0.3">
      <c r="B3221" s="47"/>
      <c r="C3221" s="24"/>
      <c r="D3221" s="312"/>
      <c r="E3221" s="312"/>
      <c r="G3221" s="47"/>
      <c r="H3221" s="24"/>
      <c r="I3221" s="312"/>
      <c r="J3221" s="312"/>
      <c r="L3221" s="47"/>
      <c r="M3221" s="24"/>
      <c r="N3221" s="312"/>
      <c r="O3221" s="312"/>
      <c r="Q3221" s="47"/>
      <c r="R3221" s="136" t="s">
        <v>2199</v>
      </c>
      <c r="S3221" s="25" t="s">
        <v>2200</v>
      </c>
      <c r="T3221" s="155">
        <v>14851</v>
      </c>
      <c r="U3221" s="155">
        <v>0</v>
      </c>
    </row>
    <row r="3222" spans="2:21" x14ac:dyDescent="0.3">
      <c r="B3222" s="47"/>
      <c r="C3222" s="24"/>
      <c r="D3222" s="312"/>
      <c r="E3222" s="312"/>
      <c r="G3222" s="47"/>
      <c r="H3222" s="24"/>
      <c r="I3222" s="312"/>
      <c r="J3222" s="312"/>
      <c r="L3222" s="47"/>
      <c r="M3222" s="24"/>
      <c r="N3222" s="312"/>
      <c r="O3222" s="312"/>
      <c r="Q3222" s="47"/>
      <c r="R3222" s="136" t="s">
        <v>2201</v>
      </c>
      <c r="S3222" s="25" t="s">
        <v>2202</v>
      </c>
      <c r="T3222" s="155">
        <v>0</v>
      </c>
      <c r="U3222" s="155">
        <v>499</v>
      </c>
    </row>
    <row r="3223" spans="2:21" x14ac:dyDescent="0.3">
      <c r="B3223" s="47"/>
      <c r="C3223" s="24"/>
      <c r="D3223" s="312"/>
      <c r="E3223" s="312"/>
      <c r="G3223" s="47"/>
      <c r="H3223" s="24"/>
      <c r="I3223" s="312"/>
      <c r="J3223" s="312"/>
      <c r="L3223" s="47"/>
      <c r="M3223" s="24"/>
      <c r="N3223" s="312"/>
      <c r="O3223" s="312"/>
      <c r="Q3223" s="47"/>
      <c r="R3223" s="136" t="s">
        <v>2203</v>
      </c>
      <c r="S3223" s="25" t="s">
        <v>2204</v>
      </c>
      <c r="T3223" s="155">
        <v>0</v>
      </c>
      <c r="U3223" s="155">
        <v>749</v>
      </c>
    </row>
    <row r="3224" spans="2:21" x14ac:dyDescent="0.3">
      <c r="B3224" s="47"/>
      <c r="C3224" s="24"/>
      <c r="D3224" s="312"/>
      <c r="E3224" s="312"/>
      <c r="G3224" s="47"/>
      <c r="H3224" s="24"/>
      <c r="I3224" s="312"/>
      <c r="J3224" s="312"/>
      <c r="L3224" s="47"/>
      <c r="M3224" s="24"/>
      <c r="N3224" s="312"/>
      <c r="O3224" s="312"/>
      <c r="Q3224" s="47"/>
      <c r="R3224" s="136" t="s">
        <v>2205</v>
      </c>
      <c r="S3224" s="25" t="s">
        <v>2206</v>
      </c>
      <c r="T3224" s="155">
        <v>0</v>
      </c>
      <c r="U3224" s="155">
        <v>998</v>
      </c>
    </row>
    <row r="3225" spans="2:21" x14ac:dyDescent="0.3">
      <c r="B3225" s="47"/>
      <c r="C3225" s="24"/>
      <c r="D3225" s="312"/>
      <c r="E3225" s="312"/>
      <c r="G3225" s="47"/>
      <c r="H3225" s="24"/>
      <c r="I3225" s="312"/>
      <c r="J3225" s="312"/>
      <c r="L3225" s="47"/>
      <c r="M3225" s="24"/>
      <c r="N3225" s="312"/>
      <c r="O3225" s="312"/>
      <c r="Q3225" s="47"/>
      <c r="R3225" s="136" t="s">
        <v>2209</v>
      </c>
      <c r="S3225" s="25" t="s">
        <v>2210</v>
      </c>
      <c r="T3225" s="155">
        <v>0</v>
      </c>
      <c r="U3225" s="155">
        <v>13493</v>
      </c>
    </row>
    <row r="3226" spans="2:21" x14ac:dyDescent="0.3">
      <c r="B3226" s="47"/>
      <c r="C3226" s="24"/>
      <c r="D3226" s="312"/>
      <c r="E3226" s="312"/>
      <c r="G3226" s="47"/>
      <c r="H3226" s="24"/>
      <c r="I3226" s="312"/>
      <c r="J3226" s="312"/>
      <c r="L3226" s="47"/>
      <c r="M3226" s="24"/>
      <c r="N3226" s="312"/>
      <c r="O3226" s="312"/>
      <c r="Q3226" s="47"/>
      <c r="R3226" s="136" t="s">
        <v>2340</v>
      </c>
      <c r="S3226" s="25" t="s">
        <v>2159</v>
      </c>
      <c r="T3226" s="155">
        <v>266750</v>
      </c>
      <c r="U3226" s="155">
        <v>0</v>
      </c>
    </row>
    <row r="3227" spans="2:21" x14ac:dyDescent="0.3">
      <c r="B3227" s="47"/>
      <c r="C3227" s="24"/>
      <c r="D3227" s="312"/>
      <c r="E3227" s="312"/>
      <c r="G3227" s="47"/>
      <c r="H3227" s="24"/>
      <c r="I3227" s="312"/>
      <c r="J3227" s="312"/>
      <c r="L3227" s="47"/>
      <c r="M3227" s="24"/>
      <c r="N3227" s="312"/>
      <c r="O3227" s="312"/>
      <c r="Q3227" s="47"/>
      <c r="R3227" s="136" t="s">
        <v>1895</v>
      </c>
      <c r="S3227" s="25" t="s">
        <v>2174</v>
      </c>
      <c r="T3227" s="155">
        <v>0</v>
      </c>
      <c r="U3227" s="155">
        <v>199</v>
      </c>
    </row>
    <row r="3228" spans="2:21" x14ac:dyDescent="0.3">
      <c r="B3228" s="47"/>
      <c r="C3228" s="24"/>
      <c r="D3228" s="312"/>
      <c r="E3228" s="312"/>
      <c r="G3228" s="47"/>
      <c r="H3228" s="24"/>
      <c r="I3228" s="312"/>
      <c r="J3228" s="312"/>
      <c r="L3228" s="47"/>
      <c r="M3228" s="24"/>
      <c r="N3228" s="312"/>
      <c r="O3228" s="312"/>
      <c r="Q3228" s="47"/>
      <c r="R3228" s="136" t="s">
        <v>2177</v>
      </c>
      <c r="S3228" s="25" t="s">
        <v>2341</v>
      </c>
      <c r="T3228" s="155">
        <v>23000</v>
      </c>
      <c r="U3228" s="155">
        <v>0</v>
      </c>
    </row>
    <row r="3229" spans="2:21" x14ac:dyDescent="0.3">
      <c r="B3229" s="47"/>
      <c r="C3229" s="24"/>
      <c r="D3229" s="312"/>
      <c r="E3229" s="312"/>
      <c r="G3229" s="47"/>
      <c r="H3229" s="24"/>
      <c r="I3229" s="312"/>
      <c r="J3229" s="312"/>
      <c r="L3229" s="47"/>
      <c r="M3229" s="24"/>
      <c r="N3229" s="312"/>
      <c r="O3229" s="312"/>
      <c r="Q3229" s="47"/>
      <c r="R3229" s="136" t="s">
        <v>2343</v>
      </c>
      <c r="S3229" s="25" t="s">
        <v>2194</v>
      </c>
      <c r="T3229" s="155">
        <v>136670</v>
      </c>
      <c r="U3229" s="155">
        <v>0</v>
      </c>
    </row>
    <row r="3230" spans="2:21" x14ac:dyDescent="0.3">
      <c r="B3230" s="47"/>
      <c r="C3230" s="24"/>
      <c r="D3230" s="312"/>
      <c r="E3230" s="312"/>
      <c r="G3230" s="47"/>
      <c r="H3230" s="24"/>
      <c r="I3230" s="312"/>
      <c r="J3230" s="312"/>
      <c r="L3230" s="47"/>
      <c r="M3230" s="24"/>
      <c r="N3230" s="312"/>
      <c r="O3230" s="312"/>
      <c r="Q3230" s="47"/>
      <c r="R3230" s="136" t="s">
        <v>3291</v>
      </c>
      <c r="S3230" s="25" t="s">
        <v>2171</v>
      </c>
      <c r="T3230" s="155">
        <v>3750</v>
      </c>
      <c r="U3230" s="155">
        <v>0</v>
      </c>
    </row>
    <row r="3231" spans="2:21" x14ac:dyDescent="0.3">
      <c r="B3231" s="47"/>
      <c r="C3231" s="24"/>
      <c r="D3231" s="312"/>
      <c r="E3231" s="312"/>
      <c r="G3231" s="47"/>
      <c r="H3231" s="24"/>
      <c r="I3231" s="312"/>
      <c r="J3231" s="312"/>
      <c r="L3231" s="47"/>
      <c r="M3231" s="24"/>
      <c r="N3231" s="312"/>
      <c r="O3231" s="312"/>
      <c r="Q3231" s="241">
        <v>80180013</v>
      </c>
      <c r="R3231" s="242"/>
      <c r="S3231" s="243" t="s">
        <v>1153</v>
      </c>
      <c r="T3231" s="239">
        <f>SUM(T3232:T3235)-SUM(U3232:U3235)</f>
        <v>11675501</v>
      </c>
      <c r="U3231" s="240">
        <v>0</v>
      </c>
    </row>
    <row r="3232" spans="2:21" x14ac:dyDescent="0.3">
      <c r="B3232" s="47"/>
      <c r="C3232" s="24"/>
      <c r="D3232" s="312"/>
      <c r="E3232" s="312"/>
      <c r="G3232" s="47"/>
      <c r="H3232" s="24"/>
      <c r="I3232" s="312"/>
      <c r="J3232" s="312"/>
      <c r="L3232" s="47"/>
      <c r="M3232" s="24"/>
      <c r="N3232" s="312"/>
      <c r="O3232" s="312"/>
      <c r="Q3232" s="47"/>
      <c r="R3232" s="136" t="s">
        <v>2138</v>
      </c>
      <c r="S3232" s="24" t="s">
        <v>7</v>
      </c>
      <c r="T3232" s="155">
        <v>2214181</v>
      </c>
      <c r="U3232" s="155">
        <v>0</v>
      </c>
    </row>
    <row r="3233" spans="2:21" x14ac:dyDescent="0.3">
      <c r="B3233" s="47"/>
      <c r="C3233" s="24"/>
      <c r="D3233" s="312"/>
      <c r="E3233" s="312"/>
      <c r="G3233" s="47"/>
      <c r="H3233" s="24"/>
      <c r="I3233" s="312"/>
      <c r="J3233" s="312"/>
      <c r="L3233" s="47"/>
      <c r="M3233" s="24"/>
      <c r="N3233" s="312"/>
      <c r="O3233" s="312"/>
      <c r="Q3233" s="47"/>
      <c r="R3233" s="136" t="s">
        <v>1178</v>
      </c>
      <c r="S3233" s="24" t="s">
        <v>2143</v>
      </c>
      <c r="T3233" s="155">
        <v>2847000</v>
      </c>
      <c r="U3233" s="155">
        <v>0</v>
      </c>
    </row>
    <row r="3234" spans="2:21" x14ac:dyDescent="0.3">
      <c r="B3234" s="47"/>
      <c r="C3234" s="24"/>
      <c r="D3234" s="312"/>
      <c r="E3234" s="312"/>
      <c r="G3234" s="47"/>
      <c r="H3234" s="24"/>
      <c r="I3234" s="312"/>
      <c r="J3234" s="312"/>
      <c r="L3234" s="47"/>
      <c r="M3234" s="24"/>
      <c r="N3234" s="312"/>
      <c r="O3234" s="312"/>
      <c r="Q3234" s="47"/>
      <c r="R3234" s="136" t="s">
        <v>1179</v>
      </c>
      <c r="S3234" s="24" t="s">
        <v>2148</v>
      </c>
      <c r="T3234" s="155">
        <v>6418320</v>
      </c>
      <c r="U3234" s="155">
        <v>0</v>
      </c>
    </row>
    <row r="3235" spans="2:21" x14ac:dyDescent="0.3">
      <c r="B3235" s="47"/>
      <c r="C3235" s="24"/>
      <c r="D3235" s="312"/>
      <c r="E3235" s="312"/>
      <c r="G3235" s="47"/>
      <c r="H3235" s="24"/>
      <c r="I3235" s="312"/>
      <c r="J3235" s="312"/>
      <c r="L3235" s="47"/>
      <c r="M3235" s="24"/>
      <c r="N3235" s="312"/>
      <c r="O3235" s="312"/>
      <c r="Q3235" s="47"/>
      <c r="R3235" s="136" t="s">
        <v>2152</v>
      </c>
      <c r="S3235" s="24" t="s">
        <v>2153</v>
      </c>
      <c r="T3235" s="155">
        <v>196000</v>
      </c>
      <c r="U3235" s="155">
        <v>0</v>
      </c>
    </row>
    <row r="3236" spans="2:21" x14ac:dyDescent="0.3">
      <c r="B3236" s="47"/>
      <c r="C3236" s="24"/>
      <c r="D3236" s="312"/>
      <c r="E3236" s="312"/>
      <c r="G3236" s="47"/>
      <c r="H3236" s="24"/>
      <c r="I3236" s="312"/>
      <c r="J3236" s="312"/>
      <c r="L3236" s="47"/>
      <c r="M3236" s="24"/>
      <c r="N3236" s="312"/>
      <c r="O3236" s="312"/>
      <c r="Q3236" s="241">
        <v>80180014</v>
      </c>
      <c r="R3236" s="242"/>
      <c r="S3236" s="243" t="s">
        <v>1154</v>
      </c>
      <c r="T3236" s="240">
        <v>0</v>
      </c>
      <c r="U3236" s="240">
        <v>0</v>
      </c>
    </row>
    <row r="3237" spans="2:21" x14ac:dyDescent="0.3">
      <c r="B3237" s="47"/>
      <c r="C3237" s="24"/>
      <c r="D3237" s="312"/>
      <c r="E3237" s="312"/>
      <c r="G3237" s="47"/>
      <c r="H3237" s="24"/>
      <c r="I3237" s="312"/>
      <c r="J3237" s="312"/>
      <c r="L3237" s="47"/>
      <c r="M3237" s="24"/>
      <c r="N3237" s="312"/>
      <c r="O3237" s="312"/>
      <c r="Q3237" s="241">
        <v>80180015</v>
      </c>
      <c r="R3237" s="242"/>
      <c r="S3237" s="243" t="s">
        <v>1155</v>
      </c>
      <c r="T3237" s="240">
        <v>0</v>
      </c>
      <c r="U3237" s="240">
        <v>0</v>
      </c>
    </row>
    <row r="3238" spans="2:21" x14ac:dyDescent="0.3">
      <c r="B3238" s="47"/>
      <c r="C3238" s="24"/>
      <c r="D3238" s="312"/>
      <c r="E3238" s="312"/>
      <c r="G3238" s="47"/>
      <c r="H3238" s="24"/>
      <c r="I3238" s="312"/>
      <c r="J3238" s="312"/>
      <c r="L3238" s="47"/>
      <c r="M3238" s="24"/>
      <c r="N3238" s="312"/>
      <c r="O3238" s="312"/>
      <c r="Q3238" s="241">
        <v>80180016</v>
      </c>
      <c r="R3238" s="242"/>
      <c r="S3238" s="243" t="s">
        <v>1156</v>
      </c>
      <c r="T3238" s="239">
        <f>SUM(T3239:T3247)-SUM(U3239:U3247)</f>
        <v>4795676</v>
      </c>
      <c r="U3238" s="240">
        <v>0</v>
      </c>
    </row>
    <row r="3239" spans="2:21" x14ac:dyDescent="0.3">
      <c r="B3239" s="47"/>
      <c r="C3239" s="24"/>
      <c r="D3239" s="312"/>
      <c r="E3239" s="312"/>
      <c r="G3239" s="47"/>
      <c r="H3239" s="24"/>
      <c r="I3239" s="312"/>
      <c r="J3239" s="312"/>
      <c r="L3239" s="47"/>
      <c r="M3239" s="24"/>
      <c r="N3239" s="312"/>
      <c r="O3239" s="312"/>
      <c r="Q3239" s="47"/>
      <c r="R3239" s="136" t="s">
        <v>2203</v>
      </c>
      <c r="S3239" s="24" t="s">
        <v>2204</v>
      </c>
      <c r="T3239" s="155">
        <v>594312</v>
      </c>
      <c r="U3239" s="155">
        <v>0</v>
      </c>
    </row>
    <row r="3240" spans="2:21" x14ac:dyDescent="0.3">
      <c r="B3240" s="47"/>
      <c r="C3240" s="24"/>
      <c r="D3240" s="312"/>
      <c r="E3240" s="312"/>
      <c r="G3240" s="47"/>
      <c r="H3240" s="24"/>
      <c r="I3240" s="312"/>
      <c r="J3240" s="312"/>
      <c r="L3240" s="47"/>
      <c r="M3240" s="24"/>
      <c r="N3240" s="312"/>
      <c r="O3240" s="312"/>
      <c r="Q3240" s="47"/>
      <c r="R3240" s="136" t="s">
        <v>2205</v>
      </c>
      <c r="S3240" s="24" t="s">
        <v>2206</v>
      </c>
      <c r="T3240" s="155">
        <v>603498</v>
      </c>
      <c r="U3240" s="155">
        <v>0</v>
      </c>
    </row>
    <row r="3241" spans="2:21" x14ac:dyDescent="0.3">
      <c r="B3241" s="47"/>
      <c r="C3241" s="24"/>
      <c r="D3241" s="312"/>
      <c r="E3241" s="312"/>
      <c r="G3241" s="47"/>
      <c r="H3241" s="24"/>
      <c r="I3241" s="312"/>
      <c r="J3241" s="312"/>
      <c r="L3241" s="47"/>
      <c r="M3241" s="24"/>
      <c r="N3241" s="312"/>
      <c r="O3241" s="312"/>
      <c r="Q3241" s="47"/>
      <c r="R3241" s="136" t="s">
        <v>2209</v>
      </c>
      <c r="S3241" s="24" t="s">
        <v>2210</v>
      </c>
      <c r="T3241" s="155">
        <v>855027</v>
      </c>
      <c r="U3241" s="155">
        <v>0</v>
      </c>
    </row>
    <row r="3242" spans="2:21" x14ac:dyDescent="0.3">
      <c r="B3242" s="47"/>
      <c r="C3242" s="24"/>
      <c r="D3242" s="312"/>
      <c r="E3242" s="312"/>
      <c r="G3242" s="47"/>
      <c r="H3242" s="24"/>
      <c r="I3242" s="312"/>
      <c r="J3242" s="312"/>
      <c r="L3242" s="47"/>
      <c r="M3242" s="24"/>
      <c r="N3242" s="312"/>
      <c r="O3242" s="312"/>
      <c r="Q3242" s="47"/>
      <c r="R3242" s="136" t="s">
        <v>2162</v>
      </c>
      <c r="S3242" s="24" t="s">
        <v>2163</v>
      </c>
      <c r="T3242" s="155">
        <v>556125</v>
      </c>
      <c r="U3242" s="155">
        <v>0</v>
      </c>
    </row>
    <row r="3243" spans="2:21" x14ac:dyDescent="0.3">
      <c r="B3243" s="47"/>
      <c r="C3243" s="24"/>
      <c r="D3243" s="312"/>
      <c r="E3243" s="312"/>
      <c r="G3243" s="47"/>
      <c r="H3243" s="24"/>
      <c r="I3243" s="312"/>
      <c r="J3243" s="312"/>
      <c r="L3243" s="47"/>
      <c r="M3243" s="24"/>
      <c r="N3243" s="312"/>
      <c r="O3243" s="312"/>
      <c r="Q3243" s="47"/>
      <c r="R3243" s="136" t="s">
        <v>2165</v>
      </c>
      <c r="S3243" s="24" t="s">
        <v>2166</v>
      </c>
      <c r="T3243" s="155">
        <v>379464</v>
      </c>
      <c r="U3243" s="155">
        <v>0</v>
      </c>
    </row>
    <row r="3244" spans="2:21" x14ac:dyDescent="0.3">
      <c r="B3244" s="47"/>
      <c r="C3244" s="24"/>
      <c r="D3244" s="312"/>
      <c r="E3244" s="312"/>
      <c r="G3244" s="47"/>
      <c r="H3244" s="24"/>
      <c r="I3244" s="312"/>
      <c r="J3244" s="312"/>
      <c r="L3244" s="47"/>
      <c r="M3244" s="24"/>
      <c r="N3244" s="312"/>
      <c r="O3244" s="312"/>
      <c r="Q3244" s="47"/>
      <c r="R3244" s="136" t="s">
        <v>2212</v>
      </c>
      <c r="S3244" s="24" t="s">
        <v>2213</v>
      </c>
      <c r="T3244" s="155">
        <v>335174</v>
      </c>
      <c r="U3244" s="155">
        <v>0</v>
      </c>
    </row>
    <row r="3245" spans="2:21" x14ac:dyDescent="0.3">
      <c r="B3245" s="47"/>
      <c r="C3245" s="24"/>
      <c r="D3245" s="312"/>
      <c r="E3245" s="312"/>
      <c r="G3245" s="47"/>
      <c r="H3245" s="24"/>
      <c r="I3245" s="312"/>
      <c r="J3245" s="312"/>
      <c r="L3245" s="47"/>
      <c r="M3245" s="24"/>
      <c r="N3245" s="312"/>
      <c r="O3245" s="312"/>
      <c r="Q3245" s="47"/>
      <c r="R3245" s="136" t="s">
        <v>2185</v>
      </c>
      <c r="S3245" s="24" t="s">
        <v>2184</v>
      </c>
      <c r="T3245" s="155">
        <v>973842</v>
      </c>
      <c r="U3245" s="155">
        <v>0</v>
      </c>
    </row>
    <row r="3246" spans="2:21" x14ac:dyDescent="0.3">
      <c r="B3246" s="47"/>
      <c r="C3246" s="24"/>
      <c r="D3246" s="312"/>
      <c r="E3246" s="312"/>
      <c r="G3246" s="47"/>
      <c r="H3246" s="24"/>
      <c r="I3246" s="312"/>
      <c r="J3246" s="312"/>
      <c r="L3246" s="47"/>
      <c r="M3246" s="24"/>
      <c r="N3246" s="312"/>
      <c r="O3246" s="312"/>
      <c r="Q3246" s="47"/>
      <c r="R3246" s="136" t="s">
        <v>2219</v>
      </c>
      <c r="S3246" s="24" t="s">
        <v>2220</v>
      </c>
      <c r="T3246" s="155">
        <v>314829</v>
      </c>
      <c r="U3246" s="155">
        <v>0</v>
      </c>
    </row>
    <row r="3247" spans="2:21" x14ac:dyDescent="0.3">
      <c r="B3247" s="47"/>
      <c r="C3247" s="24"/>
      <c r="D3247" s="312"/>
      <c r="E3247" s="312"/>
      <c r="G3247" s="47"/>
      <c r="H3247" s="24"/>
      <c r="I3247" s="312"/>
      <c r="J3247" s="312"/>
      <c r="L3247" s="47"/>
      <c r="M3247" s="24"/>
      <c r="N3247" s="312"/>
      <c r="O3247" s="312"/>
      <c r="Q3247" s="47"/>
      <c r="R3247" s="136" t="s">
        <v>2221</v>
      </c>
      <c r="S3247" s="24" t="s">
        <v>2222</v>
      </c>
      <c r="T3247" s="155">
        <v>183405</v>
      </c>
      <c r="U3247" s="155">
        <v>0</v>
      </c>
    </row>
    <row r="3248" spans="2:21" x14ac:dyDescent="0.3">
      <c r="B3248" s="47"/>
      <c r="C3248" s="24"/>
      <c r="D3248" s="312"/>
      <c r="E3248" s="312"/>
      <c r="G3248" s="47"/>
      <c r="H3248" s="24"/>
      <c r="I3248" s="312"/>
      <c r="J3248" s="312"/>
      <c r="L3248" s="47"/>
      <c r="M3248" s="24"/>
      <c r="N3248" s="312"/>
      <c r="O3248" s="312"/>
      <c r="Q3248" s="241">
        <v>80180017</v>
      </c>
      <c r="R3248" s="242"/>
      <c r="S3248" s="243" t="s">
        <v>1157</v>
      </c>
      <c r="T3248" s="240">
        <v>0</v>
      </c>
      <c r="U3248" s="240">
        <v>0</v>
      </c>
    </row>
    <row r="3249" spans="2:21" x14ac:dyDescent="0.3">
      <c r="B3249" s="47"/>
      <c r="C3249" s="24"/>
      <c r="D3249" s="312"/>
      <c r="E3249" s="312"/>
      <c r="G3249" s="47"/>
      <c r="H3249" s="24"/>
      <c r="I3249" s="312"/>
      <c r="J3249" s="312"/>
      <c r="L3249" s="47"/>
      <c r="M3249" s="24"/>
      <c r="N3249" s="312"/>
      <c r="O3249" s="312"/>
      <c r="Q3249" s="241">
        <v>80180018</v>
      </c>
      <c r="R3249" s="242"/>
      <c r="S3249" s="243" t="s">
        <v>1158</v>
      </c>
      <c r="T3249" s="239">
        <f>SUM(T3250:T3251)-SUM(U3250:U3251)</f>
        <v>3575885</v>
      </c>
      <c r="U3249" s="240">
        <v>0</v>
      </c>
    </row>
    <row r="3250" spans="2:21" x14ac:dyDescent="0.3">
      <c r="B3250" s="47"/>
      <c r="C3250" s="24"/>
      <c r="D3250" s="312"/>
      <c r="E3250" s="312"/>
      <c r="G3250" s="47"/>
      <c r="H3250" s="24"/>
      <c r="I3250" s="312"/>
      <c r="J3250" s="312"/>
      <c r="L3250" s="47"/>
      <c r="M3250" s="24"/>
      <c r="N3250" s="312"/>
      <c r="O3250" s="312"/>
      <c r="Q3250" s="47"/>
      <c r="R3250" s="136" t="s">
        <v>2216</v>
      </c>
      <c r="S3250" s="24" t="s">
        <v>2217</v>
      </c>
      <c r="T3250" s="155">
        <v>115000</v>
      </c>
      <c r="U3250" s="155">
        <v>0</v>
      </c>
    </row>
    <row r="3251" spans="2:21" x14ac:dyDescent="0.3">
      <c r="B3251" s="47"/>
      <c r="C3251" s="24"/>
      <c r="D3251" s="312"/>
      <c r="E3251" s="312"/>
      <c r="G3251" s="47"/>
      <c r="H3251" s="24"/>
      <c r="I3251" s="312"/>
      <c r="J3251" s="312"/>
      <c r="L3251" s="47"/>
      <c r="M3251" s="24"/>
      <c r="N3251" s="312"/>
      <c r="O3251" s="312"/>
      <c r="Q3251" s="47"/>
      <c r="R3251" s="136" t="s">
        <v>2343</v>
      </c>
      <c r="S3251" s="24" t="s">
        <v>2194</v>
      </c>
      <c r="T3251" s="155">
        <v>3460885</v>
      </c>
      <c r="U3251" s="155">
        <v>0</v>
      </c>
    </row>
    <row r="3252" spans="2:21" x14ac:dyDescent="0.3">
      <c r="B3252" s="47"/>
      <c r="C3252" s="24"/>
      <c r="D3252" s="312"/>
      <c r="E3252" s="312"/>
      <c r="G3252" s="47"/>
      <c r="H3252" s="24"/>
      <c r="I3252" s="312"/>
      <c r="J3252" s="312"/>
      <c r="L3252" s="47"/>
      <c r="M3252" s="24"/>
      <c r="N3252" s="312"/>
      <c r="O3252" s="312"/>
      <c r="Q3252" s="47"/>
      <c r="R3252" s="136"/>
      <c r="S3252" s="24"/>
      <c r="T3252" s="155"/>
      <c r="U3252" s="155"/>
    </row>
    <row r="3253" spans="2:21" x14ac:dyDescent="0.3">
      <c r="B3253" s="47"/>
      <c r="C3253" s="24"/>
      <c r="D3253" s="312"/>
      <c r="E3253" s="312"/>
      <c r="G3253" s="47"/>
      <c r="H3253" s="24"/>
      <c r="I3253" s="312"/>
      <c r="J3253" s="312"/>
      <c r="K3253">
        <v>8019</v>
      </c>
      <c r="L3253" s="241">
        <v>8019</v>
      </c>
      <c r="M3253" s="243" t="s">
        <v>919</v>
      </c>
      <c r="N3253" s="314">
        <f>T3253+T3299+T3300+T3330</f>
        <v>12945213</v>
      </c>
      <c r="O3253" s="314">
        <v>0</v>
      </c>
      <c r="Q3253" s="241">
        <v>80190001</v>
      </c>
      <c r="R3253" s="242"/>
      <c r="S3253" s="243" t="s">
        <v>2098</v>
      </c>
      <c r="T3253" s="239">
        <f>SUM(T3254:T3298)-SUM(U3254:U3298)</f>
        <v>12147073</v>
      </c>
      <c r="U3253" s="240">
        <v>0</v>
      </c>
    </row>
    <row r="3254" spans="2:21" x14ac:dyDescent="0.3">
      <c r="B3254" s="47"/>
      <c r="C3254" s="24"/>
      <c r="D3254" s="312"/>
      <c r="E3254" s="312"/>
      <c r="G3254" s="47"/>
      <c r="H3254" s="24"/>
      <c r="I3254" s="312"/>
      <c r="J3254" s="312"/>
      <c r="L3254" s="47"/>
      <c r="M3254" s="24"/>
      <c r="N3254" s="312"/>
      <c r="O3254" s="312"/>
      <c r="Q3254" s="47"/>
      <c r="R3254" s="136" t="s">
        <v>1934</v>
      </c>
      <c r="S3254" s="24" t="s">
        <v>2196</v>
      </c>
      <c r="T3254" s="155">
        <v>233126</v>
      </c>
      <c r="U3254" s="155">
        <v>0</v>
      </c>
    </row>
    <row r="3255" spans="2:21" x14ac:dyDescent="0.3">
      <c r="B3255" s="47"/>
      <c r="C3255" s="24"/>
      <c r="D3255" s="312"/>
      <c r="E3255" s="312"/>
      <c r="G3255" s="47"/>
      <c r="H3255" s="24"/>
      <c r="I3255" s="312"/>
      <c r="J3255" s="312"/>
      <c r="L3255" s="47"/>
      <c r="M3255" s="24"/>
      <c r="N3255" s="312"/>
      <c r="O3255" s="312"/>
      <c r="Q3255" s="47"/>
      <c r="R3255" s="136" t="s">
        <v>2138</v>
      </c>
      <c r="S3255" s="24" t="s">
        <v>7</v>
      </c>
      <c r="T3255" s="155">
        <v>125216</v>
      </c>
      <c r="U3255" s="155">
        <v>0</v>
      </c>
    </row>
    <row r="3256" spans="2:21" x14ac:dyDescent="0.3">
      <c r="B3256" s="47"/>
      <c r="C3256" s="24"/>
      <c r="D3256" s="312"/>
      <c r="E3256" s="312"/>
      <c r="G3256" s="47"/>
      <c r="H3256" s="24"/>
      <c r="I3256" s="312"/>
      <c r="J3256" s="312"/>
      <c r="L3256" s="47"/>
      <c r="M3256" s="24"/>
      <c r="N3256" s="312"/>
      <c r="O3256" s="312"/>
      <c r="Q3256" s="47"/>
      <c r="R3256" s="136" t="s">
        <v>1177</v>
      </c>
      <c r="S3256" s="24" t="s">
        <v>2141</v>
      </c>
      <c r="T3256" s="155">
        <v>2500</v>
      </c>
      <c r="U3256" s="155">
        <v>0</v>
      </c>
    </row>
    <row r="3257" spans="2:21" x14ac:dyDescent="0.3">
      <c r="B3257" s="47"/>
      <c r="C3257" s="24"/>
      <c r="D3257" s="312"/>
      <c r="E3257" s="312"/>
      <c r="G3257" s="47"/>
      <c r="H3257" s="24"/>
      <c r="I3257" s="312"/>
      <c r="J3257" s="312"/>
      <c r="L3257" s="47"/>
      <c r="M3257" s="24"/>
      <c r="N3257" s="312"/>
      <c r="O3257" s="312"/>
      <c r="Q3257" s="47"/>
      <c r="R3257" s="136" t="s">
        <v>1179</v>
      </c>
      <c r="S3257" s="24" t="s">
        <v>2143</v>
      </c>
      <c r="T3257" s="155">
        <v>2500</v>
      </c>
      <c r="U3257" s="155">
        <v>0</v>
      </c>
    </row>
    <row r="3258" spans="2:21" x14ac:dyDescent="0.3">
      <c r="B3258" s="47"/>
      <c r="C3258" s="24"/>
      <c r="D3258" s="312"/>
      <c r="E3258" s="312"/>
      <c r="G3258" s="47"/>
      <c r="H3258" s="24"/>
      <c r="I3258" s="312"/>
      <c r="J3258" s="312"/>
      <c r="L3258" s="47"/>
      <c r="M3258" s="24"/>
      <c r="N3258" s="312"/>
      <c r="O3258" s="312"/>
      <c r="Q3258" s="47"/>
      <c r="R3258" s="136" t="s">
        <v>1179</v>
      </c>
      <c r="S3258" s="24" t="s">
        <v>2145</v>
      </c>
      <c r="T3258" s="155">
        <v>12336</v>
      </c>
      <c r="U3258" s="155">
        <v>0</v>
      </c>
    </row>
    <row r="3259" spans="2:21" x14ac:dyDescent="0.3">
      <c r="B3259" s="47"/>
      <c r="C3259" s="24"/>
      <c r="D3259" s="312"/>
      <c r="E3259" s="312"/>
      <c r="G3259" s="47"/>
      <c r="H3259" s="24"/>
      <c r="I3259" s="312"/>
      <c r="J3259" s="312"/>
      <c r="L3259" s="47"/>
      <c r="M3259" s="24"/>
      <c r="N3259" s="312"/>
      <c r="O3259" s="312"/>
      <c r="Q3259" s="47"/>
      <c r="R3259" s="136" t="s">
        <v>1179</v>
      </c>
      <c r="S3259" s="24" t="s">
        <v>2148</v>
      </c>
      <c r="T3259" s="155">
        <v>2500</v>
      </c>
      <c r="U3259" s="155">
        <v>0</v>
      </c>
    </row>
    <row r="3260" spans="2:21" x14ac:dyDescent="0.3">
      <c r="B3260" s="47"/>
      <c r="C3260" s="24"/>
      <c r="D3260" s="312"/>
      <c r="E3260" s="312"/>
      <c r="G3260" s="47"/>
      <c r="H3260" s="24"/>
      <c r="I3260" s="312"/>
      <c r="J3260" s="312"/>
      <c r="L3260" s="47"/>
      <c r="M3260" s="24"/>
      <c r="N3260" s="312"/>
      <c r="O3260" s="312"/>
      <c r="Q3260" s="47"/>
      <c r="R3260" s="136" t="s">
        <v>2150</v>
      </c>
      <c r="S3260" s="24" t="s">
        <v>2151</v>
      </c>
      <c r="T3260" s="155">
        <v>4229</v>
      </c>
      <c r="U3260" s="155">
        <v>0</v>
      </c>
    </row>
    <row r="3261" spans="2:21" x14ac:dyDescent="0.3">
      <c r="B3261" s="47"/>
      <c r="C3261" s="24"/>
      <c r="D3261" s="312"/>
      <c r="E3261" s="312"/>
      <c r="G3261" s="47"/>
      <c r="H3261" s="24"/>
      <c r="I3261" s="312"/>
      <c r="J3261" s="312"/>
      <c r="L3261" s="47"/>
      <c r="M3261" s="24"/>
      <c r="N3261" s="312"/>
      <c r="O3261" s="312"/>
      <c r="Q3261" s="47"/>
      <c r="R3261" s="136" t="s">
        <v>2152</v>
      </c>
      <c r="S3261" s="24" t="s">
        <v>2153</v>
      </c>
      <c r="T3261" s="155">
        <v>3118</v>
      </c>
      <c r="U3261" s="155">
        <v>0</v>
      </c>
    </row>
    <row r="3262" spans="2:21" x14ac:dyDescent="0.3">
      <c r="B3262" s="47"/>
      <c r="C3262" s="24"/>
      <c r="D3262" s="312"/>
      <c r="E3262" s="312"/>
      <c r="G3262" s="47"/>
      <c r="H3262" s="24"/>
      <c r="I3262" s="312"/>
      <c r="J3262" s="312"/>
      <c r="L3262" s="47"/>
      <c r="M3262" s="24"/>
      <c r="N3262" s="312"/>
      <c r="O3262" s="312"/>
      <c r="Q3262" s="47"/>
      <c r="R3262" s="136" t="s">
        <v>2156</v>
      </c>
      <c r="S3262" s="24" t="s">
        <v>2157</v>
      </c>
      <c r="T3262" s="155">
        <v>1110406</v>
      </c>
      <c r="U3262" s="155">
        <v>0</v>
      </c>
    </row>
    <row r="3263" spans="2:21" x14ac:dyDescent="0.3">
      <c r="B3263" s="47"/>
      <c r="C3263" s="24"/>
      <c r="D3263" s="312"/>
      <c r="E3263" s="312"/>
      <c r="G3263" s="47"/>
      <c r="H3263" s="24"/>
      <c r="I3263" s="312"/>
      <c r="J3263" s="312"/>
      <c r="L3263" s="47"/>
      <c r="M3263" s="24"/>
      <c r="N3263" s="312"/>
      <c r="O3263" s="312"/>
      <c r="Q3263" s="47"/>
      <c r="R3263" s="136" t="s">
        <v>2199</v>
      </c>
      <c r="S3263" s="24" t="s">
        <v>2200</v>
      </c>
      <c r="T3263" s="155">
        <v>29347</v>
      </c>
      <c r="U3263" s="155">
        <v>0</v>
      </c>
    </row>
    <row r="3264" spans="2:21" x14ac:dyDescent="0.3">
      <c r="B3264" s="47"/>
      <c r="C3264" s="24"/>
      <c r="D3264" s="312"/>
      <c r="E3264" s="312"/>
      <c r="G3264" s="47"/>
      <c r="H3264" s="24"/>
      <c r="I3264" s="312"/>
      <c r="J3264" s="312"/>
      <c r="L3264" s="47"/>
      <c r="M3264" s="24"/>
      <c r="N3264" s="312"/>
      <c r="O3264" s="312"/>
      <c r="Q3264" s="47"/>
      <c r="R3264" s="136" t="s">
        <v>2201</v>
      </c>
      <c r="S3264" s="24" t="s">
        <v>2202</v>
      </c>
      <c r="T3264" s="155">
        <v>9776</v>
      </c>
      <c r="U3264" s="155">
        <v>0</v>
      </c>
    </row>
    <row r="3265" spans="2:21" x14ac:dyDescent="0.3">
      <c r="B3265" s="47"/>
      <c r="C3265" s="24"/>
      <c r="D3265" s="312"/>
      <c r="E3265" s="312"/>
      <c r="G3265" s="47"/>
      <c r="H3265" s="24"/>
      <c r="I3265" s="312"/>
      <c r="J3265" s="312"/>
      <c r="L3265" s="47"/>
      <c r="M3265" s="24"/>
      <c r="N3265" s="312"/>
      <c r="O3265" s="312"/>
      <c r="Q3265" s="47"/>
      <c r="R3265" s="136" t="s">
        <v>2203</v>
      </c>
      <c r="S3265" s="24" t="s">
        <v>2204</v>
      </c>
      <c r="T3265" s="155">
        <v>175666</v>
      </c>
      <c r="U3265" s="155">
        <v>0</v>
      </c>
    </row>
    <row r="3266" spans="2:21" x14ac:dyDescent="0.3">
      <c r="B3266" s="47"/>
      <c r="C3266" s="24"/>
      <c r="D3266" s="312"/>
      <c r="E3266" s="312"/>
      <c r="G3266" s="47"/>
      <c r="H3266" s="24"/>
      <c r="I3266" s="312"/>
      <c r="J3266" s="312"/>
      <c r="L3266" s="47"/>
      <c r="M3266" s="24"/>
      <c r="N3266" s="312"/>
      <c r="O3266" s="312"/>
      <c r="Q3266" s="47"/>
      <c r="R3266" s="136" t="s">
        <v>2205</v>
      </c>
      <c r="S3266" s="24" t="s">
        <v>2206</v>
      </c>
      <c r="T3266" s="155">
        <v>419397</v>
      </c>
      <c r="U3266" s="155">
        <v>0</v>
      </c>
    </row>
    <row r="3267" spans="2:21" x14ac:dyDescent="0.3">
      <c r="B3267" s="47"/>
      <c r="C3267" s="24"/>
      <c r="D3267" s="312"/>
      <c r="E3267" s="312"/>
      <c r="G3267" s="47"/>
      <c r="H3267" s="24"/>
      <c r="I3267" s="312"/>
      <c r="J3267" s="312"/>
      <c r="L3267" s="47"/>
      <c r="M3267" s="24"/>
      <c r="N3267" s="312"/>
      <c r="O3267" s="312"/>
      <c r="Q3267" s="47"/>
      <c r="R3267" s="136" t="s">
        <v>2207</v>
      </c>
      <c r="S3267" s="24" t="s">
        <v>2208</v>
      </c>
      <c r="T3267" s="155">
        <v>543931</v>
      </c>
      <c r="U3267" s="155">
        <v>0</v>
      </c>
    </row>
    <row r="3268" spans="2:21" x14ac:dyDescent="0.3">
      <c r="B3268" s="47"/>
      <c r="C3268" s="24"/>
      <c r="D3268" s="312"/>
      <c r="E3268" s="312"/>
      <c r="G3268" s="47"/>
      <c r="H3268" s="24"/>
      <c r="I3268" s="312"/>
      <c r="J3268" s="312"/>
      <c r="L3268" s="47"/>
      <c r="M3268" s="24"/>
      <c r="N3268" s="312"/>
      <c r="O3268" s="312"/>
      <c r="Q3268" s="47"/>
      <c r="R3268" s="136" t="s">
        <v>2209</v>
      </c>
      <c r="S3268" s="24" t="s">
        <v>2210</v>
      </c>
      <c r="T3268" s="155">
        <v>670880</v>
      </c>
      <c r="U3268" s="155">
        <v>0</v>
      </c>
    </row>
    <row r="3269" spans="2:21" x14ac:dyDescent="0.3">
      <c r="B3269" s="47"/>
      <c r="C3269" s="24"/>
      <c r="D3269" s="312"/>
      <c r="E3269" s="312"/>
      <c r="G3269" s="47"/>
      <c r="H3269" s="24"/>
      <c r="I3269" s="312"/>
      <c r="J3269" s="312"/>
      <c r="L3269" s="47"/>
      <c r="M3269" s="24"/>
      <c r="N3269" s="312"/>
      <c r="O3269" s="312"/>
      <c r="Q3269" s="47"/>
      <c r="R3269" s="136" t="s">
        <v>2340</v>
      </c>
      <c r="S3269" s="24" t="s">
        <v>2159</v>
      </c>
      <c r="T3269" s="155">
        <v>301378</v>
      </c>
      <c r="U3269" s="155">
        <v>0</v>
      </c>
    </row>
    <row r="3270" spans="2:21" x14ac:dyDescent="0.3">
      <c r="B3270" s="47"/>
      <c r="C3270" s="24"/>
      <c r="D3270" s="312"/>
      <c r="E3270" s="312"/>
      <c r="G3270" s="47"/>
      <c r="H3270" s="24"/>
      <c r="I3270" s="312"/>
      <c r="J3270" s="312"/>
      <c r="L3270" s="47"/>
      <c r="M3270" s="24"/>
      <c r="N3270" s="312"/>
      <c r="O3270" s="312"/>
      <c r="Q3270" s="47"/>
      <c r="R3270" s="136" t="s">
        <v>2160</v>
      </c>
      <c r="S3270" s="24" t="s">
        <v>2161</v>
      </c>
      <c r="T3270" s="155">
        <v>435782</v>
      </c>
      <c r="U3270" s="155">
        <v>0</v>
      </c>
    </row>
    <row r="3271" spans="2:21" x14ac:dyDescent="0.3">
      <c r="B3271" s="47"/>
      <c r="C3271" s="24"/>
      <c r="D3271" s="312"/>
      <c r="E3271" s="312"/>
      <c r="G3271" s="47"/>
      <c r="H3271" s="24"/>
      <c r="I3271" s="312"/>
      <c r="J3271" s="312"/>
      <c r="L3271" s="47"/>
      <c r="M3271" s="24"/>
      <c r="N3271" s="312"/>
      <c r="O3271" s="312"/>
      <c r="Q3271" s="47"/>
      <c r="R3271" s="136" t="s">
        <v>2162</v>
      </c>
      <c r="S3271" s="24" t="s">
        <v>2163</v>
      </c>
      <c r="T3271" s="155">
        <v>524652</v>
      </c>
      <c r="U3271" s="155">
        <v>0</v>
      </c>
    </row>
    <row r="3272" spans="2:21" x14ac:dyDescent="0.3">
      <c r="B3272" s="47"/>
      <c r="C3272" s="24"/>
      <c r="D3272" s="312"/>
      <c r="E3272" s="312"/>
      <c r="G3272" s="47"/>
      <c r="H3272" s="24"/>
      <c r="I3272" s="312"/>
      <c r="J3272" s="312"/>
      <c r="L3272" s="47"/>
      <c r="M3272" s="24"/>
      <c r="N3272" s="312"/>
      <c r="O3272" s="312"/>
      <c r="Q3272" s="47"/>
      <c r="R3272" s="136" t="s">
        <v>2165</v>
      </c>
      <c r="S3272" s="24" t="s">
        <v>2166</v>
      </c>
      <c r="T3272" s="155">
        <v>668280</v>
      </c>
      <c r="U3272" s="155">
        <v>0</v>
      </c>
    </row>
    <row r="3273" spans="2:21" x14ac:dyDescent="0.3">
      <c r="B3273" s="47"/>
      <c r="C3273" s="24"/>
      <c r="D3273" s="312"/>
      <c r="E3273" s="312"/>
      <c r="G3273" s="47"/>
      <c r="H3273" s="24"/>
      <c r="I3273" s="312"/>
      <c r="J3273" s="312"/>
      <c r="L3273" s="47"/>
      <c r="M3273" s="24"/>
      <c r="N3273" s="312"/>
      <c r="O3273" s="312"/>
      <c r="Q3273" s="47"/>
      <c r="R3273" s="136" t="s">
        <v>2168</v>
      </c>
      <c r="S3273" s="24" t="s">
        <v>2169</v>
      </c>
      <c r="T3273" s="155">
        <v>102869</v>
      </c>
      <c r="U3273" s="155">
        <v>0</v>
      </c>
    </row>
    <row r="3274" spans="2:21" x14ac:dyDescent="0.3">
      <c r="B3274" s="47"/>
      <c r="C3274" s="24"/>
      <c r="D3274" s="312"/>
      <c r="E3274" s="312"/>
      <c r="G3274" s="47"/>
      <c r="H3274" s="24"/>
      <c r="I3274" s="312"/>
      <c r="J3274" s="312"/>
      <c r="L3274" s="47"/>
      <c r="M3274" s="24"/>
      <c r="N3274" s="312"/>
      <c r="O3274" s="312"/>
      <c r="Q3274" s="47"/>
      <c r="R3274" s="136" t="s">
        <v>2168</v>
      </c>
      <c r="S3274" s="24" t="s">
        <v>2169</v>
      </c>
      <c r="T3274" s="155">
        <v>487715</v>
      </c>
      <c r="U3274" s="155">
        <v>0</v>
      </c>
    </row>
    <row r="3275" spans="2:21" x14ac:dyDescent="0.3">
      <c r="B3275" s="47"/>
      <c r="C3275" s="24"/>
      <c r="D3275" s="312"/>
      <c r="E3275" s="312"/>
      <c r="G3275" s="47"/>
      <c r="H3275" s="24"/>
      <c r="I3275" s="312"/>
      <c r="J3275" s="312"/>
      <c r="L3275" s="47"/>
      <c r="M3275" s="24"/>
      <c r="N3275" s="312"/>
      <c r="O3275" s="312"/>
      <c r="Q3275" s="47"/>
      <c r="R3275" s="136" t="s">
        <v>3313</v>
      </c>
      <c r="S3275" s="24" t="s">
        <v>2211</v>
      </c>
      <c r="T3275" s="155">
        <v>16513</v>
      </c>
      <c r="U3275" s="155">
        <v>0</v>
      </c>
    </row>
    <row r="3276" spans="2:21" x14ac:dyDescent="0.3">
      <c r="B3276" s="47"/>
      <c r="C3276" s="24"/>
      <c r="D3276" s="312"/>
      <c r="E3276" s="312"/>
      <c r="G3276" s="47"/>
      <c r="H3276" s="24"/>
      <c r="I3276" s="312"/>
      <c r="J3276" s="312"/>
      <c r="L3276" s="47"/>
      <c r="M3276" s="24"/>
      <c r="N3276" s="312"/>
      <c r="O3276" s="312"/>
      <c r="Q3276" s="47"/>
      <c r="R3276" s="136" t="s">
        <v>2212</v>
      </c>
      <c r="S3276" s="24" t="s">
        <v>2213</v>
      </c>
      <c r="T3276" s="155">
        <v>305598</v>
      </c>
      <c r="U3276" s="155">
        <v>0</v>
      </c>
    </row>
    <row r="3277" spans="2:21" x14ac:dyDescent="0.3">
      <c r="B3277" s="47"/>
      <c r="C3277" s="24"/>
      <c r="D3277" s="312"/>
      <c r="E3277" s="312"/>
      <c r="G3277" s="47"/>
      <c r="H3277" s="24"/>
      <c r="I3277" s="312"/>
      <c r="J3277" s="312"/>
      <c r="L3277" s="47"/>
      <c r="M3277" s="24"/>
      <c r="N3277" s="312"/>
      <c r="O3277" s="312"/>
      <c r="Q3277" s="47"/>
      <c r="R3277" s="136" t="s">
        <v>2214</v>
      </c>
      <c r="S3277" s="24" t="s">
        <v>2215</v>
      </c>
      <c r="T3277" s="155">
        <v>517499</v>
      </c>
      <c r="U3277" s="155">
        <v>0</v>
      </c>
    </row>
    <row r="3278" spans="2:21" x14ac:dyDescent="0.3">
      <c r="B3278" s="47"/>
      <c r="C3278" s="24"/>
      <c r="D3278" s="312"/>
      <c r="E3278" s="312"/>
      <c r="G3278" s="47"/>
      <c r="H3278" s="24"/>
      <c r="I3278" s="312"/>
      <c r="J3278" s="312"/>
      <c r="L3278" s="47"/>
      <c r="M3278" s="24"/>
      <c r="N3278" s="312"/>
      <c r="O3278" s="312"/>
      <c r="Q3278" s="47"/>
      <c r="R3278" s="136" t="s">
        <v>1985</v>
      </c>
      <c r="S3278" s="24" t="s">
        <v>2197</v>
      </c>
      <c r="T3278" s="155">
        <v>57958</v>
      </c>
      <c r="U3278" s="155">
        <v>0</v>
      </c>
    </row>
    <row r="3279" spans="2:21" x14ac:dyDescent="0.3">
      <c r="B3279" s="47"/>
      <c r="C3279" s="24"/>
      <c r="D3279" s="312"/>
      <c r="E3279" s="312"/>
      <c r="G3279" s="47"/>
      <c r="H3279" s="24"/>
      <c r="I3279" s="312"/>
      <c r="J3279" s="312"/>
      <c r="L3279" s="47"/>
      <c r="M3279" s="24"/>
      <c r="N3279" s="312"/>
      <c r="O3279" s="312"/>
      <c r="Q3279" s="47"/>
      <c r="R3279" s="136" t="s">
        <v>1895</v>
      </c>
      <c r="S3279" s="24" t="s">
        <v>2174</v>
      </c>
      <c r="T3279" s="155">
        <v>47074</v>
      </c>
      <c r="U3279" s="155">
        <v>0</v>
      </c>
    </row>
    <row r="3280" spans="2:21" x14ac:dyDescent="0.3">
      <c r="B3280" s="47"/>
      <c r="C3280" s="24"/>
      <c r="D3280" s="312"/>
      <c r="E3280" s="312"/>
      <c r="G3280" s="47"/>
      <c r="H3280" s="24"/>
      <c r="I3280" s="312"/>
      <c r="J3280" s="312"/>
      <c r="L3280" s="47"/>
      <c r="M3280" s="24"/>
      <c r="N3280" s="312"/>
      <c r="O3280" s="312"/>
      <c r="Q3280" s="47"/>
      <c r="R3280" s="136" t="s">
        <v>2177</v>
      </c>
      <c r="S3280" s="24" t="s">
        <v>2341</v>
      </c>
      <c r="T3280" s="155">
        <v>184568</v>
      </c>
      <c r="U3280" s="155">
        <v>0</v>
      </c>
    </row>
    <row r="3281" spans="2:21" x14ac:dyDescent="0.3">
      <c r="B3281" s="47"/>
      <c r="C3281" s="24"/>
      <c r="D3281" s="312"/>
      <c r="E3281" s="312"/>
      <c r="G3281" s="47"/>
      <c r="H3281" s="24"/>
      <c r="I3281" s="312"/>
      <c r="J3281" s="312"/>
      <c r="L3281" s="47"/>
      <c r="M3281" s="24"/>
      <c r="N3281" s="312"/>
      <c r="O3281" s="312"/>
      <c r="Q3281" s="47"/>
      <c r="R3281" s="136" t="s">
        <v>2183</v>
      </c>
      <c r="S3281" s="24" t="s">
        <v>2182</v>
      </c>
      <c r="T3281" s="155">
        <v>870928</v>
      </c>
      <c r="U3281" s="155">
        <v>0</v>
      </c>
    </row>
    <row r="3282" spans="2:21" x14ac:dyDescent="0.3">
      <c r="B3282" s="47"/>
      <c r="C3282" s="24"/>
      <c r="D3282" s="312"/>
      <c r="E3282" s="312"/>
      <c r="G3282" s="47"/>
      <c r="H3282" s="24"/>
      <c r="I3282" s="312"/>
      <c r="J3282" s="312"/>
      <c r="L3282" s="47"/>
      <c r="M3282" s="24"/>
      <c r="N3282" s="312"/>
      <c r="O3282" s="312"/>
      <c r="Q3282" s="47"/>
      <c r="R3282" s="136" t="s">
        <v>2185</v>
      </c>
      <c r="S3282" s="24" t="s">
        <v>2184</v>
      </c>
      <c r="T3282" s="155">
        <v>1028883</v>
      </c>
      <c r="U3282" s="155">
        <v>0</v>
      </c>
    </row>
    <row r="3283" spans="2:21" x14ac:dyDescent="0.3">
      <c r="B3283" s="47"/>
      <c r="C3283" s="24"/>
      <c r="D3283" s="312"/>
      <c r="E3283" s="312"/>
      <c r="G3283" s="47"/>
      <c r="H3283" s="24"/>
      <c r="I3283" s="312"/>
      <c r="J3283" s="312"/>
      <c r="L3283" s="47"/>
      <c r="M3283" s="24"/>
      <c r="N3283" s="312"/>
      <c r="O3283" s="312"/>
      <c r="Q3283" s="47"/>
      <c r="R3283" s="136" t="s">
        <v>2187</v>
      </c>
      <c r="S3283" s="24" t="s">
        <v>2186</v>
      </c>
      <c r="T3283" s="155">
        <v>1293154</v>
      </c>
      <c r="U3283" s="155">
        <v>0</v>
      </c>
    </row>
    <row r="3284" spans="2:21" x14ac:dyDescent="0.3">
      <c r="B3284" s="47"/>
      <c r="C3284" s="24"/>
      <c r="D3284" s="312"/>
      <c r="E3284" s="312"/>
      <c r="G3284" s="47"/>
      <c r="H3284" s="24"/>
      <c r="I3284" s="312"/>
      <c r="J3284" s="312"/>
      <c r="L3284" s="47"/>
      <c r="M3284" s="24"/>
      <c r="N3284" s="312"/>
      <c r="O3284" s="312"/>
      <c r="Q3284" s="47"/>
      <c r="R3284" s="136" t="s">
        <v>2342</v>
      </c>
      <c r="S3284" s="24" t="s">
        <v>2188</v>
      </c>
      <c r="T3284" s="155">
        <v>185488</v>
      </c>
      <c r="U3284" s="155">
        <v>0</v>
      </c>
    </row>
    <row r="3285" spans="2:21" x14ac:dyDescent="0.3">
      <c r="B3285" s="47"/>
      <c r="C3285" s="24"/>
      <c r="D3285" s="312"/>
      <c r="E3285" s="312"/>
      <c r="G3285" s="47"/>
      <c r="H3285" s="24"/>
      <c r="I3285" s="312"/>
      <c r="J3285" s="312"/>
      <c r="L3285" s="47"/>
      <c r="M3285" s="24"/>
      <c r="N3285" s="312"/>
      <c r="O3285" s="312"/>
      <c r="Q3285" s="47"/>
      <c r="R3285" s="136" t="s">
        <v>2342</v>
      </c>
      <c r="S3285" s="24" t="s">
        <v>2188</v>
      </c>
      <c r="T3285" s="155">
        <v>202259</v>
      </c>
      <c r="U3285" s="155">
        <v>0</v>
      </c>
    </row>
    <row r="3286" spans="2:21" x14ac:dyDescent="0.3">
      <c r="B3286" s="47"/>
      <c r="C3286" s="24"/>
      <c r="D3286" s="312"/>
      <c r="E3286" s="312"/>
      <c r="G3286" s="47"/>
      <c r="H3286" s="24"/>
      <c r="I3286" s="312"/>
      <c r="J3286" s="312"/>
      <c r="L3286" s="47"/>
      <c r="M3286" s="24"/>
      <c r="N3286" s="312"/>
      <c r="O3286" s="312"/>
      <c r="Q3286" s="47"/>
      <c r="R3286" s="136" t="s">
        <v>2190</v>
      </c>
      <c r="S3286" s="24" t="s">
        <v>2189</v>
      </c>
      <c r="T3286" s="155">
        <v>543860</v>
      </c>
      <c r="U3286" s="155">
        <v>0</v>
      </c>
    </row>
    <row r="3287" spans="2:21" x14ac:dyDescent="0.3">
      <c r="B3287" s="47"/>
      <c r="C3287" s="24"/>
      <c r="D3287" s="312"/>
      <c r="E3287" s="312"/>
      <c r="G3287" s="47"/>
      <c r="H3287" s="24"/>
      <c r="I3287" s="312"/>
      <c r="J3287" s="312"/>
      <c r="L3287" s="47"/>
      <c r="M3287" s="24"/>
      <c r="N3287" s="312"/>
      <c r="O3287" s="312"/>
      <c r="Q3287" s="47"/>
      <c r="R3287" s="136" t="s">
        <v>2192</v>
      </c>
      <c r="S3287" s="24" t="s">
        <v>2191</v>
      </c>
      <c r="T3287" s="155">
        <v>312050</v>
      </c>
      <c r="U3287" s="155">
        <v>0</v>
      </c>
    </row>
    <row r="3288" spans="2:21" x14ac:dyDescent="0.3">
      <c r="B3288" s="47"/>
      <c r="C3288" s="24"/>
      <c r="D3288" s="312"/>
      <c r="E3288" s="312"/>
      <c r="G3288" s="47"/>
      <c r="H3288" s="24"/>
      <c r="I3288" s="312"/>
      <c r="J3288" s="312"/>
      <c r="L3288" s="47"/>
      <c r="M3288" s="24"/>
      <c r="N3288" s="312"/>
      <c r="O3288" s="312"/>
      <c r="Q3288" s="47"/>
      <c r="R3288" s="136" t="s">
        <v>1896</v>
      </c>
      <c r="S3288" s="24" t="s">
        <v>2193</v>
      </c>
      <c r="T3288" s="155">
        <v>504357</v>
      </c>
      <c r="U3288" s="155">
        <v>0</v>
      </c>
    </row>
    <row r="3289" spans="2:21" x14ac:dyDescent="0.3">
      <c r="B3289" s="47"/>
      <c r="C3289" s="24"/>
      <c r="D3289" s="312"/>
      <c r="E3289" s="312"/>
      <c r="G3289" s="47"/>
      <c r="H3289" s="24"/>
      <c r="I3289" s="312"/>
      <c r="J3289" s="312"/>
      <c r="L3289" s="47"/>
      <c r="M3289" s="24"/>
      <c r="N3289" s="312"/>
      <c r="O3289" s="312"/>
      <c r="Q3289" s="47"/>
      <c r="R3289" s="136" t="s">
        <v>3291</v>
      </c>
      <c r="S3289" s="24" t="s">
        <v>2171</v>
      </c>
      <c r="T3289" s="155">
        <v>32410</v>
      </c>
      <c r="U3289" s="155">
        <v>0</v>
      </c>
    </row>
    <row r="3290" spans="2:21" x14ac:dyDescent="0.3">
      <c r="B3290" s="47"/>
      <c r="C3290" s="24"/>
      <c r="D3290" s="312"/>
      <c r="E3290" s="312"/>
      <c r="G3290" s="47"/>
      <c r="H3290" s="24"/>
      <c r="I3290" s="312"/>
      <c r="J3290" s="312"/>
      <c r="L3290" s="47"/>
      <c r="M3290" s="24"/>
      <c r="N3290" s="312"/>
      <c r="O3290" s="312"/>
      <c r="Q3290" s="47"/>
      <c r="R3290" s="136" t="s">
        <v>1898</v>
      </c>
      <c r="S3290" s="24" t="s">
        <v>2218</v>
      </c>
      <c r="T3290" s="155">
        <v>5000</v>
      </c>
      <c r="U3290" s="155">
        <v>0</v>
      </c>
    </row>
    <row r="3291" spans="2:21" x14ac:dyDescent="0.3">
      <c r="B3291" s="47"/>
      <c r="C3291" s="24"/>
      <c r="D3291" s="312"/>
      <c r="E3291" s="312"/>
      <c r="G3291" s="47"/>
      <c r="H3291" s="24"/>
      <c r="I3291" s="312"/>
      <c r="J3291" s="312"/>
      <c r="L3291" s="47"/>
      <c r="M3291" s="24"/>
      <c r="N3291" s="312"/>
      <c r="O3291" s="312"/>
      <c r="Q3291" s="47"/>
      <c r="R3291" s="136" t="s">
        <v>2219</v>
      </c>
      <c r="S3291" s="24" t="s">
        <v>2220</v>
      </c>
      <c r="T3291" s="155">
        <v>37694</v>
      </c>
      <c r="U3291" s="155">
        <v>0</v>
      </c>
    </row>
    <row r="3292" spans="2:21" x14ac:dyDescent="0.3">
      <c r="B3292" s="47"/>
      <c r="C3292" s="24"/>
      <c r="D3292" s="312"/>
      <c r="E3292" s="312"/>
      <c r="G3292" s="47"/>
      <c r="H3292" s="24"/>
      <c r="I3292" s="312"/>
      <c r="J3292" s="312"/>
      <c r="L3292" s="47"/>
      <c r="M3292" s="24"/>
      <c r="N3292" s="312"/>
      <c r="O3292" s="312"/>
      <c r="Q3292" s="47"/>
      <c r="R3292" s="136" t="s">
        <v>2221</v>
      </c>
      <c r="S3292" s="24" t="s">
        <v>2222</v>
      </c>
      <c r="T3292" s="155">
        <v>29775</v>
      </c>
      <c r="U3292" s="155">
        <v>0</v>
      </c>
    </row>
    <row r="3293" spans="2:21" x14ac:dyDescent="0.3">
      <c r="B3293" s="47"/>
      <c r="C3293" s="24"/>
      <c r="D3293" s="312"/>
      <c r="E3293" s="312"/>
      <c r="G3293" s="47"/>
      <c r="H3293" s="24"/>
      <c r="I3293" s="312"/>
      <c r="J3293" s="312"/>
      <c r="L3293" s="47"/>
      <c r="M3293" s="24"/>
      <c r="N3293" s="312"/>
      <c r="O3293" s="312"/>
      <c r="Q3293" s="47"/>
      <c r="R3293" s="136" t="s">
        <v>2223</v>
      </c>
      <c r="S3293" s="24" t="s">
        <v>2224</v>
      </c>
      <c r="T3293" s="155">
        <v>25110</v>
      </c>
      <c r="U3293" s="155">
        <v>0</v>
      </c>
    </row>
    <row r="3294" spans="2:21" x14ac:dyDescent="0.3">
      <c r="B3294" s="47"/>
      <c r="C3294" s="24"/>
      <c r="D3294" s="312"/>
      <c r="E3294" s="312"/>
      <c r="G3294" s="47"/>
      <c r="H3294" s="24"/>
      <c r="I3294" s="312"/>
      <c r="J3294" s="312"/>
      <c r="L3294" s="47"/>
      <c r="M3294" s="24"/>
      <c r="N3294" s="312"/>
      <c r="O3294" s="312"/>
      <c r="Q3294" s="47"/>
      <c r="R3294" s="136" t="s">
        <v>2226</v>
      </c>
      <c r="S3294" s="24" t="s">
        <v>2227</v>
      </c>
      <c r="T3294" s="155">
        <v>36069</v>
      </c>
      <c r="U3294" s="155">
        <v>0</v>
      </c>
    </row>
    <row r="3295" spans="2:21" x14ac:dyDescent="0.3">
      <c r="B3295" s="47"/>
      <c r="C3295" s="24"/>
      <c r="D3295" s="312"/>
      <c r="E3295" s="312"/>
      <c r="G3295" s="47"/>
      <c r="H3295" s="24"/>
      <c r="I3295" s="312"/>
      <c r="J3295" s="312"/>
      <c r="L3295" s="47"/>
      <c r="M3295" s="24"/>
      <c r="N3295" s="312"/>
      <c r="O3295" s="312"/>
      <c r="Q3295" s="47"/>
      <c r="R3295" s="136" t="s">
        <v>2230</v>
      </c>
      <c r="S3295" s="24" t="s">
        <v>2231</v>
      </c>
      <c r="T3295" s="155">
        <v>25131</v>
      </c>
      <c r="U3295" s="155">
        <v>0</v>
      </c>
    </row>
    <row r="3296" spans="2:21" x14ac:dyDescent="0.3">
      <c r="B3296" s="47"/>
      <c r="C3296" s="24"/>
      <c r="D3296" s="312"/>
      <c r="E3296" s="312"/>
      <c r="G3296" s="47"/>
      <c r="H3296" s="24"/>
      <c r="I3296" s="312"/>
      <c r="J3296" s="312"/>
      <c r="L3296" s="47"/>
      <c r="M3296" s="24"/>
      <c r="N3296" s="312"/>
      <c r="O3296" s="312"/>
      <c r="Q3296" s="47"/>
      <c r="R3296" s="136" t="s">
        <v>2232</v>
      </c>
      <c r="S3296" s="24" t="s">
        <v>1988</v>
      </c>
      <c r="T3296" s="155">
        <v>6383</v>
      </c>
      <c r="U3296" s="155">
        <v>0</v>
      </c>
    </row>
    <row r="3297" spans="2:21" x14ac:dyDescent="0.3">
      <c r="B3297" s="47"/>
      <c r="C3297" s="24"/>
      <c r="D3297" s="312"/>
      <c r="E3297" s="312"/>
      <c r="G3297" s="47"/>
      <c r="H3297" s="24"/>
      <c r="I3297" s="312"/>
      <c r="J3297" s="312"/>
      <c r="L3297" s="47"/>
      <c r="M3297" s="24"/>
      <c r="N3297" s="312"/>
      <c r="O3297" s="312"/>
      <c r="Q3297" s="47"/>
      <c r="R3297" s="136" t="s">
        <v>2233</v>
      </c>
      <c r="S3297" s="24" t="s">
        <v>1989</v>
      </c>
      <c r="T3297" s="155">
        <v>5318</v>
      </c>
      <c r="U3297" s="155">
        <v>0</v>
      </c>
    </row>
    <row r="3298" spans="2:21" x14ac:dyDescent="0.3">
      <c r="B3298" s="47"/>
      <c r="C3298" s="24"/>
      <c r="D3298" s="312"/>
      <c r="E3298" s="312"/>
      <c r="G3298" s="47"/>
      <c r="H3298" s="24"/>
      <c r="I3298" s="312"/>
      <c r="J3298" s="312"/>
      <c r="L3298" s="47"/>
      <c r="M3298" s="24"/>
      <c r="N3298" s="312"/>
      <c r="O3298" s="312"/>
      <c r="Q3298" s="47"/>
      <c r="R3298" s="136" t="s">
        <v>2234</v>
      </c>
      <c r="S3298" s="24" t="s">
        <v>2235</v>
      </c>
      <c r="T3298" s="155">
        <v>8390</v>
      </c>
      <c r="U3298" s="155">
        <v>0</v>
      </c>
    </row>
    <row r="3299" spans="2:21" x14ac:dyDescent="0.3">
      <c r="B3299" s="47"/>
      <c r="C3299" s="24"/>
      <c r="D3299" s="312"/>
      <c r="E3299" s="312"/>
      <c r="G3299" s="47"/>
      <c r="H3299" s="24"/>
      <c r="I3299" s="312"/>
      <c r="J3299" s="312"/>
      <c r="L3299" s="47"/>
      <c r="M3299" s="24"/>
      <c r="N3299" s="312"/>
      <c r="O3299" s="312"/>
      <c r="Q3299" s="241">
        <v>80190002</v>
      </c>
      <c r="R3299" s="242"/>
      <c r="S3299" s="243" t="s">
        <v>2099</v>
      </c>
      <c r="T3299" s="240">
        <v>0</v>
      </c>
      <c r="U3299" s="240">
        <v>0</v>
      </c>
    </row>
    <row r="3300" spans="2:21" x14ac:dyDescent="0.3">
      <c r="B3300" s="47"/>
      <c r="C3300" s="24"/>
      <c r="D3300" s="312"/>
      <c r="E3300" s="312"/>
      <c r="G3300" s="47"/>
      <c r="H3300" s="24"/>
      <c r="I3300" s="312"/>
      <c r="J3300" s="312"/>
      <c r="L3300" s="47"/>
      <c r="M3300" s="24"/>
      <c r="N3300" s="312"/>
      <c r="O3300" s="312"/>
      <c r="Q3300" s="241">
        <v>80190003</v>
      </c>
      <c r="R3300" s="242"/>
      <c r="S3300" s="243" t="s">
        <v>1160</v>
      </c>
      <c r="T3300" s="239">
        <f>SUM(T3301:T3329)-SUM(U3301:U3329)</f>
        <v>798140</v>
      </c>
      <c r="U3300" s="240">
        <v>0</v>
      </c>
    </row>
    <row r="3301" spans="2:21" x14ac:dyDescent="0.3">
      <c r="B3301" s="47"/>
      <c r="C3301" s="24"/>
      <c r="D3301" s="312"/>
      <c r="E3301" s="312"/>
      <c r="G3301" s="47"/>
      <c r="H3301" s="24"/>
      <c r="I3301" s="312"/>
      <c r="J3301" s="312"/>
      <c r="L3301" s="47"/>
      <c r="M3301" s="24"/>
      <c r="N3301" s="312"/>
      <c r="O3301" s="312"/>
      <c r="Q3301" s="47"/>
      <c r="R3301" s="136" t="s">
        <v>1931</v>
      </c>
      <c r="S3301" s="24" t="s">
        <v>1932</v>
      </c>
      <c r="T3301" s="155">
        <v>3000</v>
      </c>
      <c r="U3301" s="155">
        <v>0</v>
      </c>
    </row>
    <row r="3302" spans="2:21" x14ac:dyDescent="0.3">
      <c r="B3302" s="47"/>
      <c r="C3302" s="24"/>
      <c r="D3302" s="312"/>
      <c r="E3302" s="312"/>
      <c r="G3302" s="47"/>
      <c r="H3302" s="24"/>
      <c r="I3302" s="312"/>
      <c r="J3302" s="312"/>
      <c r="L3302" s="47"/>
      <c r="M3302" s="24"/>
      <c r="N3302" s="312"/>
      <c r="O3302" s="312"/>
      <c r="Q3302" s="47"/>
      <c r="R3302" s="136" t="s">
        <v>2199</v>
      </c>
      <c r="S3302" s="24" t="s">
        <v>2200</v>
      </c>
      <c r="T3302" s="155">
        <v>35100</v>
      </c>
      <c r="U3302" s="155">
        <v>0</v>
      </c>
    </row>
    <row r="3303" spans="2:21" x14ac:dyDescent="0.3">
      <c r="B3303" s="47"/>
      <c r="C3303" s="24"/>
      <c r="D3303" s="312"/>
      <c r="E3303" s="312"/>
      <c r="G3303" s="47"/>
      <c r="H3303" s="24"/>
      <c r="I3303" s="312"/>
      <c r="J3303" s="312"/>
      <c r="L3303" s="47"/>
      <c r="M3303" s="24"/>
      <c r="N3303" s="312"/>
      <c r="O3303" s="312"/>
      <c r="Q3303" s="47"/>
      <c r="R3303" s="136" t="s">
        <v>2201</v>
      </c>
      <c r="S3303" s="24" t="s">
        <v>2202</v>
      </c>
      <c r="T3303" s="155">
        <v>6750</v>
      </c>
      <c r="U3303" s="155">
        <v>0</v>
      </c>
    </row>
    <row r="3304" spans="2:21" x14ac:dyDescent="0.3">
      <c r="B3304" s="47"/>
      <c r="C3304" s="24"/>
      <c r="D3304" s="312"/>
      <c r="E3304" s="312"/>
      <c r="G3304" s="47"/>
      <c r="H3304" s="24"/>
      <c r="I3304" s="312"/>
      <c r="J3304" s="312"/>
      <c r="L3304" s="47"/>
      <c r="M3304" s="24"/>
      <c r="N3304" s="312"/>
      <c r="O3304" s="312"/>
      <c r="Q3304" s="47"/>
      <c r="R3304" s="136" t="s">
        <v>2203</v>
      </c>
      <c r="S3304" s="24" t="s">
        <v>2204</v>
      </c>
      <c r="T3304" s="155">
        <v>29120</v>
      </c>
      <c r="U3304" s="155">
        <v>0</v>
      </c>
    </row>
    <row r="3305" spans="2:21" x14ac:dyDescent="0.3">
      <c r="B3305" s="47"/>
      <c r="C3305" s="24"/>
      <c r="D3305" s="312"/>
      <c r="E3305" s="312"/>
      <c r="G3305" s="47"/>
      <c r="H3305" s="24"/>
      <c r="I3305" s="312"/>
      <c r="J3305" s="312"/>
      <c r="L3305" s="47"/>
      <c r="M3305" s="24"/>
      <c r="N3305" s="312"/>
      <c r="O3305" s="312"/>
      <c r="Q3305" s="47"/>
      <c r="R3305" s="136" t="s">
        <v>2205</v>
      </c>
      <c r="S3305" s="24" t="s">
        <v>2206</v>
      </c>
      <c r="T3305" s="155">
        <v>47290</v>
      </c>
      <c r="U3305" s="155">
        <v>0</v>
      </c>
    </row>
    <row r="3306" spans="2:21" x14ac:dyDescent="0.3">
      <c r="B3306" s="47"/>
      <c r="C3306" s="24"/>
      <c r="D3306" s="312"/>
      <c r="E3306" s="312"/>
      <c r="G3306" s="47"/>
      <c r="H3306" s="24"/>
      <c r="I3306" s="312"/>
      <c r="J3306" s="312"/>
      <c r="L3306" s="47"/>
      <c r="M3306" s="24"/>
      <c r="N3306" s="312"/>
      <c r="O3306" s="312"/>
      <c r="Q3306" s="47"/>
      <c r="R3306" s="136" t="s">
        <v>2207</v>
      </c>
      <c r="S3306" s="24" t="s">
        <v>2208</v>
      </c>
      <c r="T3306" s="155">
        <v>43740</v>
      </c>
      <c r="U3306" s="155">
        <v>0</v>
      </c>
    </row>
    <row r="3307" spans="2:21" x14ac:dyDescent="0.3">
      <c r="B3307" s="47"/>
      <c r="C3307" s="24"/>
      <c r="D3307" s="312"/>
      <c r="E3307" s="312"/>
      <c r="G3307" s="47"/>
      <c r="H3307" s="24"/>
      <c r="I3307" s="312"/>
      <c r="J3307" s="312"/>
      <c r="L3307" s="47"/>
      <c r="M3307" s="24"/>
      <c r="N3307" s="312"/>
      <c r="O3307" s="312"/>
      <c r="Q3307" s="47"/>
      <c r="R3307" s="136" t="s">
        <v>2340</v>
      </c>
      <c r="S3307" s="24" t="s">
        <v>2159</v>
      </c>
      <c r="T3307" s="155">
        <v>55940</v>
      </c>
      <c r="U3307" s="155">
        <v>0</v>
      </c>
    </row>
    <row r="3308" spans="2:21" x14ac:dyDescent="0.3">
      <c r="B3308" s="47"/>
      <c r="C3308" s="24"/>
      <c r="D3308" s="312"/>
      <c r="E3308" s="312"/>
      <c r="G3308" s="47"/>
      <c r="H3308" s="24"/>
      <c r="I3308" s="312"/>
      <c r="J3308" s="312"/>
      <c r="L3308" s="47"/>
      <c r="M3308" s="24"/>
      <c r="N3308" s="312"/>
      <c r="O3308" s="312"/>
      <c r="Q3308" s="47"/>
      <c r="R3308" s="136" t="s">
        <v>2160</v>
      </c>
      <c r="S3308" s="24" t="s">
        <v>2161</v>
      </c>
      <c r="T3308" s="155">
        <v>44590</v>
      </c>
      <c r="U3308" s="155">
        <v>0</v>
      </c>
    </row>
    <row r="3309" spans="2:21" x14ac:dyDescent="0.3">
      <c r="B3309" s="47"/>
      <c r="C3309" s="24"/>
      <c r="D3309" s="312"/>
      <c r="E3309" s="312"/>
      <c r="G3309" s="47"/>
      <c r="H3309" s="24"/>
      <c r="I3309" s="312"/>
      <c r="J3309" s="312"/>
      <c r="L3309" s="47"/>
      <c r="M3309" s="24"/>
      <c r="N3309" s="312"/>
      <c r="O3309" s="312"/>
      <c r="Q3309" s="47"/>
      <c r="R3309" s="136" t="s">
        <v>2162</v>
      </c>
      <c r="S3309" s="24" t="s">
        <v>2163</v>
      </c>
      <c r="T3309" s="155">
        <v>59640</v>
      </c>
      <c r="U3309" s="155">
        <v>0</v>
      </c>
    </row>
    <row r="3310" spans="2:21" x14ac:dyDescent="0.3">
      <c r="B3310" s="47"/>
      <c r="C3310" s="24"/>
      <c r="D3310" s="312"/>
      <c r="E3310" s="312"/>
      <c r="G3310" s="47"/>
      <c r="H3310" s="24"/>
      <c r="I3310" s="312"/>
      <c r="J3310" s="312"/>
      <c r="L3310" s="47"/>
      <c r="M3310" s="24"/>
      <c r="N3310" s="312"/>
      <c r="O3310" s="312"/>
      <c r="Q3310" s="47"/>
      <c r="R3310" s="136" t="s">
        <v>2165</v>
      </c>
      <c r="S3310" s="24" t="s">
        <v>2166</v>
      </c>
      <c r="T3310" s="155">
        <v>8900</v>
      </c>
      <c r="U3310" s="155">
        <v>0</v>
      </c>
    </row>
    <row r="3311" spans="2:21" x14ac:dyDescent="0.3">
      <c r="B3311" s="47"/>
      <c r="C3311" s="24"/>
      <c r="D3311" s="312"/>
      <c r="E3311" s="312"/>
      <c r="G3311" s="47"/>
      <c r="H3311" s="24"/>
      <c r="I3311" s="312"/>
      <c r="J3311" s="312"/>
      <c r="L3311" s="47"/>
      <c r="M3311" s="24"/>
      <c r="N3311" s="312"/>
      <c r="O3311" s="312"/>
      <c r="Q3311" s="47"/>
      <c r="R3311" s="136" t="s">
        <v>2168</v>
      </c>
      <c r="S3311" s="24" t="s">
        <v>2169</v>
      </c>
      <c r="T3311" s="155">
        <v>4450</v>
      </c>
      <c r="U3311" s="155">
        <v>0</v>
      </c>
    </row>
    <row r="3312" spans="2:21" x14ac:dyDescent="0.3">
      <c r="B3312" s="47"/>
      <c r="C3312" s="24"/>
      <c r="D3312" s="312"/>
      <c r="E3312" s="312"/>
      <c r="G3312" s="47"/>
      <c r="H3312" s="24"/>
      <c r="I3312" s="312"/>
      <c r="J3312" s="312"/>
      <c r="L3312" s="47"/>
      <c r="M3312" s="24"/>
      <c r="N3312" s="312"/>
      <c r="O3312" s="312"/>
      <c r="Q3312" s="47"/>
      <c r="R3312" s="136" t="s">
        <v>2168</v>
      </c>
      <c r="S3312" s="24" t="s">
        <v>2169</v>
      </c>
      <c r="T3312" s="155">
        <v>3500</v>
      </c>
      <c r="U3312" s="155">
        <v>0</v>
      </c>
    </row>
    <row r="3313" spans="2:21" x14ac:dyDescent="0.3">
      <c r="B3313" s="47"/>
      <c r="C3313" s="24"/>
      <c r="D3313" s="312"/>
      <c r="E3313" s="312"/>
      <c r="G3313" s="47"/>
      <c r="H3313" s="24"/>
      <c r="I3313" s="312"/>
      <c r="J3313" s="312"/>
      <c r="L3313" s="47"/>
      <c r="M3313" s="24"/>
      <c r="N3313" s="312"/>
      <c r="O3313" s="312"/>
      <c r="Q3313" s="47"/>
      <c r="R3313" s="136" t="s">
        <v>3313</v>
      </c>
      <c r="S3313" s="24" t="s">
        <v>2211</v>
      </c>
      <c r="T3313" s="155">
        <v>2800</v>
      </c>
      <c r="U3313" s="155">
        <v>0</v>
      </c>
    </row>
    <row r="3314" spans="2:21" x14ac:dyDescent="0.3">
      <c r="B3314" s="47"/>
      <c r="C3314" s="24"/>
      <c r="D3314" s="312"/>
      <c r="E3314" s="312"/>
      <c r="G3314" s="47"/>
      <c r="H3314" s="24"/>
      <c r="I3314" s="312"/>
      <c r="J3314" s="312"/>
      <c r="L3314" s="47"/>
      <c r="M3314" s="24"/>
      <c r="N3314" s="312"/>
      <c r="O3314" s="312"/>
      <c r="Q3314" s="47"/>
      <c r="R3314" s="136" t="s">
        <v>2212</v>
      </c>
      <c r="S3314" s="24" t="s">
        <v>2213</v>
      </c>
      <c r="T3314" s="155">
        <v>14970</v>
      </c>
      <c r="U3314" s="155">
        <v>0</v>
      </c>
    </row>
    <row r="3315" spans="2:21" x14ac:dyDescent="0.3">
      <c r="B3315" s="47"/>
      <c r="C3315" s="24"/>
      <c r="D3315" s="312"/>
      <c r="E3315" s="312"/>
      <c r="G3315" s="47"/>
      <c r="H3315" s="24"/>
      <c r="I3315" s="312"/>
      <c r="J3315" s="312"/>
      <c r="L3315" s="47"/>
      <c r="M3315" s="24"/>
      <c r="N3315" s="312"/>
      <c r="O3315" s="312"/>
      <c r="Q3315" s="47"/>
      <c r="R3315" s="136" t="s">
        <v>2214</v>
      </c>
      <c r="S3315" s="24" t="s">
        <v>2215</v>
      </c>
      <c r="T3315" s="155">
        <v>23330</v>
      </c>
      <c r="U3315" s="155">
        <v>0</v>
      </c>
    </row>
    <row r="3316" spans="2:21" x14ac:dyDescent="0.3">
      <c r="B3316" s="47"/>
      <c r="C3316" s="24"/>
      <c r="D3316" s="312"/>
      <c r="E3316" s="312"/>
      <c r="G3316" s="47"/>
      <c r="H3316" s="24"/>
      <c r="I3316" s="312"/>
      <c r="J3316" s="312"/>
      <c r="L3316" s="47"/>
      <c r="M3316" s="24"/>
      <c r="N3316" s="312"/>
      <c r="O3316" s="312"/>
      <c r="Q3316" s="47"/>
      <c r="R3316" s="136" t="s">
        <v>1985</v>
      </c>
      <c r="S3316" s="24" t="s">
        <v>2197</v>
      </c>
      <c r="T3316" s="155">
        <v>880</v>
      </c>
      <c r="U3316" s="155">
        <v>0</v>
      </c>
    </row>
    <row r="3317" spans="2:21" x14ac:dyDescent="0.3">
      <c r="B3317" s="47"/>
      <c r="C3317" s="24"/>
      <c r="D3317" s="312"/>
      <c r="E3317" s="312"/>
      <c r="G3317" s="47"/>
      <c r="H3317" s="24"/>
      <c r="I3317" s="312"/>
      <c r="J3317" s="312"/>
      <c r="L3317" s="47"/>
      <c r="M3317" s="24"/>
      <c r="N3317" s="312"/>
      <c r="O3317" s="312"/>
      <c r="Q3317" s="47"/>
      <c r="R3317" s="136" t="s">
        <v>1895</v>
      </c>
      <c r="S3317" s="24" t="s">
        <v>2174</v>
      </c>
      <c r="T3317" s="155">
        <v>37550</v>
      </c>
      <c r="U3317" s="155">
        <v>0</v>
      </c>
    </row>
    <row r="3318" spans="2:21" x14ac:dyDescent="0.3">
      <c r="B3318" s="47"/>
      <c r="C3318" s="24"/>
      <c r="D3318" s="312"/>
      <c r="E3318" s="312"/>
      <c r="G3318" s="47"/>
      <c r="H3318" s="24"/>
      <c r="I3318" s="312"/>
      <c r="J3318" s="312"/>
      <c r="L3318" s="47"/>
      <c r="M3318" s="24"/>
      <c r="N3318" s="312"/>
      <c r="O3318" s="312"/>
      <c r="Q3318" s="47"/>
      <c r="R3318" s="136" t="s">
        <v>2177</v>
      </c>
      <c r="S3318" s="24" t="s">
        <v>2341</v>
      </c>
      <c r="T3318" s="155">
        <v>42750</v>
      </c>
      <c r="U3318" s="155">
        <v>0</v>
      </c>
    </row>
    <row r="3319" spans="2:21" x14ac:dyDescent="0.3">
      <c r="B3319" s="47"/>
      <c r="C3319" s="24"/>
      <c r="D3319" s="312"/>
      <c r="E3319" s="312"/>
      <c r="G3319" s="47"/>
      <c r="H3319" s="24"/>
      <c r="I3319" s="312"/>
      <c r="J3319" s="312"/>
      <c r="L3319" s="47"/>
      <c r="M3319" s="24"/>
      <c r="N3319" s="312"/>
      <c r="O3319" s="312"/>
      <c r="Q3319" s="47"/>
      <c r="R3319" s="136" t="s">
        <v>2183</v>
      </c>
      <c r="S3319" s="24" t="s">
        <v>2182</v>
      </c>
      <c r="T3319" s="155">
        <v>96150</v>
      </c>
      <c r="U3319" s="155">
        <v>0</v>
      </c>
    </row>
    <row r="3320" spans="2:21" x14ac:dyDescent="0.3">
      <c r="B3320" s="47"/>
      <c r="C3320" s="24"/>
      <c r="D3320" s="312"/>
      <c r="E3320" s="312"/>
      <c r="G3320" s="47"/>
      <c r="H3320" s="24"/>
      <c r="I3320" s="312"/>
      <c r="J3320" s="312"/>
      <c r="L3320" s="47"/>
      <c r="M3320" s="24"/>
      <c r="N3320" s="312"/>
      <c r="O3320" s="312"/>
      <c r="Q3320" s="47"/>
      <c r="R3320" s="136" t="s">
        <v>2185</v>
      </c>
      <c r="S3320" s="24" t="s">
        <v>2184</v>
      </c>
      <c r="T3320" s="155">
        <v>100020</v>
      </c>
      <c r="U3320" s="155">
        <v>0</v>
      </c>
    </row>
    <row r="3321" spans="2:21" x14ac:dyDescent="0.3">
      <c r="B3321" s="47"/>
      <c r="C3321" s="24"/>
      <c r="D3321" s="312"/>
      <c r="E3321" s="312"/>
      <c r="G3321" s="47"/>
      <c r="H3321" s="24"/>
      <c r="I3321" s="312"/>
      <c r="J3321" s="312"/>
      <c r="L3321" s="47"/>
      <c r="M3321" s="24"/>
      <c r="N3321" s="312"/>
      <c r="O3321" s="312"/>
      <c r="Q3321" s="47"/>
      <c r="R3321" s="136" t="s">
        <v>2187</v>
      </c>
      <c r="S3321" s="24" t="s">
        <v>2186</v>
      </c>
      <c r="T3321" s="155">
        <v>76540</v>
      </c>
      <c r="U3321" s="155">
        <v>0</v>
      </c>
    </row>
    <row r="3322" spans="2:21" x14ac:dyDescent="0.3">
      <c r="B3322" s="47"/>
      <c r="C3322" s="24"/>
      <c r="D3322" s="312"/>
      <c r="E3322" s="312"/>
      <c r="G3322" s="47"/>
      <c r="H3322" s="24"/>
      <c r="I3322" s="312"/>
      <c r="J3322" s="312"/>
      <c r="L3322" s="47"/>
      <c r="M3322" s="24"/>
      <c r="N3322" s="312"/>
      <c r="O3322" s="312"/>
      <c r="Q3322" s="47"/>
      <c r="R3322" s="136" t="s">
        <v>2342</v>
      </c>
      <c r="S3322" s="24" t="s">
        <v>2188</v>
      </c>
      <c r="T3322" s="155">
        <v>1000</v>
      </c>
      <c r="U3322" s="155">
        <v>0</v>
      </c>
    </row>
    <row r="3323" spans="2:21" x14ac:dyDescent="0.3">
      <c r="B3323" s="47"/>
      <c r="C3323" s="24"/>
      <c r="D3323" s="312"/>
      <c r="E3323" s="312"/>
      <c r="G3323" s="47"/>
      <c r="H3323" s="24"/>
      <c r="I3323" s="312"/>
      <c r="J3323" s="312"/>
      <c r="L3323" s="47"/>
      <c r="M3323" s="24"/>
      <c r="N3323" s="312"/>
      <c r="O3323" s="312"/>
      <c r="Q3323" s="47"/>
      <c r="R3323" s="136" t="s">
        <v>2342</v>
      </c>
      <c r="S3323" s="24" t="s">
        <v>2188</v>
      </c>
      <c r="T3323" s="155">
        <v>300</v>
      </c>
      <c r="U3323" s="155">
        <v>0</v>
      </c>
    </row>
    <row r="3324" spans="2:21" x14ac:dyDescent="0.3">
      <c r="B3324" s="47"/>
      <c r="C3324" s="24"/>
      <c r="D3324" s="312"/>
      <c r="E3324" s="312"/>
      <c r="G3324" s="47"/>
      <c r="H3324" s="24"/>
      <c r="I3324" s="312"/>
      <c r="J3324" s="312"/>
      <c r="L3324" s="47"/>
      <c r="M3324" s="24"/>
      <c r="N3324" s="312"/>
      <c r="O3324" s="312"/>
      <c r="Q3324" s="47"/>
      <c r="R3324" s="136" t="s">
        <v>2190</v>
      </c>
      <c r="S3324" s="24" t="s">
        <v>2189</v>
      </c>
      <c r="T3324" s="155">
        <v>1300</v>
      </c>
      <c r="U3324" s="155">
        <v>0</v>
      </c>
    </row>
    <row r="3325" spans="2:21" x14ac:dyDescent="0.3">
      <c r="B3325" s="47"/>
      <c r="C3325" s="24"/>
      <c r="D3325" s="312"/>
      <c r="E3325" s="312"/>
      <c r="G3325" s="47"/>
      <c r="H3325" s="24"/>
      <c r="I3325" s="312"/>
      <c r="J3325" s="312"/>
      <c r="L3325" s="47"/>
      <c r="M3325" s="24"/>
      <c r="N3325" s="312"/>
      <c r="O3325" s="312"/>
      <c r="Q3325" s="47"/>
      <c r="R3325" s="136" t="s">
        <v>3291</v>
      </c>
      <c r="S3325" s="24" t="s">
        <v>2171</v>
      </c>
      <c r="T3325" s="155">
        <v>52530</v>
      </c>
      <c r="U3325" s="155">
        <v>0</v>
      </c>
    </row>
    <row r="3326" spans="2:21" x14ac:dyDescent="0.3">
      <c r="B3326" s="47"/>
      <c r="C3326" s="24"/>
      <c r="D3326" s="312"/>
      <c r="E3326" s="312"/>
      <c r="G3326" s="47"/>
      <c r="H3326" s="24"/>
      <c r="I3326" s="312"/>
      <c r="J3326" s="312"/>
      <c r="L3326" s="47"/>
      <c r="M3326" s="24"/>
      <c r="N3326" s="312"/>
      <c r="O3326" s="312"/>
      <c r="Q3326" s="47"/>
      <c r="R3326" s="136" t="s">
        <v>2219</v>
      </c>
      <c r="S3326" s="24" t="s">
        <v>2220</v>
      </c>
      <c r="T3326" s="155">
        <v>1500</v>
      </c>
      <c r="U3326" s="155">
        <v>0</v>
      </c>
    </row>
    <row r="3327" spans="2:21" x14ac:dyDescent="0.3">
      <c r="B3327" s="47"/>
      <c r="C3327" s="24"/>
      <c r="D3327" s="312"/>
      <c r="E3327" s="312"/>
      <c r="G3327" s="47"/>
      <c r="H3327" s="24"/>
      <c r="I3327" s="312"/>
      <c r="J3327" s="312"/>
      <c r="L3327" s="47"/>
      <c r="M3327" s="24"/>
      <c r="N3327" s="312"/>
      <c r="O3327" s="312"/>
      <c r="Q3327" s="47"/>
      <c r="R3327" s="136" t="s">
        <v>2221</v>
      </c>
      <c r="S3327" s="24" t="s">
        <v>2222</v>
      </c>
      <c r="T3327" s="155">
        <v>1500</v>
      </c>
      <c r="U3327" s="155">
        <v>0</v>
      </c>
    </row>
    <row r="3328" spans="2:21" x14ac:dyDescent="0.3">
      <c r="B3328" s="47"/>
      <c r="C3328" s="24"/>
      <c r="D3328" s="312"/>
      <c r="E3328" s="312"/>
      <c r="G3328" s="47"/>
      <c r="H3328" s="24"/>
      <c r="I3328" s="312"/>
      <c r="J3328" s="312"/>
      <c r="L3328" s="47"/>
      <c r="M3328" s="24"/>
      <c r="N3328" s="312"/>
      <c r="O3328" s="312"/>
      <c r="Q3328" s="47"/>
      <c r="R3328" s="136" t="s">
        <v>2223</v>
      </c>
      <c r="S3328" s="24" t="s">
        <v>2224</v>
      </c>
      <c r="T3328" s="155">
        <v>1500</v>
      </c>
      <c r="U3328" s="155">
        <v>0</v>
      </c>
    </row>
    <row r="3329" spans="2:21" x14ac:dyDescent="0.3">
      <c r="B3329" s="47"/>
      <c r="C3329" s="24"/>
      <c r="D3329" s="312"/>
      <c r="E3329" s="312"/>
      <c r="G3329" s="47"/>
      <c r="H3329" s="24"/>
      <c r="I3329" s="312"/>
      <c r="J3329" s="312"/>
      <c r="L3329" s="47"/>
      <c r="M3329" s="24"/>
      <c r="N3329" s="312"/>
      <c r="O3329" s="312"/>
      <c r="Q3329" s="47"/>
      <c r="R3329" s="136" t="s">
        <v>2226</v>
      </c>
      <c r="S3329" s="24" t="s">
        <v>2227</v>
      </c>
      <c r="T3329" s="155">
        <v>1500</v>
      </c>
      <c r="U3329" s="155">
        <v>0</v>
      </c>
    </row>
    <row r="3330" spans="2:21" x14ac:dyDescent="0.3">
      <c r="B3330" s="47"/>
      <c r="C3330" s="24"/>
      <c r="D3330" s="312"/>
      <c r="E3330" s="312"/>
      <c r="G3330" s="47"/>
      <c r="H3330" s="24"/>
      <c r="I3330" s="312"/>
      <c r="J3330" s="312"/>
      <c r="L3330" s="47"/>
      <c r="M3330" s="24"/>
      <c r="N3330" s="312"/>
      <c r="O3330" s="312"/>
      <c r="Q3330" s="241">
        <v>80190004</v>
      </c>
      <c r="R3330" s="242"/>
      <c r="S3330" s="243" t="s">
        <v>1159</v>
      </c>
      <c r="T3330" s="240">
        <v>0</v>
      </c>
      <c r="U3330" s="240">
        <v>0</v>
      </c>
    </row>
    <row r="3331" spans="2:21" x14ac:dyDescent="0.3">
      <c r="B3331" s="47"/>
      <c r="C3331" s="24"/>
      <c r="D3331" s="312"/>
      <c r="E3331" s="312"/>
      <c r="G3331" s="47"/>
      <c r="H3331" s="24"/>
      <c r="I3331" s="312"/>
      <c r="J3331" s="312"/>
      <c r="L3331" s="47"/>
      <c r="M3331" s="24"/>
      <c r="N3331" s="312"/>
      <c r="O3331" s="312"/>
      <c r="Q3331" s="47"/>
      <c r="R3331" s="136"/>
      <c r="S3331" s="24"/>
      <c r="T3331" s="155"/>
      <c r="U3331" s="155"/>
    </row>
    <row r="3332" spans="2:21" x14ac:dyDescent="0.3">
      <c r="B3332" s="47"/>
      <c r="C3332" s="24"/>
      <c r="D3332" s="312"/>
      <c r="E3332" s="312"/>
      <c r="G3332" s="47"/>
      <c r="H3332" s="24"/>
      <c r="I3332" s="312"/>
      <c r="J3332" s="312"/>
      <c r="K3332">
        <v>8020</v>
      </c>
      <c r="L3332" s="241">
        <v>8020</v>
      </c>
      <c r="M3332" s="243" t="s">
        <v>921</v>
      </c>
      <c r="N3332" s="314">
        <f>T3332+T3333+T3334+T3335</f>
        <v>420548</v>
      </c>
      <c r="O3332" s="314">
        <v>0</v>
      </c>
      <c r="Q3332" s="241">
        <v>80200001</v>
      </c>
      <c r="R3332" s="242"/>
      <c r="S3332" s="243" t="s">
        <v>1164</v>
      </c>
      <c r="T3332" s="240">
        <v>0</v>
      </c>
      <c r="U3332" s="240">
        <v>0</v>
      </c>
    </row>
    <row r="3333" spans="2:21" x14ac:dyDescent="0.3">
      <c r="B3333" s="47"/>
      <c r="C3333" s="24"/>
      <c r="D3333" s="312"/>
      <c r="E3333" s="312"/>
      <c r="G3333" s="47"/>
      <c r="H3333" s="24"/>
      <c r="I3333" s="312"/>
      <c r="J3333" s="312"/>
      <c r="L3333" s="47"/>
      <c r="M3333" s="24"/>
      <c r="N3333" s="312"/>
      <c r="O3333" s="312"/>
      <c r="Q3333" s="241">
        <v>80200002</v>
      </c>
      <c r="R3333" s="242"/>
      <c r="S3333" s="243" t="s">
        <v>1165</v>
      </c>
      <c r="T3333" s="240">
        <v>0</v>
      </c>
      <c r="U3333" s="240">
        <v>0</v>
      </c>
    </row>
    <row r="3334" spans="2:21" x14ac:dyDescent="0.3">
      <c r="B3334" s="47"/>
      <c r="C3334" s="24"/>
      <c r="D3334" s="312"/>
      <c r="E3334" s="312"/>
      <c r="G3334" s="47"/>
      <c r="H3334" s="24"/>
      <c r="I3334" s="312"/>
      <c r="J3334" s="312"/>
      <c r="L3334" s="47"/>
      <c r="M3334" s="24"/>
      <c r="N3334" s="312"/>
      <c r="O3334" s="312"/>
      <c r="Q3334" s="241">
        <v>80200003</v>
      </c>
      <c r="R3334" s="242"/>
      <c r="S3334" s="243" t="s">
        <v>1166</v>
      </c>
      <c r="T3334" s="240">
        <v>0</v>
      </c>
      <c r="U3334" s="240">
        <v>0</v>
      </c>
    </row>
    <row r="3335" spans="2:21" x14ac:dyDescent="0.3">
      <c r="B3335" s="47"/>
      <c r="C3335" s="24"/>
      <c r="D3335" s="312"/>
      <c r="E3335" s="312"/>
      <c r="G3335" s="47"/>
      <c r="H3335" s="24"/>
      <c r="I3335" s="312"/>
      <c r="J3335" s="312"/>
      <c r="L3335" s="47"/>
      <c r="M3335" s="24"/>
      <c r="N3335" s="312"/>
      <c r="O3335" s="312"/>
      <c r="Q3335" s="241">
        <v>80200004</v>
      </c>
      <c r="R3335" s="242"/>
      <c r="S3335" s="243" t="s">
        <v>2100</v>
      </c>
      <c r="T3335" s="239">
        <f>SUM(T3336)-SUM(U3336)</f>
        <v>420548</v>
      </c>
      <c r="U3335" s="240">
        <v>0</v>
      </c>
    </row>
    <row r="3336" spans="2:21" x14ac:dyDescent="0.3">
      <c r="B3336" s="47"/>
      <c r="C3336" s="24"/>
      <c r="D3336" s="312"/>
      <c r="E3336" s="312"/>
      <c r="G3336" s="47"/>
      <c r="H3336" s="24"/>
      <c r="I3336" s="312"/>
      <c r="J3336" s="312"/>
      <c r="L3336" s="47"/>
      <c r="M3336" s="24"/>
      <c r="N3336" s="312"/>
      <c r="O3336" s="312"/>
      <c r="Q3336" s="47"/>
      <c r="R3336" s="136" t="s">
        <v>2154</v>
      </c>
      <c r="S3336" s="24" t="s">
        <v>2155</v>
      </c>
      <c r="T3336" s="155">
        <v>420548</v>
      </c>
      <c r="U3336" s="155">
        <v>0</v>
      </c>
    </row>
    <row r="3337" spans="2:21" x14ac:dyDescent="0.3">
      <c r="B3337" s="47"/>
      <c r="C3337" s="24"/>
      <c r="D3337" s="312"/>
      <c r="E3337" s="312"/>
      <c r="G3337" s="47"/>
      <c r="H3337" s="24"/>
      <c r="I3337" s="312"/>
      <c r="J3337" s="312"/>
      <c r="L3337" s="47"/>
      <c r="M3337" s="24"/>
      <c r="N3337" s="312"/>
      <c r="O3337" s="312"/>
      <c r="Q3337" s="47"/>
      <c r="R3337" s="136"/>
      <c r="S3337" s="24"/>
      <c r="T3337" s="155"/>
      <c r="U3337" s="155"/>
    </row>
    <row r="3338" spans="2:21" x14ac:dyDescent="0.3">
      <c r="B3338" s="47"/>
      <c r="C3338" s="24"/>
      <c r="D3338" s="312"/>
      <c r="E3338" s="312"/>
      <c r="G3338" s="47"/>
      <c r="H3338" s="24"/>
      <c r="I3338" s="312"/>
      <c r="J3338" s="312"/>
      <c r="K3338">
        <v>8021</v>
      </c>
      <c r="L3338" s="241">
        <v>8021</v>
      </c>
      <c r="M3338" s="243" t="s">
        <v>2101</v>
      </c>
      <c r="N3338" s="314">
        <f>T3338</f>
        <v>35485190.109999999</v>
      </c>
      <c r="O3338" s="314">
        <v>0</v>
      </c>
      <c r="Q3338" s="241">
        <v>80210001</v>
      </c>
      <c r="R3338" s="242"/>
      <c r="S3338" s="243" t="s">
        <v>2101</v>
      </c>
      <c r="T3338" s="239">
        <f>SUM(T3339:T3381)-SUM(U3339:U3381)</f>
        <v>35485190.109999999</v>
      </c>
      <c r="U3338" s="240">
        <v>0</v>
      </c>
    </row>
    <row r="3339" spans="2:21" x14ac:dyDescent="0.3">
      <c r="B3339" s="47"/>
      <c r="C3339" s="24"/>
      <c r="D3339" s="312"/>
      <c r="E3339" s="312"/>
      <c r="G3339" s="47"/>
      <c r="H3339" s="24"/>
      <c r="I3339" s="312"/>
      <c r="J3339" s="312"/>
      <c r="L3339" s="47"/>
      <c r="M3339" s="24"/>
      <c r="N3339" s="312"/>
      <c r="O3339" s="312"/>
      <c r="Q3339" s="47"/>
      <c r="R3339" s="136" t="s">
        <v>1931</v>
      </c>
      <c r="S3339" s="24" t="s">
        <v>1932</v>
      </c>
      <c r="T3339" s="155">
        <v>459501.92</v>
      </c>
      <c r="U3339" s="155">
        <v>0</v>
      </c>
    </row>
    <row r="3340" spans="2:21" x14ac:dyDescent="0.3">
      <c r="B3340" s="47"/>
      <c r="C3340" s="24"/>
      <c r="D3340" s="312"/>
      <c r="E3340" s="312"/>
      <c r="G3340" s="47"/>
      <c r="H3340" s="24"/>
      <c r="I3340" s="312"/>
      <c r="J3340" s="312"/>
      <c r="L3340" s="47"/>
      <c r="M3340" s="24"/>
      <c r="N3340" s="312"/>
      <c r="O3340" s="312"/>
      <c r="Q3340" s="47"/>
      <c r="R3340" s="136" t="s">
        <v>1934</v>
      </c>
      <c r="S3340" s="24" t="s">
        <v>2196</v>
      </c>
      <c r="T3340" s="155">
        <v>40905</v>
      </c>
      <c r="U3340" s="155">
        <v>0</v>
      </c>
    </row>
    <row r="3341" spans="2:21" x14ac:dyDescent="0.3">
      <c r="B3341" s="47"/>
      <c r="C3341" s="24"/>
      <c r="D3341" s="312"/>
      <c r="E3341" s="312"/>
      <c r="G3341" s="47"/>
      <c r="H3341" s="24"/>
      <c r="I3341" s="312"/>
      <c r="J3341" s="312"/>
      <c r="L3341" s="47"/>
      <c r="M3341" s="24"/>
      <c r="N3341" s="312"/>
      <c r="O3341" s="312"/>
      <c r="Q3341" s="47"/>
      <c r="R3341" s="136" t="s">
        <v>2199</v>
      </c>
      <c r="S3341" s="24" t="s">
        <v>2200</v>
      </c>
      <c r="T3341" s="155">
        <v>2040005.2</v>
      </c>
      <c r="U3341" s="155">
        <v>0</v>
      </c>
    </row>
    <row r="3342" spans="2:21" x14ac:dyDescent="0.3">
      <c r="B3342" s="47"/>
      <c r="C3342" s="24"/>
      <c r="D3342" s="312"/>
      <c r="E3342" s="312"/>
      <c r="G3342" s="47"/>
      <c r="H3342" s="24"/>
      <c r="I3342" s="312"/>
      <c r="J3342" s="312"/>
      <c r="L3342" s="47"/>
      <c r="M3342" s="24"/>
      <c r="N3342" s="312"/>
      <c r="O3342" s="312"/>
      <c r="Q3342" s="47"/>
      <c r="R3342" s="136" t="s">
        <v>2201</v>
      </c>
      <c r="S3342" s="24" t="s">
        <v>2202</v>
      </c>
      <c r="T3342" s="155">
        <v>859475.67</v>
      </c>
      <c r="U3342" s="155">
        <v>0</v>
      </c>
    </row>
    <row r="3343" spans="2:21" x14ac:dyDescent="0.3">
      <c r="B3343" s="47"/>
      <c r="C3343" s="24"/>
      <c r="D3343" s="312"/>
      <c r="E3343" s="312"/>
      <c r="G3343" s="47"/>
      <c r="H3343" s="24"/>
      <c r="I3343" s="312"/>
      <c r="J3343" s="312"/>
      <c r="L3343" s="47"/>
      <c r="M3343" s="24"/>
      <c r="N3343" s="312"/>
      <c r="O3343" s="312"/>
      <c r="Q3343" s="47"/>
      <c r="R3343" s="136" t="s">
        <v>2203</v>
      </c>
      <c r="S3343" s="24" t="s">
        <v>2204</v>
      </c>
      <c r="T3343" s="155">
        <v>421640.99</v>
      </c>
      <c r="U3343" s="155">
        <v>0</v>
      </c>
    </row>
    <row r="3344" spans="2:21" x14ac:dyDescent="0.3">
      <c r="B3344" s="47"/>
      <c r="C3344" s="24"/>
      <c r="D3344" s="312"/>
      <c r="E3344" s="312"/>
      <c r="G3344" s="47"/>
      <c r="H3344" s="24"/>
      <c r="I3344" s="312"/>
      <c r="J3344" s="312"/>
      <c r="L3344" s="47"/>
      <c r="M3344" s="24"/>
      <c r="N3344" s="312"/>
      <c r="O3344" s="312"/>
      <c r="Q3344" s="47"/>
      <c r="R3344" s="136" t="s">
        <v>2205</v>
      </c>
      <c r="S3344" s="24" t="s">
        <v>2206</v>
      </c>
      <c r="T3344" s="155">
        <v>875339.74</v>
      </c>
      <c r="U3344" s="155">
        <v>0</v>
      </c>
    </row>
    <row r="3345" spans="2:21" x14ac:dyDescent="0.3">
      <c r="B3345" s="47"/>
      <c r="C3345" s="24"/>
      <c r="D3345" s="312"/>
      <c r="E3345" s="312"/>
      <c r="G3345" s="47"/>
      <c r="H3345" s="24"/>
      <c r="I3345" s="312"/>
      <c r="J3345" s="312"/>
      <c r="L3345" s="47"/>
      <c r="M3345" s="24"/>
      <c r="N3345" s="312"/>
      <c r="O3345" s="312"/>
      <c r="Q3345" s="47"/>
      <c r="R3345" s="136" t="s">
        <v>2207</v>
      </c>
      <c r="S3345" s="24" t="s">
        <v>2208</v>
      </c>
      <c r="T3345" s="155">
        <v>1660231.61</v>
      </c>
      <c r="U3345" s="155">
        <v>0</v>
      </c>
    </row>
    <row r="3346" spans="2:21" x14ac:dyDescent="0.3">
      <c r="B3346" s="47"/>
      <c r="C3346" s="24"/>
      <c r="D3346" s="312"/>
      <c r="E3346" s="312"/>
      <c r="G3346" s="47"/>
      <c r="H3346" s="24"/>
      <c r="I3346" s="312"/>
      <c r="J3346" s="312"/>
      <c r="L3346" s="47"/>
      <c r="M3346" s="24"/>
      <c r="N3346" s="312"/>
      <c r="O3346" s="312"/>
      <c r="Q3346" s="47"/>
      <c r="R3346" s="136" t="s">
        <v>2209</v>
      </c>
      <c r="S3346" s="24" t="s">
        <v>2210</v>
      </c>
      <c r="T3346" s="155">
        <v>1669194.6400000001</v>
      </c>
      <c r="U3346" s="155">
        <v>0</v>
      </c>
    </row>
    <row r="3347" spans="2:21" x14ac:dyDescent="0.3">
      <c r="B3347" s="47"/>
      <c r="C3347" s="24"/>
      <c r="D3347" s="312"/>
      <c r="E3347" s="312"/>
      <c r="G3347" s="47"/>
      <c r="H3347" s="24"/>
      <c r="I3347" s="312"/>
      <c r="J3347" s="312"/>
      <c r="L3347" s="47"/>
      <c r="M3347" s="24"/>
      <c r="N3347" s="312"/>
      <c r="O3347" s="312"/>
      <c r="Q3347" s="47"/>
      <c r="R3347" s="136" t="s">
        <v>2340</v>
      </c>
      <c r="S3347" s="24" t="s">
        <v>2159</v>
      </c>
      <c r="T3347" s="155">
        <v>2937167.82</v>
      </c>
      <c r="U3347" s="155">
        <v>0</v>
      </c>
    </row>
    <row r="3348" spans="2:21" x14ac:dyDescent="0.3">
      <c r="B3348" s="47"/>
      <c r="C3348" s="24"/>
      <c r="D3348" s="312"/>
      <c r="E3348" s="312"/>
      <c r="G3348" s="47"/>
      <c r="H3348" s="24"/>
      <c r="I3348" s="312"/>
      <c r="J3348" s="312"/>
      <c r="L3348" s="47"/>
      <c r="M3348" s="24"/>
      <c r="N3348" s="312"/>
      <c r="O3348" s="312"/>
      <c r="Q3348" s="47"/>
      <c r="R3348" s="136" t="s">
        <v>2160</v>
      </c>
      <c r="S3348" s="24" t="s">
        <v>2161</v>
      </c>
      <c r="T3348" s="155">
        <v>693275.45000000007</v>
      </c>
      <c r="U3348" s="155">
        <v>0</v>
      </c>
    </row>
    <row r="3349" spans="2:21" x14ac:dyDescent="0.3">
      <c r="B3349" s="47"/>
      <c r="C3349" s="24"/>
      <c r="D3349" s="312"/>
      <c r="E3349" s="312"/>
      <c r="G3349" s="47"/>
      <c r="H3349" s="24"/>
      <c r="I3349" s="312"/>
      <c r="J3349" s="312"/>
      <c r="L3349" s="47"/>
      <c r="M3349" s="24"/>
      <c r="N3349" s="312"/>
      <c r="O3349" s="312"/>
      <c r="Q3349" s="47"/>
      <c r="R3349" s="136" t="s">
        <v>2162</v>
      </c>
      <c r="S3349" s="24" t="s">
        <v>2163</v>
      </c>
      <c r="T3349" s="155">
        <v>992312.43</v>
      </c>
      <c r="U3349" s="155">
        <v>0</v>
      </c>
    </row>
    <row r="3350" spans="2:21" x14ac:dyDescent="0.3">
      <c r="B3350" s="47"/>
      <c r="C3350" s="24"/>
      <c r="D3350" s="312"/>
      <c r="E3350" s="312"/>
      <c r="G3350" s="47"/>
      <c r="H3350" s="24"/>
      <c r="I3350" s="312"/>
      <c r="J3350" s="312"/>
      <c r="L3350" s="47"/>
      <c r="M3350" s="24"/>
      <c r="N3350" s="312"/>
      <c r="O3350" s="312"/>
      <c r="Q3350" s="47"/>
      <c r="R3350" s="136" t="s">
        <v>2165</v>
      </c>
      <c r="S3350" s="24" t="s">
        <v>2166</v>
      </c>
      <c r="T3350" s="155">
        <v>1088350.75</v>
      </c>
      <c r="U3350" s="155">
        <v>0</v>
      </c>
    </row>
    <row r="3351" spans="2:21" x14ac:dyDescent="0.3">
      <c r="B3351" s="47"/>
      <c r="C3351" s="24"/>
      <c r="D3351" s="312"/>
      <c r="E3351" s="312"/>
      <c r="G3351" s="47"/>
      <c r="H3351" s="24"/>
      <c r="I3351" s="312"/>
      <c r="J3351" s="312"/>
      <c r="L3351" s="47"/>
      <c r="M3351" s="24"/>
      <c r="N3351" s="312"/>
      <c r="O3351" s="312"/>
      <c r="Q3351" s="47"/>
      <c r="R3351" s="136" t="s">
        <v>2168</v>
      </c>
      <c r="S3351" s="24" t="s">
        <v>2169</v>
      </c>
      <c r="T3351" s="155">
        <v>500323.22000000003</v>
      </c>
      <c r="U3351" s="155">
        <v>0</v>
      </c>
    </row>
    <row r="3352" spans="2:21" x14ac:dyDescent="0.3">
      <c r="B3352" s="47"/>
      <c r="C3352" s="24"/>
      <c r="D3352" s="312"/>
      <c r="E3352" s="312"/>
      <c r="G3352" s="47"/>
      <c r="H3352" s="24"/>
      <c r="I3352" s="312"/>
      <c r="J3352" s="312"/>
      <c r="L3352" s="47"/>
      <c r="M3352" s="24"/>
      <c r="N3352" s="312"/>
      <c r="O3352" s="312"/>
      <c r="Q3352" s="47"/>
      <c r="R3352" s="136" t="s">
        <v>2168</v>
      </c>
      <c r="S3352" s="24" t="s">
        <v>2169</v>
      </c>
      <c r="T3352" s="155">
        <v>80685.05</v>
      </c>
      <c r="U3352" s="155">
        <v>0</v>
      </c>
    </row>
    <row r="3353" spans="2:21" x14ac:dyDescent="0.3">
      <c r="B3353" s="47"/>
      <c r="C3353" s="24"/>
      <c r="D3353" s="312"/>
      <c r="E3353" s="312"/>
      <c r="G3353" s="47"/>
      <c r="H3353" s="24"/>
      <c r="I3353" s="312"/>
      <c r="J3353" s="312"/>
      <c r="L3353" s="47"/>
      <c r="M3353" s="24"/>
      <c r="N3353" s="312"/>
      <c r="O3353" s="312"/>
      <c r="Q3353" s="47"/>
      <c r="R3353" s="136" t="s">
        <v>3313</v>
      </c>
      <c r="S3353" s="24" t="s">
        <v>2211</v>
      </c>
      <c r="T3353" s="155">
        <v>1509007.8</v>
      </c>
      <c r="U3353" s="155">
        <v>0</v>
      </c>
    </row>
    <row r="3354" spans="2:21" x14ac:dyDescent="0.3">
      <c r="B3354" s="47"/>
      <c r="C3354" s="24"/>
      <c r="D3354" s="312"/>
      <c r="E3354" s="312"/>
      <c r="G3354" s="47"/>
      <c r="H3354" s="24"/>
      <c r="I3354" s="312"/>
      <c r="J3354" s="312"/>
      <c r="L3354" s="47"/>
      <c r="M3354" s="24"/>
      <c r="N3354" s="312"/>
      <c r="O3354" s="312"/>
      <c r="Q3354" s="47"/>
      <c r="R3354" s="136" t="s">
        <v>2212</v>
      </c>
      <c r="S3354" s="24" t="s">
        <v>2213</v>
      </c>
      <c r="T3354" s="155">
        <v>655513.16</v>
      </c>
      <c r="U3354" s="155">
        <v>0</v>
      </c>
    </row>
    <row r="3355" spans="2:21" x14ac:dyDescent="0.3">
      <c r="B3355" s="47"/>
      <c r="C3355" s="24"/>
      <c r="D3355" s="312"/>
      <c r="E3355" s="312"/>
      <c r="G3355" s="47"/>
      <c r="H3355" s="24"/>
      <c r="I3355" s="312"/>
      <c r="J3355" s="312"/>
      <c r="L3355" s="47"/>
      <c r="M3355" s="24"/>
      <c r="N3355" s="312"/>
      <c r="O3355" s="312"/>
      <c r="Q3355" s="47"/>
      <c r="R3355" s="136" t="s">
        <v>2214</v>
      </c>
      <c r="S3355" s="24" t="s">
        <v>2215</v>
      </c>
      <c r="T3355" s="155">
        <v>1160670.24</v>
      </c>
      <c r="U3355" s="155">
        <v>0</v>
      </c>
    </row>
    <row r="3356" spans="2:21" x14ac:dyDescent="0.3">
      <c r="B3356" s="47"/>
      <c r="C3356" s="24"/>
      <c r="D3356" s="312"/>
      <c r="E3356" s="312"/>
      <c r="G3356" s="47"/>
      <c r="H3356" s="24"/>
      <c r="I3356" s="312"/>
      <c r="J3356" s="312"/>
      <c r="L3356" s="47"/>
      <c r="M3356" s="24"/>
      <c r="N3356" s="312"/>
      <c r="O3356" s="312"/>
      <c r="Q3356" s="47"/>
      <c r="R3356" s="136" t="s">
        <v>2216</v>
      </c>
      <c r="S3356" s="24" t="s">
        <v>2217</v>
      </c>
      <c r="T3356" s="155">
        <v>82687.740000000005</v>
      </c>
      <c r="U3356" s="155">
        <v>0</v>
      </c>
    </row>
    <row r="3357" spans="2:21" x14ac:dyDescent="0.3">
      <c r="B3357" s="47"/>
      <c r="C3357" s="24"/>
      <c r="D3357" s="312"/>
      <c r="E3357" s="312"/>
      <c r="G3357" s="47"/>
      <c r="H3357" s="24"/>
      <c r="I3357" s="312"/>
      <c r="J3357" s="312"/>
      <c r="L3357" s="47"/>
      <c r="M3357" s="24"/>
      <c r="N3357" s="312"/>
      <c r="O3357" s="312"/>
      <c r="Q3357" s="47"/>
      <c r="R3357" s="136" t="s">
        <v>1985</v>
      </c>
      <c r="S3357" s="24" t="s">
        <v>2197</v>
      </c>
      <c r="T3357" s="155">
        <v>135896.35999999999</v>
      </c>
      <c r="U3357" s="155">
        <v>0</v>
      </c>
    </row>
    <row r="3358" spans="2:21" x14ac:dyDescent="0.3">
      <c r="B3358" s="47"/>
      <c r="C3358" s="24"/>
      <c r="D3358" s="312"/>
      <c r="E3358" s="312"/>
      <c r="G3358" s="47"/>
      <c r="H3358" s="24"/>
      <c r="I3358" s="312"/>
      <c r="J3358" s="312"/>
      <c r="L3358" s="47"/>
      <c r="M3358" s="24"/>
      <c r="N3358" s="312"/>
      <c r="O3358" s="312"/>
      <c r="Q3358" s="47"/>
      <c r="R3358" s="136" t="s">
        <v>1895</v>
      </c>
      <c r="S3358" s="24" t="s">
        <v>2174</v>
      </c>
      <c r="T3358" s="155">
        <v>1290115.7</v>
      </c>
      <c r="U3358" s="155">
        <v>0</v>
      </c>
    </row>
    <row r="3359" spans="2:21" x14ac:dyDescent="0.3">
      <c r="B3359" s="47"/>
      <c r="C3359" s="24"/>
      <c r="D3359" s="312"/>
      <c r="E3359" s="312"/>
      <c r="G3359" s="47"/>
      <c r="H3359" s="24"/>
      <c r="I3359" s="312"/>
      <c r="J3359" s="312"/>
      <c r="L3359" s="47"/>
      <c r="M3359" s="24"/>
      <c r="N3359" s="312"/>
      <c r="O3359" s="312"/>
      <c r="Q3359" s="47"/>
      <c r="R3359" s="136" t="s">
        <v>2177</v>
      </c>
      <c r="S3359" s="24" t="s">
        <v>2341</v>
      </c>
      <c r="T3359" s="155">
        <v>2790971.22</v>
      </c>
      <c r="U3359" s="155">
        <v>0</v>
      </c>
    </row>
    <row r="3360" spans="2:21" x14ac:dyDescent="0.3">
      <c r="B3360" s="47"/>
      <c r="C3360" s="24"/>
      <c r="D3360" s="312"/>
      <c r="E3360" s="312"/>
      <c r="G3360" s="47"/>
      <c r="H3360" s="24"/>
      <c r="I3360" s="312"/>
      <c r="J3360" s="312"/>
      <c r="L3360" s="47"/>
      <c r="M3360" s="24"/>
      <c r="N3360" s="312"/>
      <c r="O3360" s="312"/>
      <c r="Q3360" s="47"/>
      <c r="R3360" s="136" t="s">
        <v>2183</v>
      </c>
      <c r="S3360" s="24" t="s">
        <v>2182</v>
      </c>
      <c r="T3360" s="155">
        <v>1678841.6</v>
      </c>
      <c r="U3360" s="155">
        <v>0</v>
      </c>
    </row>
    <row r="3361" spans="2:21" x14ac:dyDescent="0.3">
      <c r="B3361" s="47"/>
      <c r="C3361" s="24"/>
      <c r="D3361" s="312"/>
      <c r="E3361" s="312"/>
      <c r="G3361" s="47"/>
      <c r="H3361" s="24"/>
      <c r="I3361" s="312"/>
      <c r="J3361" s="312"/>
      <c r="L3361" s="47"/>
      <c r="M3361" s="24"/>
      <c r="N3361" s="312"/>
      <c r="O3361" s="312"/>
      <c r="Q3361" s="47"/>
      <c r="R3361" s="136" t="s">
        <v>2185</v>
      </c>
      <c r="S3361" s="24" t="s">
        <v>2184</v>
      </c>
      <c r="T3361" s="155">
        <v>1714659.73</v>
      </c>
      <c r="U3361" s="155">
        <v>0</v>
      </c>
    </row>
    <row r="3362" spans="2:21" x14ac:dyDescent="0.3">
      <c r="B3362" s="47"/>
      <c r="C3362" s="24"/>
      <c r="D3362" s="312"/>
      <c r="E3362" s="312"/>
      <c r="G3362" s="47"/>
      <c r="H3362" s="24"/>
      <c r="I3362" s="312"/>
      <c r="J3362" s="312"/>
      <c r="L3362" s="47"/>
      <c r="M3362" s="24"/>
      <c r="N3362" s="312"/>
      <c r="O3362" s="312"/>
      <c r="Q3362" s="47"/>
      <c r="R3362" s="136" t="s">
        <v>2187</v>
      </c>
      <c r="S3362" s="24" t="s">
        <v>2186</v>
      </c>
      <c r="T3362" s="155">
        <v>2772847.83</v>
      </c>
      <c r="U3362" s="155">
        <v>0</v>
      </c>
    </row>
    <row r="3363" spans="2:21" x14ac:dyDescent="0.3">
      <c r="B3363" s="47"/>
      <c r="C3363" s="24"/>
      <c r="D3363" s="312"/>
      <c r="E3363" s="312"/>
      <c r="G3363" s="47"/>
      <c r="H3363" s="24"/>
      <c r="I3363" s="312"/>
      <c r="J3363" s="312"/>
      <c r="L3363" s="47"/>
      <c r="M3363" s="24"/>
      <c r="N3363" s="312"/>
      <c r="O3363" s="312"/>
      <c r="Q3363" s="47"/>
      <c r="R3363" s="136" t="s">
        <v>2342</v>
      </c>
      <c r="S3363" s="24" t="s">
        <v>2188</v>
      </c>
      <c r="T3363" s="155">
        <v>378149.09</v>
      </c>
      <c r="U3363" s="155">
        <v>0</v>
      </c>
    </row>
    <row r="3364" spans="2:21" x14ac:dyDescent="0.3">
      <c r="B3364" s="47"/>
      <c r="C3364" s="24"/>
      <c r="D3364" s="312"/>
      <c r="E3364" s="312"/>
      <c r="G3364" s="47"/>
      <c r="H3364" s="24"/>
      <c r="I3364" s="312"/>
      <c r="J3364" s="312"/>
      <c r="L3364" s="47"/>
      <c r="M3364" s="24"/>
      <c r="N3364" s="312"/>
      <c r="O3364" s="312"/>
      <c r="Q3364" s="47"/>
      <c r="R3364" s="136" t="s">
        <v>2342</v>
      </c>
      <c r="S3364" s="24" t="s">
        <v>2188</v>
      </c>
      <c r="T3364" s="155">
        <v>110681.61</v>
      </c>
      <c r="U3364" s="155">
        <v>0</v>
      </c>
    </row>
    <row r="3365" spans="2:21" x14ac:dyDescent="0.3">
      <c r="B3365" s="47"/>
      <c r="C3365" s="24"/>
      <c r="D3365" s="312"/>
      <c r="E3365" s="312"/>
      <c r="G3365" s="47"/>
      <c r="H3365" s="24"/>
      <c r="I3365" s="312"/>
      <c r="J3365" s="312"/>
      <c r="L3365" s="47"/>
      <c r="M3365" s="24"/>
      <c r="N3365" s="312"/>
      <c r="O3365" s="312"/>
      <c r="Q3365" s="47"/>
      <c r="R3365" s="136" t="s">
        <v>2190</v>
      </c>
      <c r="S3365" s="24" t="s">
        <v>2189</v>
      </c>
      <c r="T3365" s="155">
        <v>818035.92</v>
      </c>
      <c r="U3365" s="155">
        <v>0</v>
      </c>
    </row>
    <row r="3366" spans="2:21" x14ac:dyDescent="0.3">
      <c r="B3366" s="47"/>
      <c r="C3366" s="24"/>
      <c r="D3366" s="312"/>
      <c r="E3366" s="312"/>
      <c r="G3366" s="47"/>
      <c r="H3366" s="24"/>
      <c r="I3366" s="312"/>
      <c r="J3366" s="312"/>
      <c r="L3366" s="47"/>
      <c r="M3366" s="24"/>
      <c r="N3366" s="312"/>
      <c r="O3366" s="312"/>
      <c r="Q3366" s="47"/>
      <c r="R3366" s="136" t="s">
        <v>2192</v>
      </c>
      <c r="S3366" s="24" t="s">
        <v>2191</v>
      </c>
      <c r="T3366" s="155">
        <v>481853.84</v>
      </c>
      <c r="U3366" s="155">
        <v>0</v>
      </c>
    </row>
    <row r="3367" spans="2:21" x14ac:dyDescent="0.3">
      <c r="B3367" s="47"/>
      <c r="C3367" s="24"/>
      <c r="D3367" s="312"/>
      <c r="E3367" s="312"/>
      <c r="G3367" s="47"/>
      <c r="H3367" s="24"/>
      <c r="I3367" s="312"/>
      <c r="J3367" s="312"/>
      <c r="L3367" s="47"/>
      <c r="M3367" s="24"/>
      <c r="N3367" s="312"/>
      <c r="O3367" s="312"/>
      <c r="Q3367" s="47"/>
      <c r="R3367" s="136" t="s">
        <v>1896</v>
      </c>
      <c r="S3367" s="24" t="s">
        <v>2193</v>
      </c>
      <c r="T3367" s="155">
        <v>584181.98</v>
      </c>
      <c r="U3367" s="155">
        <v>0</v>
      </c>
    </row>
    <row r="3368" spans="2:21" x14ac:dyDescent="0.3">
      <c r="B3368" s="47"/>
      <c r="C3368" s="24"/>
      <c r="D3368" s="312"/>
      <c r="E3368" s="312"/>
      <c r="G3368" s="47"/>
      <c r="H3368" s="24"/>
      <c r="I3368" s="312"/>
      <c r="J3368" s="312"/>
      <c r="L3368" s="47"/>
      <c r="M3368" s="24"/>
      <c r="N3368" s="312"/>
      <c r="O3368" s="312"/>
      <c r="Q3368" s="47"/>
      <c r="R3368" s="136" t="s">
        <v>2343</v>
      </c>
      <c r="S3368" s="24" t="s">
        <v>2194</v>
      </c>
      <c r="T3368" s="155">
        <v>835605.70000000007</v>
      </c>
      <c r="U3368" s="155">
        <v>0</v>
      </c>
    </row>
    <row r="3369" spans="2:21" x14ac:dyDescent="0.3">
      <c r="B3369" s="47"/>
      <c r="C3369" s="24"/>
      <c r="D3369" s="312"/>
      <c r="E3369" s="312"/>
      <c r="G3369" s="47"/>
      <c r="H3369" s="24"/>
      <c r="I3369" s="312"/>
      <c r="J3369" s="312"/>
      <c r="L3369" s="47"/>
      <c r="M3369" s="24"/>
      <c r="N3369" s="312"/>
      <c r="O3369" s="312"/>
      <c r="Q3369" s="47"/>
      <c r="R3369" s="136" t="s">
        <v>3291</v>
      </c>
      <c r="S3369" s="24" t="s">
        <v>2171</v>
      </c>
      <c r="T3369" s="155">
        <v>939934.1</v>
      </c>
      <c r="U3369" s="155">
        <v>0</v>
      </c>
    </row>
    <row r="3370" spans="2:21" x14ac:dyDescent="0.3">
      <c r="B3370" s="47"/>
      <c r="C3370" s="24"/>
      <c r="D3370" s="312"/>
      <c r="E3370" s="312"/>
      <c r="G3370" s="47"/>
      <c r="H3370" s="24"/>
      <c r="I3370" s="312"/>
      <c r="J3370" s="312"/>
      <c r="L3370" s="47"/>
      <c r="M3370" s="24"/>
      <c r="N3370" s="312"/>
      <c r="O3370" s="312"/>
      <c r="Q3370" s="47"/>
      <c r="R3370" s="136" t="s">
        <v>1898</v>
      </c>
      <c r="S3370" s="24" t="s">
        <v>2218</v>
      </c>
      <c r="T3370" s="155">
        <v>692118.41</v>
      </c>
      <c r="U3370" s="155">
        <v>0</v>
      </c>
    </row>
    <row r="3371" spans="2:21" x14ac:dyDescent="0.3">
      <c r="B3371" s="47"/>
      <c r="C3371" s="24"/>
      <c r="D3371" s="312"/>
      <c r="E3371" s="312"/>
      <c r="G3371" s="47"/>
      <c r="H3371" s="24"/>
      <c r="I3371" s="312"/>
      <c r="J3371" s="312"/>
      <c r="L3371" s="47"/>
      <c r="M3371" s="24"/>
      <c r="N3371" s="312"/>
      <c r="O3371" s="312"/>
      <c r="Q3371" s="47"/>
      <c r="R3371" s="136" t="s">
        <v>2219</v>
      </c>
      <c r="S3371" s="24" t="s">
        <v>2220</v>
      </c>
      <c r="T3371" s="155">
        <v>414473</v>
      </c>
      <c r="U3371" s="155">
        <v>0</v>
      </c>
    </row>
    <row r="3372" spans="2:21" x14ac:dyDescent="0.3">
      <c r="B3372" s="47"/>
      <c r="C3372" s="24"/>
      <c r="D3372" s="312"/>
      <c r="E3372" s="312"/>
      <c r="G3372" s="47"/>
      <c r="H3372" s="24"/>
      <c r="I3372" s="312"/>
      <c r="J3372" s="312"/>
      <c r="L3372" s="47"/>
      <c r="M3372" s="24"/>
      <c r="N3372" s="312"/>
      <c r="O3372" s="312"/>
      <c r="Q3372" s="47"/>
      <c r="R3372" s="136" t="s">
        <v>2221</v>
      </c>
      <c r="S3372" s="24" t="s">
        <v>2222</v>
      </c>
      <c r="T3372" s="155">
        <v>496290.26</v>
      </c>
      <c r="U3372" s="155">
        <v>0</v>
      </c>
    </row>
    <row r="3373" spans="2:21" x14ac:dyDescent="0.3">
      <c r="B3373" s="47"/>
      <c r="C3373" s="24"/>
      <c r="D3373" s="312"/>
      <c r="E3373" s="312"/>
      <c r="G3373" s="47"/>
      <c r="H3373" s="24"/>
      <c r="I3373" s="312"/>
      <c r="J3373" s="312"/>
      <c r="L3373" s="47"/>
      <c r="M3373" s="24"/>
      <c r="N3373" s="312"/>
      <c r="O3373" s="312"/>
      <c r="Q3373" s="47"/>
      <c r="R3373" s="136" t="s">
        <v>2223</v>
      </c>
      <c r="S3373" s="24" t="s">
        <v>2224</v>
      </c>
      <c r="T3373" s="155">
        <v>570121.32999999996</v>
      </c>
      <c r="U3373" s="155">
        <v>0</v>
      </c>
    </row>
    <row r="3374" spans="2:21" x14ac:dyDescent="0.3">
      <c r="B3374" s="47"/>
      <c r="C3374" s="24"/>
      <c r="D3374" s="312"/>
      <c r="E3374" s="312"/>
      <c r="G3374" s="47"/>
      <c r="H3374" s="24"/>
      <c r="I3374" s="312"/>
      <c r="J3374" s="312"/>
      <c r="L3374" s="47"/>
      <c r="M3374" s="24"/>
      <c r="N3374" s="312"/>
      <c r="O3374" s="312"/>
      <c r="Q3374" s="47"/>
      <c r="R3374" s="136" t="s">
        <v>2226</v>
      </c>
      <c r="S3374" s="24" t="s">
        <v>2227</v>
      </c>
      <c r="T3374" s="155">
        <v>280108.88</v>
      </c>
      <c r="U3374" s="155">
        <v>0</v>
      </c>
    </row>
    <row r="3375" spans="2:21" x14ac:dyDescent="0.3">
      <c r="B3375" s="47"/>
      <c r="C3375" s="24"/>
      <c r="D3375" s="312"/>
      <c r="E3375" s="312"/>
      <c r="G3375" s="47"/>
      <c r="H3375" s="24"/>
      <c r="I3375" s="312"/>
      <c r="J3375" s="312"/>
      <c r="L3375" s="47"/>
      <c r="M3375" s="24"/>
      <c r="N3375" s="312"/>
      <c r="O3375" s="312"/>
      <c r="Q3375" s="47"/>
      <c r="R3375" s="136" t="s">
        <v>2228</v>
      </c>
      <c r="S3375" s="24" t="s">
        <v>1990</v>
      </c>
      <c r="T3375" s="155">
        <v>175679.94</v>
      </c>
      <c r="U3375" s="155">
        <v>0</v>
      </c>
    </row>
    <row r="3376" spans="2:21" x14ac:dyDescent="0.3">
      <c r="B3376" s="47"/>
      <c r="C3376" s="24"/>
      <c r="D3376" s="312"/>
      <c r="E3376" s="312"/>
      <c r="G3376" s="47"/>
      <c r="H3376" s="24"/>
      <c r="I3376" s="312"/>
      <c r="J3376" s="312"/>
      <c r="L3376" s="47"/>
      <c r="M3376" s="24"/>
      <c r="N3376" s="312"/>
      <c r="O3376" s="312"/>
      <c r="Q3376" s="47"/>
      <c r="R3376" s="136" t="s">
        <v>2229</v>
      </c>
      <c r="S3376" s="24" t="s">
        <v>1987</v>
      </c>
      <c r="T3376" s="155">
        <v>34122.949999999997</v>
      </c>
      <c r="U3376" s="155">
        <v>0</v>
      </c>
    </row>
    <row r="3377" spans="2:21" x14ac:dyDescent="0.3">
      <c r="B3377" s="47"/>
      <c r="C3377" s="24"/>
      <c r="D3377" s="312"/>
      <c r="E3377" s="312"/>
      <c r="G3377" s="47"/>
      <c r="H3377" s="24"/>
      <c r="I3377" s="312"/>
      <c r="J3377" s="312"/>
      <c r="L3377" s="47"/>
      <c r="M3377" s="24"/>
      <c r="N3377" s="312"/>
      <c r="O3377" s="312"/>
      <c r="Q3377" s="47"/>
      <c r="R3377" s="136" t="s">
        <v>2230</v>
      </c>
      <c r="S3377" s="24" t="s">
        <v>2231</v>
      </c>
      <c r="T3377" s="155">
        <v>239244.80000000002</v>
      </c>
      <c r="U3377" s="155">
        <v>0</v>
      </c>
    </row>
    <row r="3378" spans="2:21" x14ac:dyDescent="0.3">
      <c r="B3378" s="47"/>
      <c r="C3378" s="24"/>
      <c r="D3378" s="312"/>
      <c r="E3378" s="312"/>
      <c r="G3378" s="47"/>
      <c r="H3378" s="24"/>
      <c r="I3378" s="312"/>
      <c r="J3378" s="312"/>
      <c r="L3378" s="47"/>
      <c r="M3378" s="24"/>
      <c r="N3378" s="312"/>
      <c r="O3378" s="312"/>
      <c r="Q3378" s="47"/>
      <c r="R3378" s="136" t="s">
        <v>2232</v>
      </c>
      <c r="S3378" s="24" t="s">
        <v>1988</v>
      </c>
      <c r="T3378" s="155">
        <v>242223.49</v>
      </c>
      <c r="U3378" s="155">
        <v>0</v>
      </c>
    </row>
    <row r="3379" spans="2:21" x14ac:dyDescent="0.3">
      <c r="B3379" s="47"/>
      <c r="C3379" s="24"/>
      <c r="D3379" s="312"/>
      <c r="E3379" s="312"/>
      <c r="G3379" s="47"/>
      <c r="H3379" s="24"/>
      <c r="I3379" s="312"/>
      <c r="J3379" s="312"/>
      <c r="L3379" s="47"/>
      <c r="M3379" s="24"/>
      <c r="N3379" s="312"/>
      <c r="O3379" s="312"/>
      <c r="Q3379" s="47"/>
      <c r="R3379" s="136" t="s">
        <v>2233</v>
      </c>
      <c r="S3379" s="24" t="s">
        <v>1989</v>
      </c>
      <c r="T3379" s="155">
        <v>39510.660000000003</v>
      </c>
      <c r="U3379" s="155">
        <v>0</v>
      </c>
    </row>
    <row r="3380" spans="2:21" x14ac:dyDescent="0.3">
      <c r="B3380" s="47"/>
      <c r="C3380" s="24"/>
      <c r="D3380" s="312"/>
      <c r="E3380" s="312"/>
      <c r="G3380" s="47"/>
      <c r="H3380" s="24"/>
      <c r="I3380" s="312"/>
      <c r="J3380" s="312"/>
      <c r="L3380" s="47"/>
      <c r="M3380" s="24"/>
      <c r="N3380" s="312"/>
      <c r="O3380" s="312"/>
      <c r="Q3380" s="47"/>
      <c r="R3380" s="136" t="s">
        <v>2234</v>
      </c>
      <c r="S3380" s="24" t="s">
        <v>2235</v>
      </c>
      <c r="T3380" s="155">
        <v>38861.43</v>
      </c>
      <c r="U3380" s="155">
        <v>0</v>
      </c>
    </row>
    <row r="3381" spans="2:21" x14ac:dyDescent="0.3">
      <c r="B3381" s="47"/>
      <c r="C3381" s="24"/>
      <c r="D3381" s="312"/>
      <c r="E3381" s="312"/>
      <c r="G3381" s="47"/>
      <c r="H3381" s="24"/>
      <c r="I3381" s="312"/>
      <c r="J3381" s="312"/>
      <c r="L3381" s="47"/>
      <c r="M3381" s="24"/>
      <c r="N3381" s="312"/>
      <c r="O3381" s="312"/>
      <c r="Q3381" s="47"/>
      <c r="R3381" s="136" t="s">
        <v>2236</v>
      </c>
      <c r="S3381" s="24" t="s">
        <v>38</v>
      </c>
      <c r="T3381" s="155">
        <v>4371.8500000000004</v>
      </c>
      <c r="U3381" s="155">
        <v>0</v>
      </c>
    </row>
    <row r="3382" spans="2:21" x14ac:dyDescent="0.3">
      <c r="B3382" s="47"/>
      <c r="C3382" s="24"/>
      <c r="D3382" s="312"/>
      <c r="E3382" s="312"/>
      <c r="G3382" s="47"/>
      <c r="H3382" s="24"/>
      <c r="I3382" s="312"/>
      <c r="J3382" s="312"/>
      <c r="L3382" s="47"/>
      <c r="M3382" s="24"/>
      <c r="N3382" s="312"/>
      <c r="O3382" s="312"/>
      <c r="Q3382" s="47"/>
      <c r="R3382" s="136"/>
      <c r="S3382" s="24"/>
      <c r="T3382" s="155"/>
      <c r="U3382" s="155"/>
    </row>
    <row r="3383" spans="2:21" x14ac:dyDescent="0.3">
      <c r="B3383" s="47"/>
      <c r="C3383" s="24"/>
      <c r="D3383" s="312"/>
      <c r="E3383" s="312"/>
      <c r="G3383" s="47"/>
      <c r="H3383" s="24"/>
      <c r="I3383" s="312"/>
      <c r="J3383" s="312"/>
      <c r="K3383">
        <v>8022</v>
      </c>
      <c r="L3383" s="241">
        <v>8022</v>
      </c>
      <c r="M3383" s="243" t="s">
        <v>2102</v>
      </c>
      <c r="N3383" s="314">
        <f>(T3383+T3419+T3420+T3421+T3422+T3432+T3437+T3439+T3440+T3445+T3454+T3455+T3456+T3458+T3459+T3460+T3461+T3462+T3463+T3464)-U3456</f>
        <v>1632723.44</v>
      </c>
      <c r="O3383" s="314">
        <v>0</v>
      </c>
      <c r="Q3383" s="244">
        <v>80220001</v>
      </c>
      <c r="R3383" s="245"/>
      <c r="S3383" s="246" t="s">
        <v>1138</v>
      </c>
      <c r="T3383" s="239">
        <f>SUM(T3384:T3418)-SUM(U3384:U3418)</f>
        <v>338085</v>
      </c>
      <c r="U3383" s="240">
        <v>0</v>
      </c>
    </row>
    <row r="3384" spans="2:21" x14ac:dyDescent="0.3">
      <c r="B3384" s="47"/>
      <c r="C3384" s="24"/>
      <c r="D3384" s="312"/>
      <c r="E3384" s="312"/>
      <c r="G3384" s="47"/>
      <c r="H3384" s="24"/>
      <c r="I3384" s="312"/>
      <c r="J3384" s="312"/>
      <c r="L3384" s="47"/>
      <c r="M3384" s="24"/>
      <c r="N3384" s="312"/>
      <c r="O3384" s="312"/>
      <c r="Q3384" s="49"/>
      <c r="R3384" s="137" t="s">
        <v>2162</v>
      </c>
      <c r="S3384" s="25" t="s">
        <v>2163</v>
      </c>
      <c r="T3384" s="156">
        <v>30740</v>
      </c>
      <c r="U3384" s="156">
        <v>0</v>
      </c>
    </row>
    <row r="3385" spans="2:21" x14ac:dyDescent="0.3">
      <c r="B3385" s="47"/>
      <c r="C3385" s="24"/>
      <c r="D3385" s="312"/>
      <c r="E3385" s="312"/>
      <c r="G3385" s="47"/>
      <c r="H3385" s="24"/>
      <c r="I3385" s="312"/>
      <c r="J3385" s="312"/>
      <c r="L3385" s="47"/>
      <c r="M3385" s="24"/>
      <c r="N3385" s="312"/>
      <c r="O3385" s="312"/>
      <c r="Q3385" s="49"/>
      <c r="R3385" s="137" t="s">
        <v>2205</v>
      </c>
      <c r="S3385" s="25" t="s">
        <v>2206</v>
      </c>
      <c r="T3385" s="156">
        <v>740</v>
      </c>
      <c r="U3385" s="156">
        <v>0</v>
      </c>
    </row>
    <row r="3386" spans="2:21" x14ac:dyDescent="0.3">
      <c r="B3386" s="47"/>
      <c r="C3386" s="24"/>
      <c r="D3386" s="312"/>
      <c r="E3386" s="312"/>
      <c r="G3386" s="47"/>
      <c r="H3386" s="24"/>
      <c r="I3386" s="312"/>
      <c r="J3386" s="312"/>
      <c r="L3386" s="47"/>
      <c r="M3386" s="24"/>
      <c r="N3386" s="312"/>
      <c r="O3386" s="312"/>
      <c r="Q3386" s="49"/>
      <c r="R3386" s="137" t="s">
        <v>3291</v>
      </c>
      <c r="S3386" s="25" t="s">
        <v>2171</v>
      </c>
      <c r="T3386" s="156">
        <v>42652</v>
      </c>
      <c r="U3386" s="156">
        <v>0</v>
      </c>
    </row>
    <row r="3387" spans="2:21" x14ac:dyDescent="0.3">
      <c r="B3387" s="47"/>
      <c r="C3387" s="24"/>
      <c r="D3387" s="312"/>
      <c r="E3387" s="312"/>
      <c r="G3387" s="47"/>
      <c r="H3387" s="24"/>
      <c r="I3387" s="312"/>
      <c r="J3387" s="312"/>
      <c r="L3387" s="47"/>
      <c r="M3387" s="24"/>
      <c r="N3387" s="312"/>
      <c r="O3387" s="312"/>
      <c r="Q3387" s="49"/>
      <c r="R3387" s="137" t="s">
        <v>2183</v>
      </c>
      <c r="S3387" s="25" t="s">
        <v>2182</v>
      </c>
      <c r="T3387" s="156">
        <v>32900</v>
      </c>
      <c r="U3387" s="156">
        <v>0</v>
      </c>
    </row>
    <row r="3388" spans="2:21" x14ac:dyDescent="0.3">
      <c r="B3388" s="47"/>
      <c r="C3388" s="24"/>
      <c r="D3388" s="312"/>
      <c r="E3388" s="312"/>
      <c r="G3388" s="47"/>
      <c r="H3388" s="24"/>
      <c r="I3388" s="312"/>
      <c r="J3388" s="312"/>
      <c r="L3388" s="47"/>
      <c r="M3388" s="24"/>
      <c r="N3388" s="312"/>
      <c r="O3388" s="312"/>
      <c r="Q3388" s="49"/>
      <c r="R3388" s="137" t="s">
        <v>2226</v>
      </c>
      <c r="S3388" s="25" t="s">
        <v>2227</v>
      </c>
      <c r="T3388" s="156">
        <v>1950</v>
      </c>
      <c r="U3388" s="156">
        <v>0</v>
      </c>
    </row>
    <row r="3389" spans="2:21" x14ac:dyDescent="0.3">
      <c r="B3389" s="47"/>
      <c r="C3389" s="24"/>
      <c r="D3389" s="312"/>
      <c r="E3389" s="312"/>
      <c r="G3389" s="47"/>
      <c r="H3389" s="24"/>
      <c r="I3389" s="312"/>
      <c r="J3389" s="312"/>
      <c r="L3389" s="47"/>
      <c r="M3389" s="24"/>
      <c r="N3389" s="312"/>
      <c r="O3389" s="312"/>
      <c r="Q3389" s="49"/>
      <c r="R3389" s="137" t="s">
        <v>2221</v>
      </c>
      <c r="S3389" s="25" t="s">
        <v>2222</v>
      </c>
      <c r="T3389" s="156">
        <v>575</v>
      </c>
      <c r="U3389" s="156">
        <v>0</v>
      </c>
    </row>
    <row r="3390" spans="2:21" x14ac:dyDescent="0.3">
      <c r="B3390" s="47"/>
      <c r="C3390" s="24"/>
      <c r="D3390" s="312"/>
      <c r="E3390" s="312"/>
      <c r="G3390" s="47"/>
      <c r="H3390" s="24"/>
      <c r="I3390" s="312"/>
      <c r="J3390" s="312"/>
      <c r="L3390" s="47"/>
      <c r="M3390" s="24"/>
      <c r="N3390" s="312"/>
      <c r="O3390" s="312"/>
      <c r="Q3390" s="49"/>
      <c r="R3390" s="137" t="s">
        <v>2201</v>
      </c>
      <c r="S3390" s="25" t="s">
        <v>2202</v>
      </c>
      <c r="T3390" s="156">
        <v>14060</v>
      </c>
      <c r="U3390" s="156">
        <v>0</v>
      </c>
    </row>
    <row r="3391" spans="2:21" x14ac:dyDescent="0.3">
      <c r="B3391" s="47"/>
      <c r="C3391" s="24"/>
      <c r="D3391" s="312"/>
      <c r="E3391" s="312"/>
      <c r="G3391" s="47"/>
      <c r="H3391" s="24"/>
      <c r="I3391" s="312"/>
      <c r="J3391" s="312"/>
      <c r="L3391" s="47"/>
      <c r="M3391" s="24"/>
      <c r="N3391" s="312"/>
      <c r="O3391" s="312"/>
      <c r="Q3391" s="49"/>
      <c r="R3391" s="137" t="s">
        <v>1895</v>
      </c>
      <c r="S3391" s="25" t="s">
        <v>2174</v>
      </c>
      <c r="T3391" s="156">
        <v>6080</v>
      </c>
      <c r="U3391" s="156">
        <v>0</v>
      </c>
    </row>
    <row r="3392" spans="2:21" x14ac:dyDescent="0.3">
      <c r="B3392" s="47"/>
      <c r="C3392" s="24"/>
      <c r="D3392" s="312"/>
      <c r="E3392" s="312"/>
      <c r="G3392" s="47"/>
      <c r="H3392" s="24"/>
      <c r="I3392" s="312"/>
      <c r="J3392" s="312"/>
      <c r="L3392" s="47"/>
      <c r="M3392" s="24"/>
      <c r="N3392" s="312"/>
      <c r="O3392" s="312"/>
      <c r="Q3392" s="49"/>
      <c r="R3392" s="137" t="s">
        <v>2192</v>
      </c>
      <c r="S3392" s="25" t="s">
        <v>2191</v>
      </c>
      <c r="T3392" s="156">
        <v>3900</v>
      </c>
      <c r="U3392" s="156">
        <v>0</v>
      </c>
    </row>
    <row r="3393" spans="2:21" x14ac:dyDescent="0.3">
      <c r="B3393" s="47"/>
      <c r="C3393" s="24"/>
      <c r="D3393" s="312"/>
      <c r="E3393" s="312"/>
      <c r="G3393" s="47"/>
      <c r="H3393" s="24"/>
      <c r="I3393" s="312"/>
      <c r="J3393" s="312"/>
      <c r="L3393" s="47"/>
      <c r="M3393" s="24"/>
      <c r="N3393" s="312"/>
      <c r="O3393" s="312"/>
      <c r="Q3393" s="49"/>
      <c r="R3393" s="137" t="s">
        <v>1896</v>
      </c>
      <c r="S3393" s="25" t="s">
        <v>2193</v>
      </c>
      <c r="T3393" s="156">
        <v>1696</v>
      </c>
      <c r="U3393" s="156">
        <v>0</v>
      </c>
    </row>
    <row r="3394" spans="2:21" x14ac:dyDescent="0.3">
      <c r="B3394" s="47"/>
      <c r="C3394" s="24"/>
      <c r="D3394" s="312"/>
      <c r="E3394" s="312"/>
      <c r="G3394" s="47"/>
      <c r="H3394" s="24"/>
      <c r="I3394" s="312"/>
      <c r="J3394" s="312"/>
      <c r="L3394" s="47"/>
      <c r="M3394" s="24"/>
      <c r="N3394" s="312"/>
      <c r="O3394" s="312"/>
      <c r="Q3394" s="49"/>
      <c r="R3394" s="137" t="s">
        <v>2185</v>
      </c>
      <c r="S3394" s="25" t="s">
        <v>2184</v>
      </c>
      <c r="T3394" s="156">
        <v>11515</v>
      </c>
      <c r="U3394" s="156">
        <v>0</v>
      </c>
    </row>
    <row r="3395" spans="2:21" x14ac:dyDescent="0.3">
      <c r="B3395" s="47"/>
      <c r="C3395" s="24"/>
      <c r="D3395" s="312"/>
      <c r="E3395" s="312"/>
      <c r="G3395" s="47"/>
      <c r="H3395" s="24"/>
      <c r="I3395" s="312"/>
      <c r="J3395" s="312"/>
      <c r="L3395" s="47"/>
      <c r="M3395" s="24"/>
      <c r="N3395" s="312"/>
      <c r="O3395" s="312"/>
      <c r="Q3395" s="49"/>
      <c r="R3395" s="137" t="s">
        <v>2212</v>
      </c>
      <c r="S3395" s="25" t="s">
        <v>2213</v>
      </c>
      <c r="T3395" s="156">
        <v>2751</v>
      </c>
      <c r="U3395" s="156">
        <v>0</v>
      </c>
    </row>
    <row r="3396" spans="2:21" x14ac:dyDescent="0.3">
      <c r="B3396" s="47"/>
      <c r="C3396" s="24"/>
      <c r="D3396" s="312"/>
      <c r="E3396" s="312"/>
      <c r="G3396" s="47"/>
      <c r="H3396" s="24"/>
      <c r="I3396" s="312"/>
      <c r="J3396" s="312"/>
      <c r="L3396" s="47"/>
      <c r="M3396" s="24"/>
      <c r="N3396" s="312"/>
      <c r="O3396" s="312"/>
      <c r="Q3396" s="49"/>
      <c r="R3396" s="137" t="s">
        <v>2343</v>
      </c>
      <c r="S3396" s="25" t="s">
        <v>2194</v>
      </c>
      <c r="T3396" s="156">
        <v>19952</v>
      </c>
      <c r="U3396" s="156">
        <v>0</v>
      </c>
    </row>
    <row r="3397" spans="2:21" x14ac:dyDescent="0.3">
      <c r="B3397" s="47"/>
      <c r="C3397" s="24"/>
      <c r="D3397" s="312"/>
      <c r="E3397" s="312"/>
      <c r="G3397" s="47"/>
      <c r="H3397" s="24"/>
      <c r="I3397" s="312"/>
      <c r="J3397" s="312"/>
      <c r="L3397" s="47"/>
      <c r="M3397" s="24"/>
      <c r="N3397" s="312"/>
      <c r="O3397" s="312"/>
      <c r="Q3397" s="49"/>
      <c r="R3397" s="137" t="s">
        <v>2216</v>
      </c>
      <c r="S3397" s="25" t="s">
        <v>2217</v>
      </c>
      <c r="T3397" s="156">
        <v>8448</v>
      </c>
      <c r="U3397" s="156">
        <v>0</v>
      </c>
    </row>
    <row r="3398" spans="2:21" x14ac:dyDescent="0.3">
      <c r="B3398" s="47"/>
      <c r="C3398" s="24"/>
      <c r="D3398" s="312"/>
      <c r="E3398" s="312"/>
      <c r="G3398" s="47"/>
      <c r="H3398" s="24"/>
      <c r="I3398" s="312"/>
      <c r="J3398" s="312"/>
      <c r="L3398" s="47"/>
      <c r="M3398" s="24"/>
      <c r="N3398" s="312"/>
      <c r="O3398" s="312"/>
      <c r="Q3398" s="49"/>
      <c r="R3398" s="137" t="s">
        <v>2342</v>
      </c>
      <c r="S3398" s="25" t="s">
        <v>2188</v>
      </c>
      <c r="T3398" s="156">
        <v>350</v>
      </c>
      <c r="U3398" s="156">
        <v>0</v>
      </c>
    </row>
    <row r="3399" spans="2:21" x14ac:dyDescent="0.3">
      <c r="B3399" s="47"/>
      <c r="C3399" s="24"/>
      <c r="D3399" s="312"/>
      <c r="E3399" s="312"/>
      <c r="G3399" s="47"/>
      <c r="H3399" s="24"/>
      <c r="I3399" s="312"/>
      <c r="J3399" s="312"/>
      <c r="L3399" s="47"/>
      <c r="M3399" s="24"/>
      <c r="N3399" s="312"/>
      <c r="O3399" s="312"/>
      <c r="Q3399" s="49"/>
      <c r="R3399" s="137" t="s">
        <v>2177</v>
      </c>
      <c r="S3399" s="25" t="s">
        <v>2341</v>
      </c>
      <c r="T3399" s="156">
        <v>16170</v>
      </c>
      <c r="U3399" s="156">
        <v>0</v>
      </c>
    </row>
    <row r="3400" spans="2:21" x14ac:dyDescent="0.3">
      <c r="B3400" s="47"/>
      <c r="C3400" s="24"/>
      <c r="D3400" s="312"/>
      <c r="E3400" s="312"/>
      <c r="G3400" s="47"/>
      <c r="H3400" s="24"/>
      <c r="I3400" s="312"/>
      <c r="J3400" s="312"/>
      <c r="L3400" s="47"/>
      <c r="M3400" s="24"/>
      <c r="N3400" s="312"/>
      <c r="O3400" s="312"/>
      <c r="Q3400" s="49"/>
      <c r="R3400" s="137" t="s">
        <v>2190</v>
      </c>
      <c r="S3400" s="25" t="s">
        <v>2189</v>
      </c>
      <c r="T3400" s="156">
        <v>4296</v>
      </c>
      <c r="U3400" s="156">
        <v>0</v>
      </c>
    </row>
    <row r="3401" spans="2:21" x14ac:dyDescent="0.3">
      <c r="B3401" s="47"/>
      <c r="C3401" s="24"/>
      <c r="D3401" s="312"/>
      <c r="E3401" s="312"/>
      <c r="G3401" s="47"/>
      <c r="H3401" s="24"/>
      <c r="I3401" s="312"/>
      <c r="J3401" s="312"/>
      <c r="L3401" s="47"/>
      <c r="M3401" s="24"/>
      <c r="N3401" s="312"/>
      <c r="O3401" s="312"/>
      <c r="Q3401" s="49"/>
      <c r="R3401" s="137" t="s">
        <v>2214</v>
      </c>
      <c r="S3401" s="25" t="s">
        <v>2215</v>
      </c>
      <c r="T3401" s="156">
        <v>2880</v>
      </c>
      <c r="U3401" s="156">
        <v>0</v>
      </c>
    </row>
    <row r="3402" spans="2:21" x14ac:dyDescent="0.3">
      <c r="B3402" s="47"/>
      <c r="C3402" s="24"/>
      <c r="D3402" s="312"/>
      <c r="E3402" s="312"/>
      <c r="G3402" s="47"/>
      <c r="H3402" s="24"/>
      <c r="I3402" s="312"/>
      <c r="J3402" s="312"/>
      <c r="L3402" s="47"/>
      <c r="M3402" s="24"/>
      <c r="N3402" s="312"/>
      <c r="O3402" s="312"/>
      <c r="Q3402" s="49"/>
      <c r="R3402" s="137" t="s">
        <v>2187</v>
      </c>
      <c r="S3402" s="25" t="s">
        <v>2186</v>
      </c>
      <c r="T3402" s="156">
        <v>5110</v>
      </c>
      <c r="U3402" s="156">
        <v>0</v>
      </c>
    </row>
    <row r="3403" spans="2:21" x14ac:dyDescent="0.3">
      <c r="B3403" s="47"/>
      <c r="C3403" s="24"/>
      <c r="D3403" s="312"/>
      <c r="E3403" s="312"/>
      <c r="G3403" s="47"/>
      <c r="H3403" s="24"/>
      <c r="I3403" s="312"/>
      <c r="J3403" s="312"/>
      <c r="L3403" s="47"/>
      <c r="M3403" s="24"/>
      <c r="N3403" s="312"/>
      <c r="O3403" s="312"/>
      <c r="Q3403" s="49"/>
      <c r="R3403" s="137" t="s">
        <v>1931</v>
      </c>
      <c r="S3403" s="25" t="s">
        <v>1932</v>
      </c>
      <c r="T3403" s="156">
        <v>14580</v>
      </c>
      <c r="U3403" s="156">
        <v>0</v>
      </c>
    </row>
    <row r="3404" spans="2:21" x14ac:dyDescent="0.3">
      <c r="B3404" s="47"/>
      <c r="C3404" s="24"/>
      <c r="D3404" s="312"/>
      <c r="E3404" s="312"/>
      <c r="G3404" s="47"/>
      <c r="H3404" s="24"/>
      <c r="I3404" s="312"/>
      <c r="J3404" s="312"/>
      <c r="L3404" s="47"/>
      <c r="M3404" s="24"/>
      <c r="N3404" s="312"/>
      <c r="O3404" s="312"/>
      <c r="Q3404" s="49"/>
      <c r="R3404" s="137" t="s">
        <v>2228</v>
      </c>
      <c r="S3404" s="25" t="s">
        <v>1990</v>
      </c>
      <c r="T3404" s="156">
        <v>600</v>
      </c>
      <c r="U3404" s="156">
        <v>0</v>
      </c>
    </row>
    <row r="3405" spans="2:21" x14ac:dyDescent="0.3">
      <c r="B3405" s="47"/>
      <c r="C3405" s="24"/>
      <c r="D3405" s="312"/>
      <c r="E3405" s="312"/>
      <c r="G3405" s="47"/>
      <c r="H3405" s="24"/>
      <c r="I3405" s="312"/>
      <c r="J3405" s="312"/>
      <c r="L3405" s="47"/>
      <c r="M3405" s="24"/>
      <c r="N3405" s="312"/>
      <c r="O3405" s="312"/>
      <c r="Q3405" s="49"/>
      <c r="R3405" s="137" t="s">
        <v>1934</v>
      </c>
      <c r="S3405" s="25" t="s">
        <v>2196</v>
      </c>
      <c r="T3405" s="156">
        <v>840</v>
      </c>
      <c r="U3405" s="156">
        <v>0</v>
      </c>
    </row>
    <row r="3406" spans="2:21" x14ac:dyDescent="0.3">
      <c r="B3406" s="47"/>
      <c r="C3406" s="24"/>
      <c r="D3406" s="312"/>
      <c r="E3406" s="312"/>
      <c r="G3406" s="47"/>
      <c r="H3406" s="24"/>
      <c r="I3406" s="312"/>
      <c r="J3406" s="312"/>
      <c r="L3406" s="47"/>
      <c r="M3406" s="24"/>
      <c r="N3406" s="312"/>
      <c r="O3406" s="312"/>
      <c r="Q3406" s="49"/>
      <c r="R3406" s="137" t="s">
        <v>2168</v>
      </c>
      <c r="S3406" s="25" t="s">
        <v>2169</v>
      </c>
      <c r="T3406" s="156">
        <v>500</v>
      </c>
      <c r="U3406" s="156">
        <v>0</v>
      </c>
    </row>
    <row r="3407" spans="2:21" x14ac:dyDescent="0.3">
      <c r="B3407" s="47"/>
      <c r="C3407" s="24"/>
      <c r="D3407" s="312"/>
      <c r="E3407" s="312"/>
      <c r="G3407" s="47"/>
      <c r="H3407" s="24"/>
      <c r="I3407" s="312"/>
      <c r="J3407" s="312"/>
      <c r="L3407" s="47"/>
      <c r="M3407" s="24"/>
      <c r="N3407" s="312"/>
      <c r="O3407" s="312"/>
      <c r="Q3407" s="49"/>
      <c r="R3407" s="137" t="s">
        <v>2219</v>
      </c>
      <c r="S3407" s="25" t="s">
        <v>2220</v>
      </c>
      <c r="T3407" s="156">
        <v>1058</v>
      </c>
      <c r="U3407" s="156">
        <v>0</v>
      </c>
    </row>
    <row r="3408" spans="2:21" x14ac:dyDescent="0.3">
      <c r="B3408" s="47"/>
      <c r="C3408" s="24"/>
      <c r="D3408" s="312"/>
      <c r="E3408" s="312"/>
      <c r="G3408" s="47"/>
      <c r="H3408" s="24"/>
      <c r="I3408" s="312"/>
      <c r="J3408" s="312"/>
      <c r="L3408" s="47"/>
      <c r="M3408" s="24"/>
      <c r="N3408" s="312"/>
      <c r="O3408" s="312"/>
      <c r="Q3408" s="49"/>
      <c r="R3408" s="137" t="s">
        <v>2203</v>
      </c>
      <c r="S3408" s="25" t="s">
        <v>2204</v>
      </c>
      <c r="T3408" s="156">
        <v>500</v>
      </c>
      <c r="U3408" s="156">
        <v>0</v>
      </c>
    </row>
    <row r="3409" spans="2:21" x14ac:dyDescent="0.3">
      <c r="B3409" s="47"/>
      <c r="C3409" s="24"/>
      <c r="D3409" s="312"/>
      <c r="E3409" s="312"/>
      <c r="G3409" s="47"/>
      <c r="H3409" s="24"/>
      <c r="I3409" s="312"/>
      <c r="J3409" s="312"/>
      <c r="L3409" s="47"/>
      <c r="M3409" s="24"/>
      <c r="N3409" s="312"/>
      <c r="O3409" s="312"/>
      <c r="Q3409" s="49"/>
      <c r="R3409" s="137" t="s">
        <v>2160</v>
      </c>
      <c r="S3409" s="25" t="s">
        <v>2161</v>
      </c>
      <c r="T3409" s="156">
        <v>1400</v>
      </c>
      <c r="U3409" s="156">
        <v>0</v>
      </c>
    </row>
    <row r="3410" spans="2:21" x14ac:dyDescent="0.3">
      <c r="B3410" s="47"/>
      <c r="C3410" s="24"/>
      <c r="D3410" s="312"/>
      <c r="E3410" s="312"/>
      <c r="G3410" s="47"/>
      <c r="H3410" s="24"/>
      <c r="I3410" s="312"/>
      <c r="J3410" s="312"/>
      <c r="L3410" s="47"/>
      <c r="M3410" s="24"/>
      <c r="N3410" s="312"/>
      <c r="O3410" s="312"/>
      <c r="Q3410" s="49"/>
      <c r="R3410" s="137" t="s">
        <v>2154</v>
      </c>
      <c r="S3410" s="25" t="s">
        <v>2155</v>
      </c>
      <c r="T3410" s="156">
        <v>4590</v>
      </c>
      <c r="U3410" s="156">
        <v>0</v>
      </c>
    </row>
    <row r="3411" spans="2:21" x14ac:dyDescent="0.3">
      <c r="B3411" s="47"/>
      <c r="C3411" s="24"/>
      <c r="D3411" s="312"/>
      <c r="E3411" s="312"/>
      <c r="G3411" s="47"/>
      <c r="H3411" s="24"/>
      <c r="I3411" s="312"/>
      <c r="J3411" s="312"/>
      <c r="L3411" s="47"/>
      <c r="M3411" s="24"/>
      <c r="N3411" s="312"/>
      <c r="O3411" s="312"/>
      <c r="Q3411" s="49"/>
      <c r="R3411" s="137" t="s">
        <v>2156</v>
      </c>
      <c r="S3411" s="25" t="s">
        <v>2157</v>
      </c>
      <c r="T3411" s="156">
        <v>66481</v>
      </c>
      <c r="U3411" s="156">
        <v>0</v>
      </c>
    </row>
    <row r="3412" spans="2:21" x14ac:dyDescent="0.3">
      <c r="B3412" s="47"/>
      <c r="C3412" s="24"/>
      <c r="D3412" s="312"/>
      <c r="E3412" s="312"/>
      <c r="G3412" s="47"/>
      <c r="H3412" s="24"/>
      <c r="I3412" s="312"/>
      <c r="J3412" s="312"/>
      <c r="L3412" s="47"/>
      <c r="M3412" s="24"/>
      <c r="N3412" s="312"/>
      <c r="O3412" s="312"/>
      <c r="Q3412" s="49"/>
      <c r="R3412" s="137" t="s">
        <v>2138</v>
      </c>
      <c r="S3412" s="25" t="s">
        <v>7</v>
      </c>
      <c r="T3412" s="156">
        <v>0</v>
      </c>
      <c r="U3412" s="156">
        <v>150</v>
      </c>
    </row>
    <row r="3413" spans="2:21" x14ac:dyDescent="0.3">
      <c r="B3413" s="47"/>
      <c r="C3413" s="24"/>
      <c r="D3413" s="312"/>
      <c r="E3413" s="312"/>
      <c r="G3413" s="47"/>
      <c r="H3413" s="24"/>
      <c r="I3413" s="312"/>
      <c r="J3413" s="312"/>
      <c r="L3413" s="47"/>
      <c r="M3413" s="24"/>
      <c r="N3413" s="312"/>
      <c r="O3413" s="312"/>
      <c r="Q3413" s="49"/>
      <c r="R3413" s="137" t="s">
        <v>2340</v>
      </c>
      <c r="S3413" s="25" t="s">
        <v>2159</v>
      </c>
      <c r="T3413" s="156">
        <v>10076</v>
      </c>
      <c r="U3413" s="156">
        <v>0</v>
      </c>
    </row>
    <row r="3414" spans="2:21" x14ac:dyDescent="0.3">
      <c r="B3414" s="47"/>
      <c r="C3414" s="24"/>
      <c r="D3414" s="312"/>
      <c r="E3414" s="312"/>
      <c r="G3414" s="47"/>
      <c r="H3414" s="24"/>
      <c r="I3414" s="312"/>
      <c r="J3414" s="312"/>
      <c r="L3414" s="47"/>
      <c r="M3414" s="24"/>
      <c r="N3414" s="312"/>
      <c r="O3414" s="312"/>
      <c r="Q3414" s="49"/>
      <c r="R3414" s="137" t="s">
        <v>1898</v>
      </c>
      <c r="S3414" s="25" t="s">
        <v>2218</v>
      </c>
      <c r="T3414" s="156">
        <v>8039</v>
      </c>
      <c r="U3414" s="156">
        <v>0</v>
      </c>
    </row>
    <row r="3415" spans="2:21" x14ac:dyDescent="0.3">
      <c r="B3415" s="47"/>
      <c r="C3415" s="24"/>
      <c r="D3415" s="312"/>
      <c r="E3415" s="312"/>
      <c r="G3415" s="47"/>
      <c r="H3415" s="24"/>
      <c r="I3415" s="312"/>
      <c r="J3415" s="312"/>
      <c r="L3415" s="47"/>
      <c r="M3415" s="24"/>
      <c r="N3415" s="312"/>
      <c r="O3415" s="312"/>
      <c r="Q3415" s="49"/>
      <c r="R3415" s="137" t="s">
        <v>2199</v>
      </c>
      <c r="S3415" s="25" t="s">
        <v>2200</v>
      </c>
      <c r="T3415" s="156">
        <v>10770</v>
      </c>
      <c r="U3415" s="156">
        <v>0</v>
      </c>
    </row>
    <row r="3416" spans="2:21" x14ac:dyDescent="0.3">
      <c r="B3416" s="47"/>
      <c r="C3416" s="24"/>
      <c r="D3416" s="312"/>
      <c r="E3416" s="312"/>
      <c r="G3416" s="47"/>
      <c r="H3416" s="24"/>
      <c r="I3416" s="312"/>
      <c r="J3416" s="312"/>
      <c r="L3416" s="47"/>
      <c r="M3416" s="24"/>
      <c r="N3416" s="312"/>
      <c r="O3416" s="312"/>
      <c r="Q3416" s="49"/>
      <c r="R3416" s="137" t="s">
        <v>3313</v>
      </c>
      <c r="S3416" s="25" t="s">
        <v>2211</v>
      </c>
      <c r="T3416" s="156">
        <v>7980</v>
      </c>
      <c r="U3416" s="156">
        <v>0</v>
      </c>
    </row>
    <row r="3417" spans="2:21" x14ac:dyDescent="0.3">
      <c r="B3417" s="47"/>
      <c r="C3417" s="24"/>
      <c r="D3417" s="312"/>
      <c r="E3417" s="312"/>
      <c r="G3417" s="47"/>
      <c r="H3417" s="24"/>
      <c r="I3417" s="312"/>
      <c r="J3417" s="312"/>
      <c r="L3417" s="47"/>
      <c r="M3417" s="24"/>
      <c r="N3417" s="312"/>
      <c r="O3417" s="312"/>
      <c r="Q3417" s="49"/>
      <c r="R3417" s="137" t="s">
        <v>2209</v>
      </c>
      <c r="S3417" s="25" t="s">
        <v>2210</v>
      </c>
      <c r="T3417" s="156">
        <v>3256</v>
      </c>
      <c r="U3417" s="156">
        <v>0</v>
      </c>
    </row>
    <row r="3418" spans="2:21" x14ac:dyDescent="0.3">
      <c r="B3418" s="47"/>
      <c r="C3418" s="24"/>
      <c r="D3418" s="312"/>
      <c r="E3418" s="312"/>
      <c r="G3418" s="47"/>
      <c r="H3418" s="24"/>
      <c r="I3418" s="312"/>
      <c r="J3418" s="312"/>
      <c r="L3418" s="47"/>
      <c r="M3418" s="24"/>
      <c r="N3418" s="312"/>
      <c r="O3418" s="312"/>
      <c r="Q3418" s="49"/>
      <c r="R3418" s="137" t="s">
        <v>2165</v>
      </c>
      <c r="S3418" s="25" t="s">
        <v>2166</v>
      </c>
      <c r="T3418" s="156">
        <v>800</v>
      </c>
      <c r="U3418" s="156">
        <v>0</v>
      </c>
    </row>
    <row r="3419" spans="2:21" x14ac:dyDescent="0.3">
      <c r="B3419" s="47"/>
      <c r="C3419" s="24"/>
      <c r="D3419" s="312"/>
      <c r="E3419" s="312"/>
      <c r="G3419" s="47"/>
      <c r="H3419" s="24"/>
      <c r="I3419" s="312"/>
      <c r="J3419" s="312"/>
      <c r="L3419" s="47"/>
      <c r="M3419" s="24"/>
      <c r="N3419" s="312"/>
      <c r="O3419" s="312"/>
      <c r="Q3419" s="244">
        <v>80220002</v>
      </c>
      <c r="R3419" s="245"/>
      <c r="S3419" s="246" t="s">
        <v>1108</v>
      </c>
      <c r="T3419" s="247">
        <v>0</v>
      </c>
      <c r="U3419" s="247">
        <v>0</v>
      </c>
    </row>
    <row r="3420" spans="2:21" x14ac:dyDescent="0.3">
      <c r="B3420" s="47"/>
      <c r="C3420" s="24"/>
      <c r="D3420" s="312"/>
      <c r="E3420" s="312"/>
      <c r="G3420" s="47"/>
      <c r="H3420" s="24"/>
      <c r="I3420" s="312"/>
      <c r="J3420" s="312"/>
      <c r="L3420" s="47"/>
      <c r="M3420" s="24"/>
      <c r="N3420" s="312"/>
      <c r="O3420" s="312"/>
      <c r="Q3420" s="244">
        <v>80220003</v>
      </c>
      <c r="R3420" s="245"/>
      <c r="S3420" s="246" t="s">
        <v>1109</v>
      </c>
      <c r="T3420" s="247">
        <v>0</v>
      </c>
      <c r="U3420" s="247">
        <v>0</v>
      </c>
    </row>
    <row r="3421" spans="2:21" x14ac:dyDescent="0.3">
      <c r="B3421" s="47"/>
      <c r="C3421" s="24"/>
      <c r="D3421" s="312"/>
      <c r="E3421" s="312"/>
      <c r="G3421" s="47"/>
      <c r="H3421" s="24"/>
      <c r="I3421" s="312"/>
      <c r="J3421" s="312"/>
      <c r="L3421" s="47"/>
      <c r="M3421" s="24"/>
      <c r="N3421" s="312"/>
      <c r="O3421" s="312"/>
      <c r="Q3421" s="244">
        <v>80220004</v>
      </c>
      <c r="R3421" s="245"/>
      <c r="S3421" s="246" t="s">
        <v>1080</v>
      </c>
      <c r="T3421" s="247">
        <v>0</v>
      </c>
      <c r="U3421" s="247">
        <v>0</v>
      </c>
    </row>
    <row r="3422" spans="2:21" x14ac:dyDescent="0.3">
      <c r="B3422" s="47"/>
      <c r="C3422" s="24"/>
      <c r="D3422" s="312"/>
      <c r="E3422" s="312"/>
      <c r="G3422" s="47"/>
      <c r="H3422" s="24"/>
      <c r="I3422" s="312"/>
      <c r="J3422" s="312"/>
      <c r="L3422" s="47"/>
      <c r="M3422" s="24"/>
      <c r="N3422" s="312"/>
      <c r="O3422" s="312"/>
      <c r="Q3422" s="244">
        <v>80220005</v>
      </c>
      <c r="R3422" s="245"/>
      <c r="S3422" s="246" t="s">
        <v>1110</v>
      </c>
      <c r="T3422" s="239">
        <f>SUM(T3423:T3429)-SUM(U3423:U3429)</f>
        <v>1042934</v>
      </c>
      <c r="U3422" s="240">
        <v>0</v>
      </c>
    </row>
    <row r="3423" spans="2:21" x14ac:dyDescent="0.3">
      <c r="B3423" s="47"/>
      <c r="C3423" s="24"/>
      <c r="D3423" s="312"/>
      <c r="E3423" s="312"/>
      <c r="G3423" s="47"/>
      <c r="H3423" s="24"/>
      <c r="I3423" s="312"/>
      <c r="J3423" s="312"/>
      <c r="L3423" s="47"/>
      <c r="M3423" s="24"/>
      <c r="N3423" s="312"/>
      <c r="O3423" s="312"/>
      <c r="Q3423" s="49"/>
      <c r="R3423" s="137" t="s">
        <v>1931</v>
      </c>
      <c r="S3423" s="25" t="s">
        <v>1932</v>
      </c>
      <c r="T3423" s="156">
        <v>279027</v>
      </c>
      <c r="U3423" s="156">
        <v>0</v>
      </c>
    </row>
    <row r="3424" spans="2:21" x14ac:dyDescent="0.3">
      <c r="B3424" s="47"/>
      <c r="C3424" s="24"/>
      <c r="D3424" s="312"/>
      <c r="E3424" s="312"/>
      <c r="G3424" s="47"/>
      <c r="H3424" s="24"/>
      <c r="I3424" s="312"/>
      <c r="J3424" s="312"/>
      <c r="L3424" s="47"/>
      <c r="M3424" s="24"/>
      <c r="N3424" s="312"/>
      <c r="O3424" s="312"/>
      <c r="Q3424" s="49"/>
      <c r="R3424" s="137" t="s">
        <v>1933</v>
      </c>
      <c r="S3424" s="25" t="s">
        <v>2195</v>
      </c>
      <c r="T3424" s="156">
        <v>45835</v>
      </c>
      <c r="U3424" s="156">
        <v>0</v>
      </c>
    </row>
    <row r="3425" spans="2:21" x14ac:dyDescent="0.3">
      <c r="B3425" s="47"/>
      <c r="C3425" s="24"/>
      <c r="D3425" s="312"/>
      <c r="E3425" s="312"/>
      <c r="G3425" s="47"/>
      <c r="H3425" s="24"/>
      <c r="I3425" s="312"/>
      <c r="J3425" s="312"/>
      <c r="L3425" s="47"/>
      <c r="M3425" s="24"/>
      <c r="N3425" s="312"/>
      <c r="O3425" s="312"/>
      <c r="Q3425" s="49"/>
      <c r="R3425" s="137" t="s">
        <v>2138</v>
      </c>
      <c r="S3425" s="25" t="s">
        <v>7</v>
      </c>
      <c r="T3425" s="156">
        <v>140809</v>
      </c>
      <c r="U3425" s="156">
        <v>0</v>
      </c>
    </row>
    <row r="3426" spans="2:21" x14ac:dyDescent="0.3">
      <c r="B3426" s="47"/>
      <c r="C3426" s="24"/>
      <c r="D3426" s="312"/>
      <c r="E3426" s="312"/>
      <c r="G3426" s="47"/>
      <c r="H3426" s="24"/>
      <c r="I3426" s="312"/>
      <c r="J3426" s="312"/>
      <c r="L3426" s="47"/>
      <c r="M3426" s="24"/>
      <c r="N3426" s="312"/>
      <c r="O3426" s="312"/>
      <c r="Q3426" s="49"/>
      <c r="R3426" s="137" t="s">
        <v>3313</v>
      </c>
      <c r="S3426" s="25" t="s">
        <v>2211</v>
      </c>
      <c r="T3426" s="156">
        <v>151209</v>
      </c>
      <c r="U3426" s="156">
        <v>0</v>
      </c>
    </row>
    <row r="3427" spans="2:21" x14ac:dyDescent="0.3">
      <c r="B3427" s="47"/>
      <c r="C3427" s="24"/>
      <c r="D3427" s="312"/>
      <c r="E3427" s="312"/>
      <c r="G3427" s="47"/>
      <c r="H3427" s="24"/>
      <c r="I3427" s="312"/>
      <c r="J3427" s="312"/>
      <c r="L3427" s="47"/>
      <c r="M3427" s="24"/>
      <c r="N3427" s="312"/>
      <c r="O3427" s="312"/>
      <c r="Q3427" s="49"/>
      <c r="R3427" s="137" t="s">
        <v>2177</v>
      </c>
      <c r="S3427" s="25" t="s">
        <v>2341</v>
      </c>
      <c r="T3427" s="156">
        <v>290169</v>
      </c>
      <c r="U3427" s="156">
        <v>0</v>
      </c>
    </row>
    <row r="3428" spans="2:21" x14ac:dyDescent="0.3">
      <c r="B3428" s="47"/>
      <c r="C3428" s="24"/>
      <c r="D3428" s="312"/>
      <c r="E3428" s="312"/>
      <c r="G3428" s="47"/>
      <c r="H3428" s="24"/>
      <c r="I3428" s="312"/>
      <c r="J3428" s="312"/>
      <c r="L3428" s="47"/>
      <c r="M3428" s="24"/>
      <c r="N3428" s="312"/>
      <c r="O3428" s="312"/>
      <c r="Q3428" s="49"/>
      <c r="R3428" s="137" t="s">
        <v>3291</v>
      </c>
      <c r="S3428" s="25" t="s">
        <v>2171</v>
      </c>
      <c r="T3428" s="156">
        <v>31686</v>
      </c>
      <c r="U3428" s="156">
        <v>0</v>
      </c>
    </row>
    <row r="3429" spans="2:21" x14ac:dyDescent="0.3">
      <c r="B3429" s="47"/>
      <c r="C3429" s="24"/>
      <c r="D3429" s="312"/>
      <c r="E3429" s="312"/>
      <c r="G3429" s="47"/>
      <c r="H3429" s="24"/>
      <c r="I3429" s="312"/>
      <c r="J3429" s="312"/>
      <c r="L3429" s="47"/>
      <c r="M3429" s="24"/>
      <c r="N3429" s="312"/>
      <c r="O3429" s="312"/>
      <c r="Q3429" s="49"/>
      <c r="R3429" s="137" t="s">
        <v>1898</v>
      </c>
      <c r="S3429" s="25" t="s">
        <v>2218</v>
      </c>
      <c r="T3429" s="156">
        <v>104199</v>
      </c>
      <c r="U3429" s="156">
        <v>0</v>
      </c>
    </row>
    <row r="3430" spans="2:21" x14ac:dyDescent="0.3">
      <c r="B3430" s="47"/>
      <c r="C3430" s="24"/>
      <c r="D3430" s="312"/>
      <c r="E3430" s="312"/>
      <c r="G3430" s="47"/>
      <c r="H3430" s="24"/>
      <c r="I3430" s="312"/>
      <c r="J3430" s="312"/>
      <c r="L3430" s="47"/>
      <c r="M3430" s="24"/>
      <c r="N3430" s="312"/>
      <c r="O3430" s="312"/>
      <c r="Q3430" s="49"/>
      <c r="R3430" s="137"/>
      <c r="S3430" s="25"/>
      <c r="T3430" s="156"/>
      <c r="U3430" s="156"/>
    </row>
    <row r="3431" spans="2:21" x14ac:dyDescent="0.3">
      <c r="B3431" s="47"/>
      <c r="C3431" s="24"/>
      <c r="D3431" s="312"/>
      <c r="E3431" s="312"/>
      <c r="G3431" s="47"/>
      <c r="H3431" s="24"/>
      <c r="I3431" s="312"/>
      <c r="J3431" s="312"/>
      <c r="L3431" s="47"/>
      <c r="M3431" s="24"/>
      <c r="N3431" s="312"/>
      <c r="O3431" s="312"/>
      <c r="Q3431" s="49"/>
      <c r="R3431" s="137"/>
      <c r="S3431" s="25"/>
      <c r="T3431" s="156"/>
      <c r="U3431" s="156"/>
    </row>
    <row r="3432" spans="2:21" x14ac:dyDescent="0.3">
      <c r="B3432" s="47"/>
      <c r="C3432" s="24"/>
      <c r="D3432" s="312"/>
      <c r="E3432" s="312"/>
      <c r="G3432" s="47"/>
      <c r="H3432" s="24"/>
      <c r="I3432" s="312"/>
      <c r="J3432" s="312"/>
      <c r="L3432" s="47"/>
      <c r="M3432" s="24"/>
      <c r="N3432" s="312"/>
      <c r="O3432" s="312"/>
      <c r="Q3432" s="244">
        <v>80220006</v>
      </c>
      <c r="R3432" s="245"/>
      <c r="S3432" s="246" t="s">
        <v>1111</v>
      </c>
      <c r="T3432" s="239">
        <f>SUM(T3433:T3436)-SUM(U3433:U3436)</f>
        <v>39000</v>
      </c>
      <c r="U3432" s="240">
        <v>0</v>
      </c>
    </row>
    <row r="3433" spans="2:21" x14ac:dyDescent="0.3">
      <c r="B3433" s="47"/>
      <c r="C3433" s="24"/>
      <c r="D3433" s="312"/>
      <c r="E3433" s="312"/>
      <c r="G3433" s="47"/>
      <c r="H3433" s="24"/>
      <c r="I3433" s="312"/>
      <c r="J3433" s="312"/>
      <c r="L3433" s="47"/>
      <c r="M3433" s="24"/>
      <c r="N3433" s="312"/>
      <c r="O3433" s="312"/>
      <c r="Q3433" s="49"/>
      <c r="R3433" s="137" t="s">
        <v>2205</v>
      </c>
      <c r="S3433" s="24" t="s">
        <v>2206</v>
      </c>
      <c r="T3433" s="156">
        <v>15000</v>
      </c>
      <c r="U3433" s="156">
        <v>0</v>
      </c>
    </row>
    <row r="3434" spans="2:21" x14ac:dyDescent="0.3">
      <c r="B3434" s="47"/>
      <c r="C3434" s="24"/>
      <c r="D3434" s="312"/>
      <c r="E3434" s="312"/>
      <c r="G3434" s="47"/>
      <c r="H3434" s="24"/>
      <c r="I3434" s="312"/>
      <c r="J3434" s="312"/>
      <c r="L3434" s="47"/>
      <c r="M3434" s="24"/>
      <c r="N3434" s="312"/>
      <c r="O3434" s="312"/>
      <c r="Q3434" s="49"/>
      <c r="R3434" s="137" t="s">
        <v>2212</v>
      </c>
      <c r="S3434" s="24" t="s">
        <v>2213</v>
      </c>
      <c r="T3434" s="156">
        <v>9000</v>
      </c>
      <c r="U3434" s="156">
        <v>0</v>
      </c>
    </row>
    <row r="3435" spans="2:21" x14ac:dyDescent="0.3">
      <c r="B3435" s="47"/>
      <c r="C3435" s="24"/>
      <c r="D3435" s="312"/>
      <c r="E3435" s="312"/>
      <c r="G3435" s="47"/>
      <c r="H3435" s="24"/>
      <c r="I3435" s="312"/>
      <c r="J3435" s="312"/>
      <c r="L3435" s="47"/>
      <c r="M3435" s="24"/>
      <c r="N3435" s="312"/>
      <c r="O3435" s="312"/>
      <c r="Q3435" s="49"/>
      <c r="R3435" s="137" t="s">
        <v>2183</v>
      </c>
      <c r="S3435" s="24" t="s">
        <v>2182</v>
      </c>
      <c r="T3435" s="156">
        <v>10000</v>
      </c>
      <c r="U3435" s="156">
        <v>0</v>
      </c>
    </row>
    <row r="3436" spans="2:21" x14ac:dyDescent="0.3">
      <c r="B3436" s="47"/>
      <c r="C3436" s="24"/>
      <c r="D3436" s="312"/>
      <c r="E3436" s="312"/>
      <c r="G3436" s="47"/>
      <c r="H3436" s="24"/>
      <c r="I3436" s="312"/>
      <c r="J3436" s="312"/>
      <c r="L3436" s="47"/>
      <c r="M3436" s="24"/>
      <c r="N3436" s="312"/>
      <c r="O3436" s="312"/>
      <c r="Q3436" s="49"/>
      <c r="R3436" s="137" t="s">
        <v>2221</v>
      </c>
      <c r="S3436" s="24" t="s">
        <v>2222</v>
      </c>
      <c r="T3436" s="156">
        <v>5000</v>
      </c>
      <c r="U3436" s="156">
        <v>0</v>
      </c>
    </row>
    <row r="3437" spans="2:21" x14ac:dyDescent="0.3">
      <c r="B3437" s="47"/>
      <c r="C3437" s="24"/>
      <c r="D3437" s="312"/>
      <c r="E3437" s="312"/>
      <c r="G3437" s="47"/>
      <c r="H3437" s="24"/>
      <c r="I3437" s="312"/>
      <c r="J3437" s="312"/>
      <c r="L3437" s="47"/>
      <c r="M3437" s="24"/>
      <c r="N3437" s="312"/>
      <c r="O3437" s="312"/>
      <c r="Q3437" s="244">
        <v>80220007</v>
      </c>
      <c r="R3437" s="245"/>
      <c r="S3437" s="246" t="s">
        <v>1112</v>
      </c>
      <c r="T3437" s="239">
        <f>SUM(T3438)-SUM(U3438)</f>
        <v>6000</v>
      </c>
      <c r="U3437" s="240">
        <v>0</v>
      </c>
    </row>
    <row r="3438" spans="2:21" x14ac:dyDescent="0.3">
      <c r="B3438" s="47"/>
      <c r="C3438" s="24"/>
      <c r="D3438" s="312"/>
      <c r="E3438" s="312"/>
      <c r="G3438" s="47"/>
      <c r="H3438" s="24"/>
      <c r="I3438" s="312"/>
      <c r="J3438" s="312"/>
      <c r="L3438" s="47"/>
      <c r="M3438" s="24"/>
      <c r="N3438" s="312"/>
      <c r="O3438" s="312"/>
      <c r="Q3438" s="49"/>
      <c r="R3438" s="137" t="s">
        <v>2156</v>
      </c>
      <c r="S3438" s="25" t="s">
        <v>2157</v>
      </c>
      <c r="T3438" s="156">
        <v>6000</v>
      </c>
      <c r="U3438" s="156">
        <v>0</v>
      </c>
    </row>
    <row r="3439" spans="2:21" x14ac:dyDescent="0.3">
      <c r="B3439" s="47"/>
      <c r="C3439" s="24"/>
      <c r="D3439" s="312"/>
      <c r="E3439" s="312"/>
      <c r="G3439" s="47"/>
      <c r="H3439" s="24"/>
      <c r="I3439" s="312"/>
      <c r="J3439" s="312"/>
      <c r="L3439" s="47"/>
      <c r="M3439" s="24"/>
      <c r="N3439" s="312"/>
      <c r="O3439" s="312"/>
      <c r="Q3439" s="244">
        <v>80220008</v>
      </c>
      <c r="R3439" s="245"/>
      <c r="S3439" s="246" t="s">
        <v>1081</v>
      </c>
      <c r="T3439" s="247">
        <v>0</v>
      </c>
      <c r="U3439" s="247">
        <v>0</v>
      </c>
    </row>
    <row r="3440" spans="2:21" x14ac:dyDescent="0.3">
      <c r="B3440" s="47"/>
      <c r="C3440" s="24"/>
      <c r="D3440" s="312"/>
      <c r="E3440" s="312"/>
      <c r="G3440" s="47"/>
      <c r="H3440" s="24"/>
      <c r="I3440" s="312"/>
      <c r="J3440" s="312"/>
      <c r="L3440" s="47"/>
      <c r="M3440" s="24"/>
      <c r="N3440" s="312"/>
      <c r="O3440" s="312"/>
      <c r="Q3440" s="244">
        <v>80220009</v>
      </c>
      <c r="R3440" s="245"/>
      <c r="S3440" s="246" t="s">
        <v>1113</v>
      </c>
      <c r="T3440" s="239">
        <f>SUM(T3441:T3444)-SUM(U3441:U3444)</f>
        <v>108465</v>
      </c>
      <c r="U3440" s="240">
        <v>0</v>
      </c>
    </row>
    <row r="3441" spans="2:21" x14ac:dyDescent="0.3">
      <c r="B3441" s="47"/>
      <c r="C3441" s="24"/>
      <c r="D3441" s="312"/>
      <c r="E3441" s="312"/>
      <c r="G3441" s="47"/>
      <c r="H3441" s="24"/>
      <c r="I3441" s="312"/>
      <c r="J3441" s="312"/>
      <c r="L3441" s="47"/>
      <c r="M3441" s="24"/>
      <c r="N3441" s="312"/>
      <c r="O3441" s="312"/>
      <c r="Q3441" s="49"/>
      <c r="R3441" s="137" t="s">
        <v>2160</v>
      </c>
      <c r="S3441" s="25" t="s">
        <v>2161</v>
      </c>
      <c r="T3441" s="156">
        <v>27000</v>
      </c>
      <c r="U3441" s="156">
        <v>0</v>
      </c>
    </row>
    <row r="3442" spans="2:21" x14ac:dyDescent="0.3">
      <c r="B3442" s="47"/>
      <c r="C3442" s="24"/>
      <c r="D3442" s="312"/>
      <c r="E3442" s="312"/>
      <c r="G3442" s="47"/>
      <c r="H3442" s="24"/>
      <c r="I3442" s="312"/>
      <c r="J3442" s="312"/>
      <c r="L3442" s="47"/>
      <c r="M3442" s="24"/>
      <c r="N3442" s="312"/>
      <c r="O3442" s="312"/>
      <c r="Q3442" s="49"/>
      <c r="R3442" s="137" t="s">
        <v>2340</v>
      </c>
      <c r="S3442" s="25" t="s">
        <v>2159</v>
      </c>
      <c r="T3442" s="156">
        <v>30000</v>
      </c>
      <c r="U3442" s="156">
        <v>0</v>
      </c>
    </row>
    <row r="3443" spans="2:21" x14ac:dyDescent="0.3">
      <c r="B3443" s="47"/>
      <c r="C3443" s="24"/>
      <c r="D3443" s="312"/>
      <c r="E3443" s="312"/>
      <c r="G3443" s="47"/>
      <c r="H3443" s="24"/>
      <c r="I3443" s="312"/>
      <c r="J3443" s="312"/>
      <c r="L3443" s="47"/>
      <c r="M3443" s="24"/>
      <c r="N3443" s="312"/>
      <c r="O3443" s="312"/>
      <c r="Q3443" s="49"/>
      <c r="R3443" s="137" t="s">
        <v>2199</v>
      </c>
      <c r="S3443" s="25" t="s">
        <v>2200</v>
      </c>
      <c r="T3443" s="156">
        <v>13125</v>
      </c>
      <c r="U3443" s="156">
        <v>0</v>
      </c>
    </row>
    <row r="3444" spans="2:21" x14ac:dyDescent="0.3">
      <c r="B3444" s="47"/>
      <c r="C3444" s="24"/>
      <c r="D3444" s="312"/>
      <c r="E3444" s="312"/>
      <c r="G3444" s="47"/>
      <c r="H3444" s="24"/>
      <c r="I3444" s="312"/>
      <c r="J3444" s="312"/>
      <c r="L3444" s="47"/>
      <c r="M3444" s="24"/>
      <c r="N3444" s="312"/>
      <c r="O3444" s="312"/>
      <c r="Q3444" s="49"/>
      <c r="R3444" s="137" t="s">
        <v>2183</v>
      </c>
      <c r="S3444" s="25" t="s">
        <v>2182</v>
      </c>
      <c r="T3444" s="156">
        <v>38340</v>
      </c>
      <c r="U3444" s="156">
        <v>0</v>
      </c>
    </row>
    <row r="3445" spans="2:21" x14ac:dyDescent="0.3">
      <c r="B3445" s="47"/>
      <c r="C3445" s="24"/>
      <c r="D3445" s="312"/>
      <c r="E3445" s="312"/>
      <c r="G3445" s="47"/>
      <c r="H3445" s="24"/>
      <c r="I3445" s="312"/>
      <c r="J3445" s="312"/>
      <c r="L3445" s="47"/>
      <c r="M3445" s="24"/>
      <c r="N3445" s="312"/>
      <c r="O3445" s="312"/>
      <c r="Q3445" s="244">
        <v>80220010</v>
      </c>
      <c r="R3445" s="245"/>
      <c r="S3445" s="246" t="s">
        <v>1114</v>
      </c>
      <c r="T3445" s="239">
        <f>SUM(T3446:T3453)-SUM(U3446:U3453)</f>
        <v>100680</v>
      </c>
      <c r="U3445" s="240">
        <v>0</v>
      </c>
    </row>
    <row r="3446" spans="2:21" x14ac:dyDescent="0.3">
      <c r="B3446" s="47"/>
      <c r="C3446" s="24"/>
      <c r="D3446" s="312"/>
      <c r="E3446" s="312"/>
      <c r="G3446" s="47"/>
      <c r="H3446" s="24"/>
      <c r="I3446" s="312"/>
      <c r="J3446" s="312"/>
      <c r="L3446" s="47"/>
      <c r="M3446" s="24"/>
      <c r="N3446" s="312"/>
      <c r="O3446" s="312"/>
      <c r="Q3446" s="49"/>
      <c r="R3446" s="137" t="s">
        <v>2156</v>
      </c>
      <c r="S3446" s="25" t="s">
        <v>2157</v>
      </c>
      <c r="T3446" s="156">
        <v>30000</v>
      </c>
      <c r="U3446" s="156">
        <v>0</v>
      </c>
    </row>
    <row r="3447" spans="2:21" x14ac:dyDescent="0.3">
      <c r="B3447" s="47"/>
      <c r="C3447" s="24"/>
      <c r="D3447" s="312"/>
      <c r="E3447" s="312"/>
      <c r="G3447" s="47"/>
      <c r="H3447" s="24"/>
      <c r="I3447" s="312"/>
      <c r="J3447" s="312"/>
      <c r="L3447" s="47"/>
      <c r="M3447" s="24"/>
      <c r="N3447" s="312"/>
      <c r="O3447" s="312"/>
      <c r="Q3447" s="49"/>
      <c r="R3447" s="137" t="s">
        <v>2340</v>
      </c>
      <c r="S3447" s="25" t="s">
        <v>2159</v>
      </c>
      <c r="T3447" s="156">
        <v>7000</v>
      </c>
      <c r="U3447" s="156">
        <v>0</v>
      </c>
    </row>
    <row r="3448" spans="2:21" x14ac:dyDescent="0.3">
      <c r="B3448" s="47"/>
      <c r="C3448" s="24"/>
      <c r="D3448" s="312"/>
      <c r="E3448" s="312"/>
      <c r="G3448" s="47"/>
      <c r="H3448" s="24"/>
      <c r="I3448" s="312"/>
      <c r="J3448" s="312"/>
      <c r="L3448" s="47"/>
      <c r="M3448" s="24"/>
      <c r="N3448" s="312"/>
      <c r="O3448" s="312"/>
      <c r="Q3448" s="49"/>
      <c r="R3448" s="137" t="s">
        <v>1898</v>
      </c>
      <c r="S3448" s="25" t="s">
        <v>2218</v>
      </c>
      <c r="T3448" s="156">
        <v>5000</v>
      </c>
      <c r="U3448" s="156">
        <v>0</v>
      </c>
    </row>
    <row r="3449" spans="2:21" x14ac:dyDescent="0.3">
      <c r="B3449" s="47"/>
      <c r="C3449" s="24"/>
      <c r="D3449" s="312"/>
      <c r="E3449" s="312"/>
      <c r="G3449" s="47"/>
      <c r="H3449" s="24"/>
      <c r="I3449" s="312"/>
      <c r="J3449" s="312"/>
      <c r="L3449" s="47"/>
      <c r="M3449" s="24"/>
      <c r="N3449" s="312"/>
      <c r="O3449" s="312"/>
      <c r="Q3449" s="49"/>
      <c r="R3449" s="137" t="s">
        <v>2199</v>
      </c>
      <c r="S3449" s="25" t="s">
        <v>2200</v>
      </c>
      <c r="T3449" s="156">
        <v>7000</v>
      </c>
      <c r="U3449" s="156">
        <v>0</v>
      </c>
    </row>
    <row r="3450" spans="2:21" x14ac:dyDescent="0.3">
      <c r="B3450" s="47"/>
      <c r="C3450" s="24"/>
      <c r="D3450" s="312"/>
      <c r="E3450" s="312"/>
      <c r="G3450" s="47"/>
      <c r="H3450" s="24"/>
      <c r="I3450" s="312"/>
      <c r="J3450" s="312"/>
      <c r="L3450" s="47"/>
      <c r="M3450" s="24"/>
      <c r="N3450" s="312"/>
      <c r="O3450" s="312"/>
      <c r="Q3450" s="49"/>
      <c r="R3450" s="137" t="s">
        <v>3313</v>
      </c>
      <c r="S3450" s="25" t="s">
        <v>2211</v>
      </c>
      <c r="T3450" s="156">
        <v>7000</v>
      </c>
      <c r="U3450" s="156">
        <v>0</v>
      </c>
    </row>
    <row r="3451" spans="2:21" x14ac:dyDescent="0.3">
      <c r="B3451" s="47"/>
      <c r="C3451" s="24"/>
      <c r="D3451" s="312"/>
      <c r="E3451" s="312"/>
      <c r="G3451" s="47"/>
      <c r="H3451" s="24"/>
      <c r="I3451" s="312"/>
      <c r="J3451" s="312"/>
      <c r="L3451" s="47"/>
      <c r="M3451" s="24"/>
      <c r="N3451" s="312"/>
      <c r="O3451" s="312"/>
      <c r="Q3451" s="49"/>
      <c r="R3451" s="137" t="s">
        <v>2201</v>
      </c>
      <c r="S3451" s="25" t="s">
        <v>2202</v>
      </c>
      <c r="T3451" s="156">
        <v>18360</v>
      </c>
      <c r="U3451" s="156">
        <v>0</v>
      </c>
    </row>
    <row r="3452" spans="2:21" x14ac:dyDescent="0.3">
      <c r="B3452" s="47"/>
      <c r="C3452" s="24"/>
      <c r="D3452" s="312"/>
      <c r="E3452" s="312"/>
      <c r="G3452" s="47"/>
      <c r="H3452" s="24"/>
      <c r="I3452" s="312"/>
      <c r="J3452" s="312"/>
      <c r="L3452" s="47"/>
      <c r="M3452" s="24"/>
      <c r="N3452" s="312"/>
      <c r="O3452" s="312"/>
      <c r="Q3452" s="49"/>
      <c r="R3452" s="137" t="s">
        <v>1895</v>
      </c>
      <c r="S3452" s="25" t="s">
        <v>2174</v>
      </c>
      <c r="T3452" s="156">
        <v>19320</v>
      </c>
      <c r="U3452" s="156">
        <v>0</v>
      </c>
    </row>
    <row r="3453" spans="2:21" x14ac:dyDescent="0.3">
      <c r="B3453" s="47"/>
      <c r="C3453" s="24"/>
      <c r="D3453" s="312"/>
      <c r="E3453" s="312"/>
      <c r="G3453" s="47"/>
      <c r="H3453" s="24"/>
      <c r="I3453" s="312"/>
      <c r="J3453" s="312"/>
      <c r="L3453" s="47"/>
      <c r="M3453" s="24"/>
      <c r="N3453" s="312"/>
      <c r="O3453" s="312"/>
      <c r="Q3453" s="49"/>
      <c r="R3453" s="137" t="s">
        <v>2177</v>
      </c>
      <c r="S3453" s="25" t="s">
        <v>2341</v>
      </c>
      <c r="T3453" s="156">
        <v>7000</v>
      </c>
      <c r="U3453" s="156">
        <v>0</v>
      </c>
    </row>
    <row r="3454" spans="2:21" x14ac:dyDescent="0.3">
      <c r="B3454" s="47"/>
      <c r="C3454" s="24"/>
      <c r="D3454" s="312"/>
      <c r="E3454" s="312"/>
      <c r="G3454" s="47"/>
      <c r="H3454" s="24"/>
      <c r="I3454" s="312"/>
      <c r="J3454" s="312"/>
      <c r="L3454" s="47"/>
      <c r="M3454" s="24"/>
      <c r="N3454" s="312"/>
      <c r="O3454" s="312"/>
      <c r="Q3454" s="244">
        <v>80220011</v>
      </c>
      <c r="R3454" s="245"/>
      <c r="S3454" s="246" t="s">
        <v>1115</v>
      </c>
      <c r="T3454" s="247">
        <v>0</v>
      </c>
      <c r="U3454" s="247">
        <v>0</v>
      </c>
    </row>
    <row r="3455" spans="2:21" x14ac:dyDescent="0.3">
      <c r="B3455" s="47"/>
      <c r="C3455" s="24"/>
      <c r="D3455" s="312"/>
      <c r="E3455" s="312"/>
      <c r="G3455" s="47"/>
      <c r="H3455" s="24"/>
      <c r="I3455" s="312"/>
      <c r="J3455" s="312"/>
      <c r="L3455" s="47"/>
      <c r="M3455" s="24"/>
      <c r="N3455" s="312"/>
      <c r="O3455" s="312"/>
      <c r="Q3455" s="244">
        <v>80220012</v>
      </c>
      <c r="R3455" s="245"/>
      <c r="S3455" s="246" t="s">
        <v>1116</v>
      </c>
      <c r="T3455" s="247">
        <v>0</v>
      </c>
      <c r="U3455" s="247">
        <v>0</v>
      </c>
    </row>
    <row r="3456" spans="2:21" x14ac:dyDescent="0.3">
      <c r="B3456" s="47"/>
      <c r="C3456" s="24"/>
      <c r="D3456" s="312"/>
      <c r="E3456" s="312"/>
      <c r="G3456" s="47"/>
      <c r="H3456" s="24"/>
      <c r="I3456" s="312"/>
      <c r="J3456" s="312"/>
      <c r="L3456" s="47"/>
      <c r="M3456" s="24"/>
      <c r="N3456" s="312"/>
      <c r="O3456" s="312"/>
      <c r="Q3456" s="244">
        <v>80220013</v>
      </c>
      <c r="R3456" s="245"/>
      <c r="S3456" s="246" t="s">
        <v>1139</v>
      </c>
      <c r="T3456" s="247">
        <v>0</v>
      </c>
      <c r="U3456" s="247">
        <f>SUM(U3457)-SUM(T3457)</f>
        <v>2440.56</v>
      </c>
    </row>
    <row r="3457" spans="2:21" x14ac:dyDescent="0.3">
      <c r="B3457" s="47"/>
      <c r="C3457" s="24"/>
      <c r="D3457" s="312"/>
      <c r="E3457" s="312"/>
      <c r="G3457" s="47"/>
      <c r="H3457" s="24"/>
      <c r="I3457" s="312"/>
      <c r="J3457" s="312"/>
      <c r="L3457" s="47"/>
      <c r="M3457" s="24"/>
      <c r="N3457" s="312"/>
      <c r="O3457" s="312"/>
      <c r="Q3457" s="49"/>
      <c r="R3457" s="137" t="s">
        <v>2138</v>
      </c>
      <c r="S3457" s="25" t="s">
        <v>7</v>
      </c>
      <c r="T3457" s="156">
        <v>0</v>
      </c>
      <c r="U3457" s="156">
        <v>2440.56</v>
      </c>
    </row>
    <row r="3458" spans="2:21" x14ac:dyDescent="0.3">
      <c r="B3458" s="47"/>
      <c r="C3458" s="24"/>
      <c r="D3458" s="312"/>
      <c r="E3458" s="312"/>
      <c r="G3458" s="47"/>
      <c r="H3458" s="24"/>
      <c r="I3458" s="312"/>
      <c r="J3458" s="312"/>
      <c r="L3458" s="47"/>
      <c r="M3458" s="24"/>
      <c r="N3458" s="312"/>
      <c r="O3458" s="312"/>
      <c r="Q3458" s="244">
        <v>80220014</v>
      </c>
      <c r="R3458" s="245"/>
      <c r="S3458" s="246" t="s">
        <v>1140</v>
      </c>
      <c r="T3458" s="247">
        <v>0</v>
      </c>
      <c r="U3458" s="247">
        <v>0</v>
      </c>
    </row>
    <row r="3459" spans="2:21" x14ac:dyDescent="0.3">
      <c r="B3459" s="47"/>
      <c r="C3459" s="24"/>
      <c r="D3459" s="312"/>
      <c r="E3459" s="312"/>
      <c r="G3459" s="47"/>
      <c r="H3459" s="24"/>
      <c r="I3459" s="312"/>
      <c r="J3459" s="312"/>
      <c r="L3459" s="47"/>
      <c r="M3459" s="24"/>
      <c r="N3459" s="312"/>
      <c r="O3459" s="312"/>
      <c r="Q3459" s="244">
        <v>80220015</v>
      </c>
      <c r="R3459" s="245"/>
      <c r="S3459" s="246" t="s">
        <v>1134</v>
      </c>
      <c r="T3459" s="247">
        <v>0</v>
      </c>
      <c r="U3459" s="247">
        <v>0</v>
      </c>
    </row>
    <row r="3460" spans="2:21" x14ac:dyDescent="0.3">
      <c r="B3460" s="47"/>
      <c r="C3460" s="24"/>
      <c r="D3460" s="312"/>
      <c r="E3460" s="312"/>
      <c r="G3460" s="47"/>
      <c r="H3460" s="24"/>
      <c r="I3460" s="312"/>
      <c r="J3460" s="312"/>
      <c r="L3460" s="47"/>
      <c r="M3460" s="24"/>
      <c r="N3460" s="312"/>
      <c r="O3460" s="312"/>
      <c r="Q3460" s="244">
        <v>80220016</v>
      </c>
      <c r="R3460" s="245"/>
      <c r="S3460" s="246" t="s">
        <v>1135</v>
      </c>
      <c r="T3460" s="247">
        <v>0</v>
      </c>
      <c r="U3460" s="247">
        <v>0</v>
      </c>
    </row>
    <row r="3461" spans="2:21" x14ac:dyDescent="0.3">
      <c r="B3461" s="47"/>
      <c r="C3461" s="24"/>
      <c r="D3461" s="312"/>
      <c r="E3461" s="312"/>
      <c r="G3461" s="47"/>
      <c r="H3461" s="24"/>
      <c r="I3461" s="312"/>
      <c r="J3461" s="312"/>
      <c r="L3461" s="47"/>
      <c r="M3461" s="24"/>
      <c r="N3461" s="312"/>
      <c r="O3461" s="312"/>
      <c r="Q3461" s="244">
        <v>80220017</v>
      </c>
      <c r="R3461" s="245"/>
      <c r="S3461" s="246" t="s">
        <v>917</v>
      </c>
      <c r="T3461" s="247">
        <v>0</v>
      </c>
      <c r="U3461" s="247">
        <v>0</v>
      </c>
    </row>
    <row r="3462" spans="2:21" x14ac:dyDescent="0.3">
      <c r="B3462" s="47"/>
      <c r="C3462" s="24"/>
      <c r="D3462" s="312"/>
      <c r="E3462" s="312"/>
      <c r="G3462" s="47"/>
      <c r="H3462" s="24"/>
      <c r="I3462" s="312"/>
      <c r="J3462" s="312"/>
      <c r="L3462" s="47"/>
      <c r="M3462" s="24"/>
      <c r="N3462" s="312"/>
      <c r="O3462" s="312"/>
      <c r="Q3462" s="244">
        <v>80220018</v>
      </c>
      <c r="R3462" s="245"/>
      <c r="S3462" s="246" t="s">
        <v>2103</v>
      </c>
      <c r="T3462" s="247">
        <v>0</v>
      </c>
      <c r="U3462" s="247">
        <v>0</v>
      </c>
    </row>
    <row r="3463" spans="2:21" x14ac:dyDescent="0.3">
      <c r="B3463" s="47"/>
      <c r="C3463" s="24"/>
      <c r="D3463" s="312"/>
      <c r="E3463" s="312"/>
      <c r="G3463" s="47"/>
      <c r="H3463" s="24"/>
      <c r="I3463" s="312"/>
      <c r="J3463" s="312"/>
      <c r="L3463" s="47"/>
      <c r="M3463" s="24"/>
      <c r="N3463" s="312"/>
      <c r="O3463" s="312"/>
      <c r="Q3463" s="244">
        <v>80220019</v>
      </c>
      <c r="R3463" s="245"/>
      <c r="S3463" s="246" t="s">
        <v>2104</v>
      </c>
      <c r="T3463" s="247">
        <v>0</v>
      </c>
      <c r="U3463" s="247">
        <v>0</v>
      </c>
    </row>
    <row r="3464" spans="2:21" x14ac:dyDescent="0.3">
      <c r="B3464" s="47"/>
      <c r="C3464" s="24"/>
      <c r="D3464" s="312"/>
      <c r="E3464" s="312"/>
      <c r="G3464" s="47"/>
      <c r="H3464" s="24"/>
      <c r="I3464" s="312"/>
      <c r="J3464" s="312"/>
      <c r="L3464" s="47"/>
      <c r="M3464" s="24"/>
      <c r="N3464" s="312"/>
      <c r="O3464" s="312"/>
      <c r="Q3464" s="244">
        <v>80220020</v>
      </c>
      <c r="R3464" s="245"/>
      <c r="S3464" s="243" t="s">
        <v>1167</v>
      </c>
      <c r="T3464" s="247">
        <v>0</v>
      </c>
      <c r="U3464" s="247">
        <v>0</v>
      </c>
    </row>
    <row r="3465" spans="2:21" x14ac:dyDescent="0.3">
      <c r="B3465" s="47"/>
      <c r="C3465" s="24"/>
      <c r="D3465" s="312"/>
      <c r="E3465" s="312"/>
      <c r="G3465" s="47"/>
      <c r="H3465" s="24"/>
      <c r="I3465" s="312"/>
      <c r="J3465" s="312"/>
      <c r="L3465" s="47"/>
      <c r="M3465" s="24"/>
      <c r="N3465" s="312"/>
      <c r="O3465" s="312"/>
      <c r="Q3465" s="47"/>
      <c r="R3465" s="136"/>
      <c r="S3465" s="24"/>
      <c r="T3465" s="155"/>
      <c r="U3465" s="155"/>
    </row>
    <row r="3466" spans="2:21" x14ac:dyDescent="0.3">
      <c r="B3466" s="47"/>
      <c r="C3466" s="24"/>
      <c r="D3466" s="312"/>
      <c r="E3466" s="312"/>
      <c r="G3466" s="47"/>
      <c r="H3466" s="24"/>
      <c r="I3466" s="312"/>
      <c r="J3466" s="312"/>
      <c r="K3466">
        <v>8023</v>
      </c>
      <c r="L3466" s="241">
        <v>8023</v>
      </c>
      <c r="M3466" s="243" t="s">
        <v>922</v>
      </c>
      <c r="N3466" s="314">
        <f>T3466</f>
        <v>0</v>
      </c>
      <c r="O3466" s="314">
        <v>0</v>
      </c>
      <c r="Q3466" s="241">
        <v>80230001</v>
      </c>
      <c r="R3466" s="242"/>
      <c r="S3466" s="243" t="s">
        <v>922</v>
      </c>
      <c r="T3466" s="240">
        <v>0</v>
      </c>
      <c r="U3466" s="240">
        <v>0</v>
      </c>
    </row>
    <row r="3467" spans="2:21" x14ac:dyDescent="0.3">
      <c r="B3467" s="47"/>
      <c r="C3467" s="24"/>
      <c r="D3467" s="312"/>
      <c r="E3467" s="312"/>
      <c r="G3467" s="47"/>
      <c r="H3467" s="24"/>
      <c r="I3467" s="312"/>
      <c r="J3467" s="312"/>
      <c r="L3467" s="47"/>
      <c r="M3467" s="24"/>
      <c r="N3467" s="312"/>
      <c r="O3467" s="312"/>
      <c r="Q3467" s="47"/>
      <c r="R3467" s="136"/>
      <c r="S3467" s="24"/>
      <c r="T3467" s="155"/>
      <c r="U3467" s="155"/>
    </row>
    <row r="3468" spans="2:21" x14ac:dyDescent="0.3">
      <c r="B3468" s="47"/>
      <c r="C3468" s="24"/>
      <c r="D3468" s="312"/>
      <c r="E3468" s="312"/>
      <c r="G3468" s="47"/>
      <c r="H3468" s="24"/>
      <c r="I3468" s="312"/>
      <c r="J3468" s="312"/>
      <c r="K3468">
        <v>8024</v>
      </c>
      <c r="L3468" s="241">
        <v>8024</v>
      </c>
      <c r="M3468" s="243" t="s">
        <v>920</v>
      </c>
      <c r="N3468" s="314">
        <f>T3468+T3469+T3470</f>
        <v>0</v>
      </c>
      <c r="O3468" s="314">
        <v>0</v>
      </c>
      <c r="Q3468" s="241">
        <v>80240001</v>
      </c>
      <c r="R3468" s="242"/>
      <c r="S3468" s="243" t="s">
        <v>1161</v>
      </c>
      <c r="T3468" s="240">
        <v>0</v>
      </c>
      <c r="U3468" s="240">
        <v>0</v>
      </c>
    </row>
    <row r="3469" spans="2:21" x14ac:dyDescent="0.3">
      <c r="B3469" s="47"/>
      <c r="C3469" s="24"/>
      <c r="D3469" s="312"/>
      <c r="E3469" s="312"/>
      <c r="G3469" s="47"/>
      <c r="H3469" s="24"/>
      <c r="I3469" s="312"/>
      <c r="J3469" s="312"/>
      <c r="L3469" s="47"/>
      <c r="M3469" s="24"/>
      <c r="N3469" s="312"/>
      <c r="O3469" s="312"/>
      <c r="Q3469" s="241">
        <v>80240002</v>
      </c>
      <c r="R3469" s="242"/>
      <c r="S3469" s="243" t="s">
        <v>1162</v>
      </c>
      <c r="T3469" s="240">
        <v>0</v>
      </c>
      <c r="U3469" s="240">
        <v>0</v>
      </c>
    </row>
    <row r="3470" spans="2:21" x14ac:dyDescent="0.3">
      <c r="B3470" s="47"/>
      <c r="C3470" s="24"/>
      <c r="D3470" s="312"/>
      <c r="E3470" s="312"/>
      <c r="G3470" s="47"/>
      <c r="H3470" s="24"/>
      <c r="I3470" s="312"/>
      <c r="J3470" s="312"/>
      <c r="L3470" s="47"/>
      <c r="M3470" s="24"/>
      <c r="N3470" s="312"/>
      <c r="O3470" s="312"/>
      <c r="Q3470" s="241">
        <v>80240003</v>
      </c>
      <c r="R3470" s="242"/>
      <c r="S3470" s="243" t="s">
        <v>1163</v>
      </c>
      <c r="T3470" s="240">
        <v>0</v>
      </c>
      <c r="U3470" s="240">
        <v>0</v>
      </c>
    </row>
    <row r="3471" spans="2:21" x14ac:dyDescent="0.3">
      <c r="B3471" s="47"/>
      <c r="C3471" s="24"/>
      <c r="D3471" s="312"/>
      <c r="E3471" s="312"/>
      <c r="G3471" s="47"/>
      <c r="H3471" s="24"/>
      <c r="I3471" s="312"/>
      <c r="J3471" s="312"/>
      <c r="L3471" s="47"/>
      <c r="M3471" s="24"/>
      <c r="N3471" s="312"/>
      <c r="O3471" s="312"/>
      <c r="Q3471" s="47"/>
      <c r="R3471" s="136"/>
      <c r="S3471" s="24"/>
      <c r="T3471" s="155"/>
      <c r="U3471" s="155"/>
    </row>
    <row r="3472" spans="2:21" x14ac:dyDescent="0.3">
      <c r="B3472" s="47"/>
      <c r="C3472" s="24"/>
      <c r="D3472" s="312"/>
      <c r="E3472" s="312"/>
      <c r="G3472" s="47"/>
      <c r="H3472" s="24"/>
      <c r="I3472" s="312"/>
      <c r="J3472" s="312"/>
      <c r="K3472">
        <v>8025</v>
      </c>
      <c r="L3472" s="241">
        <v>8025</v>
      </c>
      <c r="M3472" s="243" t="s">
        <v>923</v>
      </c>
      <c r="N3472" s="314">
        <f>T3472</f>
        <v>0</v>
      </c>
      <c r="O3472" s="314">
        <v>0</v>
      </c>
      <c r="Q3472" s="241">
        <v>80250001</v>
      </c>
      <c r="R3472" s="242"/>
      <c r="S3472" s="243" t="s">
        <v>1168</v>
      </c>
      <c r="T3472" s="240">
        <v>0</v>
      </c>
      <c r="U3472" s="240">
        <v>0</v>
      </c>
    </row>
    <row r="3473" spans="2:21" x14ac:dyDescent="0.3">
      <c r="B3473" s="47"/>
      <c r="C3473" s="24"/>
      <c r="D3473" s="312"/>
      <c r="E3473" s="312"/>
      <c r="G3473" s="47"/>
      <c r="H3473" s="24"/>
      <c r="I3473" s="312"/>
      <c r="J3473" s="312"/>
      <c r="L3473" s="23"/>
      <c r="M3473" s="24"/>
      <c r="N3473" s="312"/>
      <c r="O3473" s="312"/>
      <c r="Q3473" s="47"/>
      <c r="R3473" s="136"/>
      <c r="S3473" s="24"/>
      <c r="T3473" s="155"/>
      <c r="U3473" s="155"/>
    </row>
    <row r="3474" spans="2:21" x14ac:dyDescent="0.3">
      <c r="B3474" s="47"/>
      <c r="C3474" s="24"/>
      <c r="D3474" s="312"/>
      <c r="E3474" s="312"/>
      <c r="F3474">
        <v>90</v>
      </c>
      <c r="G3474" s="241">
        <v>90</v>
      </c>
      <c r="H3474" s="243" t="s">
        <v>878</v>
      </c>
      <c r="I3474" s="314">
        <f>N3474</f>
        <v>174285.24</v>
      </c>
      <c r="J3474" s="314">
        <v>0</v>
      </c>
      <c r="K3474">
        <v>9001</v>
      </c>
      <c r="L3474" s="241">
        <v>9001</v>
      </c>
      <c r="M3474" s="243" t="s">
        <v>924</v>
      </c>
      <c r="N3474" s="314">
        <f>T3474+T3476+T3477</f>
        <v>174285.24</v>
      </c>
      <c r="O3474" s="314">
        <v>0</v>
      </c>
      <c r="Q3474" s="241">
        <v>90010001</v>
      </c>
      <c r="R3474" s="242"/>
      <c r="S3474" s="243" t="s">
        <v>1169</v>
      </c>
      <c r="T3474" s="239">
        <f>SUM(T3475)-SUM(U3475)</f>
        <v>174285.24</v>
      </c>
      <c r="U3474" s="240">
        <v>0</v>
      </c>
    </row>
    <row r="3475" spans="2:21" x14ac:dyDescent="0.3">
      <c r="B3475" s="47"/>
      <c r="C3475" s="24"/>
      <c r="D3475" s="312"/>
      <c r="E3475" s="312"/>
      <c r="G3475" s="47"/>
      <c r="H3475" s="24"/>
      <c r="I3475" s="312"/>
      <c r="J3475" s="312"/>
      <c r="L3475" s="47"/>
      <c r="M3475" s="24"/>
      <c r="N3475" s="312"/>
      <c r="O3475" s="312"/>
      <c r="Q3475" s="47"/>
      <c r="R3475" s="136" t="s">
        <v>2138</v>
      </c>
      <c r="S3475" s="24" t="s">
        <v>7</v>
      </c>
      <c r="T3475" s="155">
        <v>174285.24</v>
      </c>
      <c r="U3475" s="155">
        <v>0</v>
      </c>
    </row>
    <row r="3476" spans="2:21" x14ac:dyDescent="0.3">
      <c r="B3476" s="47"/>
      <c r="C3476" s="24"/>
      <c r="D3476" s="312"/>
      <c r="E3476" s="312"/>
      <c r="G3476" s="47"/>
      <c r="H3476" s="24"/>
      <c r="I3476" s="312"/>
      <c r="J3476" s="312"/>
      <c r="L3476" s="47"/>
      <c r="M3476" s="24"/>
      <c r="N3476" s="312"/>
      <c r="O3476" s="312"/>
      <c r="Q3476" s="241">
        <v>90010002</v>
      </c>
      <c r="R3476" s="242"/>
      <c r="S3476" s="243" t="s">
        <v>2108</v>
      </c>
      <c r="T3476" s="240">
        <v>0</v>
      </c>
      <c r="U3476" s="240">
        <v>0</v>
      </c>
    </row>
    <row r="3477" spans="2:21" x14ac:dyDescent="0.3">
      <c r="B3477" s="47"/>
      <c r="C3477" s="24"/>
      <c r="D3477" s="312"/>
      <c r="E3477" s="312"/>
      <c r="G3477" s="47"/>
      <c r="H3477" s="24"/>
      <c r="I3477" s="312"/>
      <c r="J3477" s="312"/>
      <c r="L3477" s="47"/>
      <c r="M3477" s="24"/>
      <c r="N3477" s="312"/>
      <c r="O3477" s="312"/>
      <c r="Q3477" s="241">
        <v>90010003</v>
      </c>
      <c r="R3477" s="242"/>
      <c r="S3477" s="243" t="s">
        <v>1141</v>
      </c>
      <c r="T3477" s="240">
        <v>0</v>
      </c>
      <c r="U3477" s="240">
        <v>0</v>
      </c>
    </row>
    <row r="3478" spans="2:21" x14ac:dyDescent="0.3">
      <c r="B3478" s="47"/>
      <c r="C3478" s="24"/>
      <c r="D3478" s="312"/>
      <c r="E3478" s="312"/>
      <c r="G3478" s="47"/>
      <c r="H3478" s="24"/>
      <c r="I3478" s="312"/>
      <c r="J3478" s="312"/>
      <c r="L3478" s="47"/>
      <c r="M3478" s="24"/>
      <c r="N3478" s="312"/>
      <c r="O3478" s="312"/>
      <c r="Q3478" s="47"/>
      <c r="R3478" s="136"/>
      <c r="S3478" s="24"/>
      <c r="T3478" s="155"/>
      <c r="U3478" s="155"/>
    </row>
    <row r="3479" spans="2:21" x14ac:dyDescent="0.3">
      <c r="B3479" s="47"/>
      <c r="C3479" s="24"/>
      <c r="D3479" s="312"/>
      <c r="E3479" s="312"/>
      <c r="G3479" s="47"/>
      <c r="H3479" s="24"/>
      <c r="I3479" s="312"/>
      <c r="J3479" s="312"/>
      <c r="L3479" s="47"/>
      <c r="M3479" s="24"/>
      <c r="N3479" s="312"/>
      <c r="O3479" s="312"/>
      <c r="Q3479" s="47"/>
      <c r="R3479" s="136"/>
      <c r="S3479" s="24"/>
      <c r="T3479" s="155"/>
      <c r="U3479" s="155"/>
    </row>
    <row r="3480" spans="2:21" x14ac:dyDescent="0.3">
      <c r="B3480" s="47"/>
      <c r="C3480" s="24"/>
      <c r="D3480" s="312"/>
      <c r="E3480" s="312"/>
      <c r="G3480" s="47"/>
      <c r="H3480" s="24"/>
      <c r="I3480" s="312"/>
      <c r="J3480" s="312"/>
      <c r="K3480">
        <v>9002</v>
      </c>
      <c r="L3480" s="241">
        <v>9002</v>
      </c>
      <c r="M3480" s="243" t="s">
        <v>2109</v>
      </c>
      <c r="N3480" s="314">
        <f>T3480+T3481</f>
        <v>0</v>
      </c>
      <c r="O3480" s="314">
        <v>0</v>
      </c>
      <c r="Q3480" s="241">
        <v>90020001</v>
      </c>
      <c r="R3480" s="242"/>
      <c r="S3480" s="243" t="s">
        <v>1170</v>
      </c>
      <c r="T3480" s="240">
        <v>0</v>
      </c>
      <c r="U3480" s="240">
        <v>0</v>
      </c>
    </row>
    <row r="3481" spans="2:21" ht="15" customHeight="1" x14ac:dyDescent="0.3">
      <c r="B3481" s="47"/>
      <c r="C3481" s="24"/>
      <c r="D3481" s="312"/>
      <c r="E3481" s="312"/>
      <c r="G3481" s="47"/>
      <c r="H3481" s="24"/>
      <c r="I3481" s="312"/>
      <c r="J3481" s="312"/>
      <c r="L3481" s="47"/>
      <c r="M3481" s="24"/>
      <c r="N3481" s="312"/>
      <c r="O3481" s="312"/>
      <c r="Q3481" s="241">
        <v>90020002</v>
      </c>
      <c r="R3481" s="242"/>
      <c r="S3481" s="243" t="s">
        <v>2110</v>
      </c>
      <c r="T3481" s="240">
        <v>0</v>
      </c>
      <c r="U3481" s="240">
        <v>0</v>
      </c>
    </row>
    <row r="3482" spans="2:21" ht="15" customHeight="1" x14ac:dyDescent="0.3">
      <c r="B3482" s="47"/>
      <c r="C3482" s="24"/>
      <c r="D3482" s="312"/>
      <c r="E3482" s="312"/>
      <c r="G3482" s="47"/>
      <c r="H3482" s="24"/>
      <c r="I3482" s="312"/>
      <c r="J3482" s="312"/>
      <c r="L3482" s="47"/>
      <c r="M3482" s="24"/>
      <c r="N3482" s="312"/>
      <c r="O3482" s="312"/>
      <c r="Q3482" s="47"/>
      <c r="R3482" s="136"/>
      <c r="S3482" s="24"/>
      <c r="T3482" s="155"/>
      <c r="U3482" s="155"/>
    </row>
    <row r="3483" spans="2:21" x14ac:dyDescent="0.3">
      <c r="B3483" s="47"/>
      <c r="C3483" s="24"/>
      <c r="D3483" s="312"/>
      <c r="E3483" s="312"/>
      <c r="G3483" s="47"/>
      <c r="H3483" s="24"/>
      <c r="I3483" s="312"/>
      <c r="J3483" s="312"/>
      <c r="K3483">
        <v>9003</v>
      </c>
      <c r="L3483" s="241">
        <v>9003</v>
      </c>
      <c r="M3483" s="243" t="s">
        <v>925</v>
      </c>
      <c r="N3483" s="314">
        <f>T3483+T3484+T3485+T3486+T3487</f>
        <v>0</v>
      </c>
      <c r="O3483" s="314">
        <v>0</v>
      </c>
      <c r="Q3483" s="241">
        <v>90030001</v>
      </c>
      <c r="R3483" s="242"/>
      <c r="S3483" s="243" t="s">
        <v>925</v>
      </c>
      <c r="T3483" s="240">
        <v>0</v>
      </c>
      <c r="U3483" s="240">
        <v>0</v>
      </c>
    </row>
    <row r="3484" spans="2:21" x14ac:dyDescent="0.3">
      <c r="B3484" s="47"/>
      <c r="C3484" s="24"/>
      <c r="D3484" s="312"/>
      <c r="E3484" s="312"/>
      <c r="G3484" s="47"/>
      <c r="H3484" s="24"/>
      <c r="I3484" s="312"/>
      <c r="J3484" s="312"/>
      <c r="L3484" s="47"/>
      <c r="M3484" s="24"/>
      <c r="N3484" s="312"/>
      <c r="O3484" s="312"/>
      <c r="Q3484" s="241">
        <v>90030002</v>
      </c>
      <c r="R3484" s="242"/>
      <c r="S3484" s="243" t="s">
        <v>1171</v>
      </c>
      <c r="T3484" s="240">
        <v>0</v>
      </c>
      <c r="U3484" s="240">
        <v>0</v>
      </c>
    </row>
    <row r="3485" spans="2:21" x14ac:dyDescent="0.3">
      <c r="B3485" s="47"/>
      <c r="C3485" s="24"/>
      <c r="D3485" s="312"/>
      <c r="E3485" s="312"/>
      <c r="G3485" s="47"/>
      <c r="H3485" s="24"/>
      <c r="I3485" s="312"/>
      <c r="J3485" s="312"/>
      <c r="L3485" s="47"/>
      <c r="M3485" s="24"/>
      <c r="N3485" s="312"/>
      <c r="O3485" s="312"/>
      <c r="Q3485" s="241">
        <v>90030003</v>
      </c>
      <c r="R3485" s="242"/>
      <c r="S3485" s="243" t="s">
        <v>1172</v>
      </c>
      <c r="T3485" s="240">
        <v>0</v>
      </c>
      <c r="U3485" s="240">
        <v>0</v>
      </c>
    </row>
    <row r="3486" spans="2:21" x14ac:dyDescent="0.3">
      <c r="B3486" s="47"/>
      <c r="C3486" s="24"/>
      <c r="D3486" s="312"/>
      <c r="E3486" s="312"/>
      <c r="G3486" s="47"/>
      <c r="H3486" s="24"/>
      <c r="I3486" s="312"/>
      <c r="J3486" s="312"/>
      <c r="L3486" s="47"/>
      <c r="M3486" s="24"/>
      <c r="N3486" s="312"/>
      <c r="O3486" s="312"/>
      <c r="Q3486" s="241">
        <v>90030004</v>
      </c>
      <c r="R3486" s="242"/>
      <c r="S3486" s="243" t="s">
        <v>1173</v>
      </c>
      <c r="T3486" s="240">
        <v>0</v>
      </c>
      <c r="U3486" s="240">
        <v>0</v>
      </c>
    </row>
    <row r="3487" spans="2:21" x14ac:dyDescent="0.3">
      <c r="B3487" s="48"/>
      <c r="C3487" s="26"/>
      <c r="D3487" s="313"/>
      <c r="E3487" s="313"/>
      <c r="G3487" s="48"/>
      <c r="H3487" s="26"/>
      <c r="I3487" s="313"/>
      <c r="J3487" s="313"/>
      <c r="L3487" s="48"/>
      <c r="M3487" s="26"/>
      <c r="N3487" s="313"/>
      <c r="O3487" s="313"/>
      <c r="Q3487" s="259">
        <v>90030005</v>
      </c>
      <c r="R3487" s="260"/>
      <c r="S3487" s="261" t="s">
        <v>1174</v>
      </c>
      <c r="T3487" s="262">
        <v>0</v>
      </c>
      <c r="U3487" s="262">
        <v>0</v>
      </c>
    </row>
    <row r="3489" spans="1:21" s="12" customFormat="1" x14ac:dyDescent="0.3">
      <c r="A3489" s="12">
        <v>8</v>
      </c>
      <c r="B3489" s="251">
        <v>99</v>
      </c>
      <c r="C3489" s="253" t="s">
        <v>2131</v>
      </c>
      <c r="D3489" s="321">
        <f>I3489</f>
        <v>0</v>
      </c>
      <c r="E3489" s="321">
        <v>0</v>
      </c>
      <c r="F3489" s="12">
        <v>99</v>
      </c>
      <c r="G3489" s="251">
        <v>99</v>
      </c>
      <c r="H3489" s="320" t="s">
        <v>2119</v>
      </c>
      <c r="I3489" s="321">
        <f>N3489</f>
        <v>0</v>
      </c>
      <c r="J3489" s="321">
        <v>0</v>
      </c>
      <c r="K3489" s="12">
        <v>9901</v>
      </c>
      <c r="L3489" s="251">
        <v>9901</v>
      </c>
      <c r="M3489" s="320" t="s">
        <v>2119</v>
      </c>
      <c r="N3489" s="321">
        <f>T3489+T3490+T3491+T3492+T3493+T3494+T3495+T3496</f>
        <v>0</v>
      </c>
      <c r="O3489" s="321">
        <v>0</v>
      </c>
      <c r="Q3489" s="251">
        <v>99010001</v>
      </c>
      <c r="R3489" s="252"/>
      <c r="S3489" s="253" t="s">
        <v>2125</v>
      </c>
      <c r="T3489" s="254">
        <v>0</v>
      </c>
      <c r="U3489" s="254">
        <v>0</v>
      </c>
    </row>
    <row r="3490" spans="1:21" s="12" customFormat="1" x14ac:dyDescent="0.3">
      <c r="B3490" s="50"/>
      <c r="C3490" s="27"/>
      <c r="D3490" s="316"/>
      <c r="E3490" s="316"/>
      <c r="G3490" s="50"/>
      <c r="H3490" s="318"/>
      <c r="I3490" s="316"/>
      <c r="J3490" s="316"/>
      <c r="L3490" s="50"/>
      <c r="M3490" s="318"/>
      <c r="N3490" s="316"/>
      <c r="O3490" s="316"/>
      <c r="Q3490" s="255">
        <v>99010002</v>
      </c>
      <c r="R3490" s="256"/>
      <c r="S3490" s="257" t="s">
        <v>2120</v>
      </c>
      <c r="T3490" s="258">
        <v>0</v>
      </c>
      <c r="U3490" s="258">
        <v>0</v>
      </c>
    </row>
    <row r="3491" spans="1:21" s="12" customFormat="1" x14ac:dyDescent="0.3">
      <c r="B3491" s="50"/>
      <c r="C3491" s="27"/>
      <c r="D3491" s="316"/>
      <c r="E3491" s="316"/>
      <c r="G3491" s="50"/>
      <c r="H3491" s="318"/>
      <c r="I3491" s="316"/>
      <c r="J3491" s="316"/>
      <c r="L3491" s="50"/>
      <c r="M3491" s="318"/>
      <c r="N3491" s="316"/>
      <c r="O3491" s="316"/>
      <c r="Q3491" s="255">
        <v>99010003</v>
      </c>
      <c r="R3491" s="256"/>
      <c r="S3491" s="257" t="s">
        <v>2121</v>
      </c>
      <c r="T3491" s="258">
        <v>0</v>
      </c>
      <c r="U3491" s="258">
        <v>0</v>
      </c>
    </row>
    <row r="3492" spans="1:21" s="12" customFormat="1" x14ac:dyDescent="0.3">
      <c r="B3492" s="50"/>
      <c r="C3492" s="27"/>
      <c r="D3492" s="316"/>
      <c r="E3492" s="316"/>
      <c r="G3492" s="50"/>
      <c r="H3492" s="318"/>
      <c r="I3492" s="316"/>
      <c r="J3492" s="316"/>
      <c r="L3492" s="50"/>
      <c r="M3492" s="318"/>
      <c r="N3492" s="316"/>
      <c r="O3492" s="316"/>
      <c r="Q3492" s="255">
        <v>99010004</v>
      </c>
      <c r="R3492" s="256"/>
      <c r="S3492" s="257" t="s">
        <v>2122</v>
      </c>
      <c r="T3492" s="258">
        <v>0</v>
      </c>
      <c r="U3492" s="258">
        <v>0</v>
      </c>
    </row>
    <row r="3493" spans="1:21" s="12" customFormat="1" x14ac:dyDescent="0.3">
      <c r="B3493" s="50"/>
      <c r="C3493" s="27"/>
      <c r="D3493" s="316"/>
      <c r="E3493" s="316"/>
      <c r="G3493" s="50"/>
      <c r="H3493" s="318"/>
      <c r="I3493" s="316"/>
      <c r="J3493" s="316"/>
      <c r="L3493" s="50"/>
      <c r="M3493" s="318"/>
      <c r="N3493" s="316"/>
      <c r="O3493" s="316"/>
      <c r="Q3493" s="255">
        <v>99010005</v>
      </c>
      <c r="R3493" s="256"/>
      <c r="S3493" s="257" t="s">
        <v>2123</v>
      </c>
      <c r="T3493" s="258">
        <v>0</v>
      </c>
      <c r="U3493" s="258">
        <v>0</v>
      </c>
    </row>
    <row r="3494" spans="1:21" s="12" customFormat="1" x14ac:dyDescent="0.3">
      <c r="B3494" s="50"/>
      <c r="C3494" s="27"/>
      <c r="D3494" s="316"/>
      <c r="E3494" s="316"/>
      <c r="G3494" s="50"/>
      <c r="H3494" s="318"/>
      <c r="I3494" s="316"/>
      <c r="J3494" s="316"/>
      <c r="L3494" s="50"/>
      <c r="M3494" s="318"/>
      <c r="N3494" s="316"/>
      <c r="O3494" s="316"/>
      <c r="Q3494" s="255">
        <v>99010006</v>
      </c>
      <c r="R3494" s="256"/>
      <c r="S3494" s="257" t="s">
        <v>2124</v>
      </c>
      <c r="T3494" s="258">
        <v>0</v>
      </c>
      <c r="U3494" s="258">
        <v>0</v>
      </c>
    </row>
    <row r="3495" spans="1:21" s="12" customFormat="1" x14ac:dyDescent="0.3">
      <c r="B3495" s="50"/>
      <c r="C3495" s="27"/>
      <c r="D3495" s="316"/>
      <c r="E3495" s="316"/>
      <c r="G3495" s="50"/>
      <c r="H3495" s="318"/>
      <c r="I3495" s="316"/>
      <c r="J3495" s="316"/>
      <c r="L3495" s="50"/>
      <c r="M3495" s="318"/>
      <c r="N3495" s="316"/>
      <c r="O3495" s="316"/>
      <c r="Q3495" s="255">
        <v>99010007</v>
      </c>
      <c r="R3495" s="256"/>
      <c r="S3495" s="257" t="s">
        <v>2127</v>
      </c>
      <c r="T3495" s="258">
        <v>0</v>
      </c>
      <c r="U3495" s="258">
        <v>0</v>
      </c>
    </row>
    <row r="3496" spans="1:21" s="12" customFormat="1" x14ac:dyDescent="0.3">
      <c r="B3496" s="50"/>
      <c r="C3496" s="27"/>
      <c r="D3496" s="316"/>
      <c r="E3496" s="316"/>
      <c r="G3496" s="50"/>
      <c r="H3496" s="318"/>
      <c r="I3496" s="316"/>
      <c r="J3496" s="316"/>
      <c r="L3496" s="50"/>
      <c r="M3496" s="318"/>
      <c r="N3496" s="316"/>
      <c r="O3496" s="316"/>
      <c r="Q3496" s="255">
        <v>99010008</v>
      </c>
      <c r="R3496" s="256"/>
      <c r="S3496" s="257" t="s">
        <v>2123</v>
      </c>
      <c r="T3496" s="258">
        <v>0</v>
      </c>
      <c r="U3496" s="258">
        <v>0</v>
      </c>
    </row>
    <row r="3497" spans="1:21" s="12" customFormat="1" x14ac:dyDescent="0.3">
      <c r="B3497" s="51"/>
      <c r="C3497" s="28"/>
      <c r="D3497" s="317"/>
      <c r="E3497" s="317"/>
      <c r="G3497" s="51"/>
      <c r="H3497" s="319"/>
      <c r="I3497" s="317"/>
      <c r="J3497" s="317"/>
      <c r="L3497" s="51"/>
      <c r="M3497" s="319"/>
      <c r="N3497" s="317"/>
      <c r="O3497" s="317"/>
      <c r="Q3497" s="51"/>
      <c r="R3497" s="138"/>
      <c r="S3497" s="28"/>
      <c r="T3497" s="158"/>
      <c r="U3497" s="158"/>
    </row>
    <row r="3498" spans="1:21" x14ac:dyDescent="0.3">
      <c r="D3498" s="139">
        <f>SUM(D6:D3489)</f>
        <v>6727128626.4300003</v>
      </c>
      <c r="E3498" s="139">
        <f>SUM(E6:E3489)</f>
        <v>6727128627.4299994</v>
      </c>
      <c r="F3498" s="291"/>
      <c r="H3498" s="291"/>
      <c r="I3498" s="139">
        <f>SUM(I6:I3489)</f>
        <v>6727128626.4300003</v>
      </c>
      <c r="J3498" s="139">
        <f>SUM(J6:J3489)</f>
        <v>6727128627.4299994</v>
      </c>
      <c r="N3498" s="139">
        <f>SUM(N6:N3489)</f>
        <v>7916760956.4299994</v>
      </c>
      <c r="O3498" s="139">
        <f>SUM(O6:O3489)</f>
        <v>7916760957.4299994</v>
      </c>
      <c r="T3498" s="139">
        <f>SUM(T6:T3489)</f>
        <v>24668274906.800003</v>
      </c>
      <c r="U3498" s="139">
        <f>SUM(U6:U3489)</f>
        <v>24668274908.800003</v>
      </c>
    </row>
    <row r="3499" spans="1:21" x14ac:dyDescent="0.3">
      <c r="E3499" s="139">
        <f>D3498-E3498</f>
        <v>-0.99999904632568359</v>
      </c>
      <c r="J3499" s="139">
        <f>I3498-J3498</f>
        <v>-0.99999904632568359</v>
      </c>
      <c r="O3499" s="139">
        <f>N3498-O3498</f>
        <v>-1</v>
      </c>
      <c r="U3499" s="139">
        <f>T3498-U3498</f>
        <v>-2</v>
      </c>
    </row>
  </sheetData>
  <autoFilter ref="A4:AA3499" xr:uid="{D5F554C2-3001-434E-A90F-CF279262EF4B}"/>
  <sortState xmlns:xlrd2="http://schemas.microsoft.com/office/spreadsheetml/2017/richdata2" ref="R544:U548">
    <sortCondition ref="R544:R548"/>
  </sortState>
  <mergeCells count="2">
    <mergeCell ref="B1:S1"/>
    <mergeCell ref="B2:S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2088-47DC-403F-BF89-160D9B1A7D13}">
  <sheetPr>
    <tabColor rgb="FFFFFF00"/>
  </sheetPr>
  <dimension ref="B1:X720"/>
  <sheetViews>
    <sheetView zoomScale="110" zoomScaleNormal="110" workbookViewId="0">
      <selection activeCell="I9" sqref="I9"/>
    </sheetView>
  </sheetViews>
  <sheetFormatPr defaultRowHeight="14.4" x14ac:dyDescent="0.3"/>
  <cols>
    <col min="1" max="1" width="1.44140625" customWidth="1"/>
    <col min="3" max="3" width="50.109375" bestFit="1" customWidth="1"/>
    <col min="4" max="4" width="2.6640625" customWidth="1"/>
    <col min="6" max="6" width="50.109375" bestFit="1" customWidth="1"/>
    <col min="7" max="7" width="3.109375" customWidth="1"/>
    <col min="9" max="9" width="50.109375" bestFit="1" customWidth="1"/>
    <col min="10" max="10" width="2" customWidth="1"/>
    <col min="12" max="12" width="50.109375" bestFit="1" customWidth="1"/>
    <col min="13" max="13" width="2.33203125" customWidth="1"/>
    <col min="15" max="15" width="50.109375" bestFit="1" customWidth="1"/>
    <col min="16" max="16" width="4.21875" customWidth="1"/>
    <col min="18" max="18" width="50.109375" bestFit="1" customWidth="1"/>
    <col min="19" max="19" width="2.77734375" customWidth="1"/>
    <col min="21" max="21" width="50.109375" bestFit="1" customWidth="1"/>
    <col min="22" max="22" width="2.5546875" customWidth="1"/>
    <col min="24" max="24" width="50.109375" bestFit="1" customWidth="1"/>
  </cols>
  <sheetData>
    <row r="1" spans="2:24" x14ac:dyDescent="0.3">
      <c r="B1" s="1" t="s">
        <v>1176</v>
      </c>
      <c r="C1" s="1" t="s">
        <v>2132</v>
      </c>
      <c r="E1" s="1" t="s">
        <v>1176</v>
      </c>
      <c r="F1" s="1" t="s">
        <v>2133</v>
      </c>
      <c r="H1" s="1" t="s">
        <v>1176</v>
      </c>
      <c r="I1" s="1" t="s">
        <v>2134</v>
      </c>
      <c r="K1" s="1" t="s">
        <v>1176</v>
      </c>
      <c r="L1" s="1" t="s">
        <v>1899</v>
      </c>
      <c r="N1" s="1" t="s">
        <v>1176</v>
      </c>
      <c r="O1" s="1" t="s">
        <v>1900</v>
      </c>
      <c r="Q1" s="1" t="s">
        <v>1176</v>
      </c>
      <c r="R1" s="1" t="s">
        <v>2135</v>
      </c>
      <c r="T1" s="1" t="s">
        <v>1176</v>
      </c>
      <c r="U1" s="1" t="s">
        <v>2136</v>
      </c>
      <c r="W1" s="1" t="s">
        <v>1176</v>
      </c>
      <c r="X1" s="1" t="s">
        <v>2137</v>
      </c>
    </row>
    <row r="2" spans="2:24" x14ac:dyDescent="0.3">
      <c r="B2" s="78">
        <v>120001</v>
      </c>
      <c r="C2" s="62" t="s">
        <v>57</v>
      </c>
      <c r="E2" s="81">
        <v>310001</v>
      </c>
      <c r="F2" s="55" t="s">
        <v>68</v>
      </c>
      <c r="H2" s="81" t="s">
        <v>2138</v>
      </c>
      <c r="I2" s="55" t="s">
        <v>7</v>
      </c>
      <c r="K2" t="s">
        <v>1181</v>
      </c>
      <c r="L2" t="s">
        <v>2139</v>
      </c>
      <c r="N2" t="s">
        <v>1184</v>
      </c>
      <c r="O2" t="s">
        <v>230</v>
      </c>
      <c r="Q2" s="78" t="s">
        <v>1877</v>
      </c>
      <c r="R2" s="60" t="s">
        <v>859</v>
      </c>
      <c r="T2" t="s">
        <v>1893</v>
      </c>
      <c r="U2" t="s">
        <v>2140</v>
      </c>
      <c r="W2" t="s">
        <v>1897</v>
      </c>
      <c r="X2" t="s">
        <v>2253</v>
      </c>
    </row>
    <row r="3" spans="2:24" x14ac:dyDescent="0.3">
      <c r="B3" s="78">
        <v>120002</v>
      </c>
      <c r="C3" s="62" t="s">
        <v>55</v>
      </c>
      <c r="E3" s="81">
        <v>310003</v>
      </c>
      <c r="F3" s="55" t="s">
        <v>71</v>
      </c>
      <c r="H3" s="81" t="s">
        <v>1178</v>
      </c>
      <c r="I3" s="55" t="s">
        <v>2141</v>
      </c>
      <c r="K3" t="s">
        <v>1182</v>
      </c>
      <c r="L3" t="s">
        <v>66</v>
      </c>
      <c r="N3" t="s">
        <v>1185</v>
      </c>
      <c r="O3" t="s">
        <v>195</v>
      </c>
      <c r="Q3" s="78" t="s">
        <v>1878</v>
      </c>
      <c r="R3" s="60" t="s">
        <v>859</v>
      </c>
      <c r="T3" t="s">
        <v>1894</v>
      </c>
      <c r="U3" t="s">
        <v>2142</v>
      </c>
      <c r="W3" s="65" t="s">
        <v>2269</v>
      </c>
      <c r="X3" s="65" t="s">
        <v>2270</v>
      </c>
    </row>
    <row r="4" spans="2:24" x14ac:dyDescent="0.3">
      <c r="B4" s="78">
        <v>120003</v>
      </c>
      <c r="C4" s="62" t="s">
        <v>56</v>
      </c>
      <c r="E4" s="81">
        <v>310004</v>
      </c>
      <c r="F4" s="55" t="s">
        <v>72</v>
      </c>
      <c r="H4" s="81" t="s">
        <v>1179</v>
      </c>
      <c r="I4" s="55" t="s">
        <v>2143</v>
      </c>
      <c r="K4" t="s">
        <v>1183</v>
      </c>
      <c r="L4" t="s">
        <v>2144</v>
      </c>
      <c r="N4" t="s">
        <v>1186</v>
      </c>
      <c r="O4" t="s">
        <v>196</v>
      </c>
      <c r="Q4" s="78" t="s">
        <v>1879</v>
      </c>
      <c r="R4" s="60" t="s">
        <v>860</v>
      </c>
      <c r="W4" t="s">
        <v>2273</v>
      </c>
      <c r="X4" t="s">
        <v>2274</v>
      </c>
    </row>
    <row r="5" spans="2:24" x14ac:dyDescent="0.3">
      <c r="B5" s="78">
        <v>120004</v>
      </c>
      <c r="C5" s="62" t="s">
        <v>59</v>
      </c>
      <c r="E5" s="81">
        <v>310005</v>
      </c>
      <c r="F5" s="55" t="s">
        <v>77</v>
      </c>
      <c r="H5" s="81" t="s">
        <v>1180</v>
      </c>
      <c r="I5" s="55" t="s">
        <v>2145</v>
      </c>
      <c r="K5" t="s">
        <v>2146</v>
      </c>
      <c r="L5" t="s">
        <v>2147</v>
      </c>
      <c r="N5" t="s">
        <v>1187</v>
      </c>
      <c r="O5" t="s">
        <v>197</v>
      </c>
      <c r="Q5" s="78" t="s">
        <v>1880</v>
      </c>
      <c r="R5" s="60" t="s">
        <v>864</v>
      </c>
      <c r="W5" t="s">
        <v>2276</v>
      </c>
      <c r="X5" t="s">
        <v>2277</v>
      </c>
    </row>
    <row r="6" spans="2:24" x14ac:dyDescent="0.3">
      <c r="B6" s="78">
        <v>120005</v>
      </c>
      <c r="C6" s="62" t="s">
        <v>63</v>
      </c>
      <c r="E6" s="81">
        <v>310006</v>
      </c>
      <c r="F6" s="55" t="s">
        <v>74</v>
      </c>
      <c r="H6" s="81" t="s">
        <v>3292</v>
      </c>
      <c r="I6" s="55" t="s">
        <v>2148</v>
      </c>
      <c r="N6" t="s">
        <v>1188</v>
      </c>
      <c r="O6" t="s">
        <v>198</v>
      </c>
      <c r="Q6" s="78" t="s">
        <v>1881</v>
      </c>
      <c r="R6" s="60" t="s">
        <v>869</v>
      </c>
      <c r="W6" t="s">
        <v>2278</v>
      </c>
      <c r="X6" t="s">
        <v>2279</v>
      </c>
    </row>
    <row r="7" spans="2:24" x14ac:dyDescent="0.3">
      <c r="B7" s="78">
        <v>120006</v>
      </c>
      <c r="C7" s="62" t="s">
        <v>64</v>
      </c>
      <c r="E7" s="81">
        <v>310007</v>
      </c>
      <c r="F7" s="55" t="s">
        <v>70</v>
      </c>
      <c r="H7" s="81" t="s">
        <v>3293</v>
      </c>
      <c r="I7" s="55" t="s">
        <v>2149</v>
      </c>
      <c r="N7" t="s">
        <v>1189</v>
      </c>
      <c r="O7" t="s">
        <v>0</v>
      </c>
      <c r="Q7" s="78" t="s">
        <v>1882</v>
      </c>
      <c r="R7" s="60" t="s">
        <v>866</v>
      </c>
      <c r="W7" t="s">
        <v>2280</v>
      </c>
      <c r="X7" t="s">
        <v>2281</v>
      </c>
    </row>
    <row r="8" spans="2:24" x14ac:dyDescent="0.3">
      <c r="B8" s="78">
        <v>120007</v>
      </c>
      <c r="C8" s="62" t="s">
        <v>52</v>
      </c>
      <c r="E8" s="81">
        <v>310008</v>
      </c>
      <c r="F8" s="55" t="s">
        <v>69</v>
      </c>
      <c r="H8" s="81" t="s">
        <v>2150</v>
      </c>
      <c r="I8" s="55" t="s">
        <v>2151</v>
      </c>
      <c r="N8" t="s">
        <v>1190</v>
      </c>
      <c r="O8" t="s">
        <v>231</v>
      </c>
      <c r="Q8" s="78" t="s">
        <v>1883</v>
      </c>
      <c r="R8" s="60" t="s">
        <v>861</v>
      </c>
      <c r="W8" t="s">
        <v>2282</v>
      </c>
      <c r="X8" t="s">
        <v>2283</v>
      </c>
    </row>
    <row r="9" spans="2:24" x14ac:dyDescent="0.3">
      <c r="B9" s="78">
        <v>120008</v>
      </c>
      <c r="C9" s="62" t="s">
        <v>48</v>
      </c>
      <c r="E9" s="81">
        <v>310009</v>
      </c>
      <c r="F9" s="55" t="s">
        <v>73</v>
      </c>
      <c r="H9" s="81" t="s">
        <v>2152</v>
      </c>
      <c r="I9" s="55" t="s">
        <v>2153</v>
      </c>
      <c r="N9" t="s">
        <v>1191</v>
      </c>
      <c r="O9" t="s">
        <v>1</v>
      </c>
      <c r="Q9" s="78" t="s">
        <v>1884</v>
      </c>
      <c r="R9" s="60" t="s">
        <v>867</v>
      </c>
      <c r="W9" t="s">
        <v>2285</v>
      </c>
      <c r="X9" t="s">
        <v>2286</v>
      </c>
    </row>
    <row r="10" spans="2:24" x14ac:dyDescent="0.3">
      <c r="B10" s="78">
        <v>120009</v>
      </c>
      <c r="C10" s="62" t="s">
        <v>60</v>
      </c>
      <c r="E10" s="81">
        <v>310010</v>
      </c>
      <c r="F10" s="55" t="s">
        <v>91</v>
      </c>
      <c r="H10" s="81" t="s">
        <v>2154</v>
      </c>
      <c r="I10" s="55" t="s">
        <v>2155</v>
      </c>
      <c r="N10" t="s">
        <v>1192</v>
      </c>
      <c r="O10" t="s">
        <v>232</v>
      </c>
      <c r="Q10" s="78" t="s">
        <v>1885</v>
      </c>
      <c r="R10" s="60" t="s">
        <v>18</v>
      </c>
      <c r="W10" t="s">
        <v>2285</v>
      </c>
      <c r="X10" t="s">
        <v>2288</v>
      </c>
    </row>
    <row r="11" spans="2:24" x14ac:dyDescent="0.3">
      <c r="B11" s="78">
        <v>120010</v>
      </c>
      <c r="C11" s="62" t="s">
        <v>50</v>
      </c>
      <c r="E11" s="81">
        <v>310011</v>
      </c>
      <c r="F11" s="92" t="s">
        <v>65</v>
      </c>
      <c r="H11" s="81" t="s">
        <v>2156</v>
      </c>
      <c r="I11" s="55" t="s">
        <v>2157</v>
      </c>
      <c r="N11" t="s">
        <v>1193</v>
      </c>
      <c r="O11" t="s">
        <v>233</v>
      </c>
      <c r="Q11" s="78" t="s">
        <v>1886</v>
      </c>
      <c r="R11" s="60" t="s">
        <v>868</v>
      </c>
      <c r="W11" t="s">
        <v>2290</v>
      </c>
      <c r="X11" t="s">
        <v>2291</v>
      </c>
    </row>
    <row r="12" spans="2:24" x14ac:dyDescent="0.3">
      <c r="B12" s="78">
        <v>120011</v>
      </c>
      <c r="C12" s="62" t="s">
        <v>53</v>
      </c>
      <c r="E12" s="81">
        <v>310012</v>
      </c>
      <c r="F12" s="55" t="s">
        <v>836</v>
      </c>
      <c r="H12" s="81" t="s">
        <v>2340</v>
      </c>
      <c r="I12" s="55" t="s">
        <v>2159</v>
      </c>
      <c r="N12" t="s">
        <v>1194</v>
      </c>
      <c r="O12" t="s">
        <v>234</v>
      </c>
      <c r="Q12" s="78" t="s">
        <v>1887</v>
      </c>
      <c r="R12" s="60" t="s">
        <v>54</v>
      </c>
      <c r="W12" t="s">
        <v>2158</v>
      </c>
      <c r="X12" t="s">
        <v>2292</v>
      </c>
    </row>
    <row r="13" spans="2:24" x14ac:dyDescent="0.3">
      <c r="B13" s="78">
        <v>120012</v>
      </c>
      <c r="C13" s="62" t="s">
        <v>2333</v>
      </c>
      <c r="E13" s="81">
        <v>310013</v>
      </c>
      <c r="F13" s="55" t="s">
        <v>76</v>
      </c>
      <c r="H13" s="81" t="s">
        <v>2160</v>
      </c>
      <c r="I13" s="55" t="s">
        <v>2161</v>
      </c>
      <c r="N13" t="s">
        <v>1195</v>
      </c>
      <c r="O13" t="s">
        <v>199</v>
      </c>
      <c r="Q13" s="78" t="s">
        <v>1888</v>
      </c>
      <c r="R13" s="60" t="s">
        <v>865</v>
      </c>
      <c r="W13" t="s">
        <v>2294</v>
      </c>
      <c r="X13" t="s">
        <v>2295</v>
      </c>
    </row>
    <row r="14" spans="2:24" x14ac:dyDescent="0.3">
      <c r="B14" s="78">
        <v>120013</v>
      </c>
      <c r="C14" s="62" t="s">
        <v>49</v>
      </c>
      <c r="E14" s="81">
        <v>310014</v>
      </c>
      <c r="F14" s="55" t="s">
        <v>837</v>
      </c>
      <c r="H14" s="81" t="s">
        <v>2162</v>
      </c>
      <c r="I14" s="55" t="s">
        <v>2163</v>
      </c>
      <c r="N14" t="s">
        <v>1196</v>
      </c>
      <c r="O14" t="s">
        <v>235</v>
      </c>
      <c r="Q14" s="78" t="s">
        <v>1889</v>
      </c>
      <c r="R14" s="60" t="s">
        <v>870</v>
      </c>
      <c r="W14" t="s">
        <v>2296</v>
      </c>
      <c r="X14" t="s">
        <v>2297</v>
      </c>
    </row>
    <row r="15" spans="2:24" x14ac:dyDescent="0.3">
      <c r="B15" s="78">
        <v>120014</v>
      </c>
      <c r="C15" s="62" t="s">
        <v>51</v>
      </c>
      <c r="E15" s="81">
        <v>310015</v>
      </c>
      <c r="F15" s="55" t="s">
        <v>838</v>
      </c>
      <c r="H15" s="81" t="s">
        <v>2165</v>
      </c>
      <c r="I15" s="55" t="s">
        <v>2166</v>
      </c>
      <c r="N15" t="s">
        <v>1197</v>
      </c>
      <c r="O15" t="s">
        <v>236</v>
      </c>
      <c r="Q15" s="78" t="s">
        <v>1890</v>
      </c>
      <c r="R15" s="60" t="s">
        <v>2164</v>
      </c>
      <c r="W15" t="s">
        <v>2299</v>
      </c>
      <c r="X15" t="s">
        <v>2300</v>
      </c>
    </row>
    <row r="16" spans="2:24" x14ac:dyDescent="0.3">
      <c r="B16" s="78">
        <v>120015</v>
      </c>
      <c r="C16" s="62" t="s">
        <v>61</v>
      </c>
      <c r="E16" s="81">
        <v>310016</v>
      </c>
      <c r="F16" s="55" t="s">
        <v>839</v>
      </c>
      <c r="H16" s="81" t="s">
        <v>2168</v>
      </c>
      <c r="I16" s="55" t="s">
        <v>2169</v>
      </c>
      <c r="N16" t="s">
        <v>1198</v>
      </c>
      <c r="O16" t="s">
        <v>2</v>
      </c>
      <c r="Q16" s="78" t="s">
        <v>1891</v>
      </c>
      <c r="R16" s="60" t="s">
        <v>2167</v>
      </c>
      <c r="W16" t="s">
        <v>2301</v>
      </c>
      <c r="X16" t="s">
        <v>2302</v>
      </c>
    </row>
    <row r="17" spans="2:24" x14ac:dyDescent="0.3">
      <c r="B17" s="78">
        <v>120016</v>
      </c>
      <c r="C17" s="62" t="s">
        <v>62</v>
      </c>
      <c r="E17" s="81">
        <v>310017</v>
      </c>
      <c r="F17" s="55" t="s">
        <v>125</v>
      </c>
      <c r="H17" s="81" t="s">
        <v>1895</v>
      </c>
      <c r="I17" s="55" t="s">
        <v>2174</v>
      </c>
      <c r="N17" t="s">
        <v>1199</v>
      </c>
      <c r="O17" t="s">
        <v>237</v>
      </c>
      <c r="Q17" s="78" t="s">
        <v>2172</v>
      </c>
      <c r="R17" s="60" t="s">
        <v>2170</v>
      </c>
      <c r="W17" t="s">
        <v>2304</v>
      </c>
      <c r="X17" t="s">
        <v>2305</v>
      </c>
    </row>
    <row r="18" spans="2:24" x14ac:dyDescent="0.3">
      <c r="B18" s="78">
        <v>120017</v>
      </c>
      <c r="C18" s="62" t="s">
        <v>58</v>
      </c>
      <c r="E18" s="81">
        <v>310018</v>
      </c>
      <c r="F18" s="55" t="s">
        <v>100</v>
      </c>
      <c r="H18" s="81" t="s">
        <v>2177</v>
      </c>
      <c r="I18" s="55" t="s">
        <v>2341</v>
      </c>
      <c r="N18" t="s">
        <v>1200</v>
      </c>
      <c r="O18" t="s">
        <v>200</v>
      </c>
      <c r="Q18" s="78" t="s">
        <v>2175</v>
      </c>
      <c r="R18" s="60" t="s">
        <v>2173</v>
      </c>
      <c r="W18" t="s">
        <v>2307</v>
      </c>
      <c r="X18" t="s">
        <v>2308</v>
      </c>
    </row>
    <row r="19" spans="2:24" x14ac:dyDescent="0.3">
      <c r="B19" s="78">
        <v>120018</v>
      </c>
      <c r="C19" s="62" t="s">
        <v>2334</v>
      </c>
      <c r="E19" s="81">
        <v>310019</v>
      </c>
      <c r="F19" s="55" t="s">
        <v>840</v>
      </c>
      <c r="H19" s="81" t="s">
        <v>2181</v>
      </c>
      <c r="I19" s="55" t="s">
        <v>2178</v>
      </c>
      <c r="N19" t="s">
        <v>1201</v>
      </c>
      <c r="O19" t="s">
        <v>238</v>
      </c>
      <c r="Q19" s="78" t="s">
        <v>2179</v>
      </c>
      <c r="R19" s="60" t="s">
        <v>2176</v>
      </c>
      <c r="W19" t="s">
        <v>2317</v>
      </c>
      <c r="X19" t="s">
        <v>2318</v>
      </c>
    </row>
    <row r="20" spans="2:24" x14ac:dyDescent="0.3">
      <c r="B20" s="78">
        <v>120019</v>
      </c>
      <c r="C20" s="62" t="s">
        <v>2335</v>
      </c>
      <c r="E20" s="81">
        <v>310020</v>
      </c>
      <c r="F20" s="55" t="s">
        <v>107</v>
      </c>
      <c r="H20" s="81" t="s">
        <v>2183</v>
      </c>
      <c r="I20" s="55" t="s">
        <v>2182</v>
      </c>
      <c r="N20" t="s">
        <v>1202</v>
      </c>
      <c r="O20" t="s">
        <v>201</v>
      </c>
      <c r="Q20" s="78" t="s">
        <v>2339</v>
      </c>
      <c r="R20" s="60" t="s">
        <v>2180</v>
      </c>
      <c r="W20" t="s">
        <v>2319</v>
      </c>
      <c r="X20" t="s">
        <v>2320</v>
      </c>
    </row>
    <row r="21" spans="2:24" x14ac:dyDescent="0.3">
      <c r="B21" s="78">
        <v>120020</v>
      </c>
      <c r="C21" s="62" t="s">
        <v>75</v>
      </c>
      <c r="E21" s="81">
        <v>310021</v>
      </c>
      <c r="F21" s="55" t="s">
        <v>67</v>
      </c>
      <c r="H21" s="81" t="s">
        <v>2185</v>
      </c>
      <c r="I21" s="55" t="s">
        <v>2184</v>
      </c>
      <c r="N21" t="s">
        <v>1203</v>
      </c>
      <c r="O21" t="s">
        <v>202</v>
      </c>
      <c r="W21" t="s">
        <v>2322</v>
      </c>
      <c r="X21" t="s">
        <v>2323</v>
      </c>
    </row>
    <row r="22" spans="2:24" x14ac:dyDescent="0.3">
      <c r="B22" s="78">
        <v>120021</v>
      </c>
      <c r="C22" s="62" t="s">
        <v>78</v>
      </c>
      <c r="E22" s="81">
        <v>310022</v>
      </c>
      <c r="F22" s="55" t="s">
        <v>841</v>
      </c>
      <c r="H22" s="81" t="s">
        <v>2187</v>
      </c>
      <c r="I22" s="55" t="s">
        <v>2186</v>
      </c>
      <c r="N22" t="s">
        <v>1204</v>
      </c>
      <c r="O22" t="s">
        <v>239</v>
      </c>
      <c r="W22" t="s">
        <v>2325</v>
      </c>
      <c r="X22" t="s">
        <v>2326</v>
      </c>
    </row>
    <row r="23" spans="2:24" x14ac:dyDescent="0.3">
      <c r="B23" s="78">
        <v>120022</v>
      </c>
      <c r="C23" s="62" t="s">
        <v>79</v>
      </c>
      <c r="E23" s="81">
        <v>310023</v>
      </c>
      <c r="F23" s="55" t="s">
        <v>123</v>
      </c>
      <c r="H23" s="81" t="s">
        <v>2342</v>
      </c>
      <c r="I23" s="55" t="s">
        <v>2188</v>
      </c>
      <c r="N23" t="s">
        <v>1205</v>
      </c>
      <c r="O23" t="s">
        <v>240</v>
      </c>
      <c r="W23" t="s">
        <v>2325</v>
      </c>
      <c r="X23" t="s">
        <v>2328</v>
      </c>
    </row>
    <row r="24" spans="2:24" x14ac:dyDescent="0.3">
      <c r="B24" s="78">
        <v>120023</v>
      </c>
      <c r="C24" s="62" t="s">
        <v>80</v>
      </c>
      <c r="E24" s="81">
        <v>310024</v>
      </c>
      <c r="F24" s="55" t="s">
        <v>88</v>
      </c>
      <c r="H24" s="81" t="s">
        <v>2190</v>
      </c>
      <c r="I24" s="55" t="s">
        <v>2189</v>
      </c>
      <c r="N24" t="s">
        <v>1206</v>
      </c>
      <c r="O24" t="s">
        <v>241</v>
      </c>
      <c r="W24" t="s">
        <v>2330</v>
      </c>
      <c r="X24" t="s">
        <v>2331</v>
      </c>
    </row>
    <row r="25" spans="2:24" x14ac:dyDescent="0.3">
      <c r="B25" s="78">
        <v>120024</v>
      </c>
      <c r="C25" s="62" t="s">
        <v>81</v>
      </c>
      <c r="E25" s="81">
        <v>310025</v>
      </c>
      <c r="F25" s="55" t="s">
        <v>135</v>
      </c>
      <c r="H25" s="81" t="s">
        <v>2192</v>
      </c>
      <c r="I25" s="55" t="s">
        <v>2191</v>
      </c>
      <c r="N25" t="s">
        <v>1207</v>
      </c>
      <c r="O25" t="s">
        <v>242</v>
      </c>
    </row>
    <row r="26" spans="2:24" x14ac:dyDescent="0.3">
      <c r="B26" s="78">
        <v>120025</v>
      </c>
      <c r="C26" s="62" t="s">
        <v>82</v>
      </c>
      <c r="E26" s="81">
        <v>310026</v>
      </c>
      <c r="F26" s="55" t="s">
        <v>842</v>
      </c>
      <c r="H26" s="81" t="s">
        <v>1896</v>
      </c>
      <c r="I26" s="55" t="s">
        <v>2193</v>
      </c>
      <c r="N26" t="s">
        <v>1208</v>
      </c>
      <c r="O26" t="s">
        <v>243</v>
      </c>
    </row>
    <row r="27" spans="2:24" x14ac:dyDescent="0.3">
      <c r="B27" s="78">
        <v>120026</v>
      </c>
      <c r="C27" s="62" t="s">
        <v>83</v>
      </c>
      <c r="E27" s="81">
        <v>310027</v>
      </c>
      <c r="F27" s="55" t="s">
        <v>843</v>
      </c>
      <c r="H27" s="81" t="s">
        <v>2343</v>
      </c>
      <c r="I27" s="55" t="s">
        <v>2194</v>
      </c>
      <c r="N27" t="s">
        <v>1209</v>
      </c>
      <c r="O27" t="s">
        <v>244</v>
      </c>
    </row>
    <row r="28" spans="2:24" x14ac:dyDescent="0.3">
      <c r="B28" s="78">
        <v>120027</v>
      </c>
      <c r="C28" s="62" t="s">
        <v>84</v>
      </c>
      <c r="E28" s="81">
        <v>310028</v>
      </c>
      <c r="F28" s="55" t="s">
        <v>844</v>
      </c>
      <c r="H28" s="81" t="s">
        <v>3291</v>
      </c>
      <c r="I28" s="55" t="s">
        <v>2171</v>
      </c>
      <c r="N28" t="s">
        <v>1210</v>
      </c>
      <c r="O28" t="s">
        <v>3</v>
      </c>
    </row>
    <row r="29" spans="2:24" x14ac:dyDescent="0.3">
      <c r="B29" s="78">
        <v>120028</v>
      </c>
      <c r="C29" s="62" t="s">
        <v>85</v>
      </c>
      <c r="E29" s="81">
        <v>310029</v>
      </c>
      <c r="F29" s="55" t="s">
        <v>845</v>
      </c>
      <c r="H29" s="81" t="s">
        <v>1931</v>
      </c>
      <c r="I29" s="55" t="s">
        <v>1932</v>
      </c>
      <c r="N29" t="s">
        <v>1211</v>
      </c>
      <c r="O29" t="s">
        <v>203</v>
      </c>
    </row>
    <row r="30" spans="2:24" x14ac:dyDescent="0.3">
      <c r="B30" s="78">
        <v>120029</v>
      </c>
      <c r="C30" s="62" t="s">
        <v>86</v>
      </c>
      <c r="E30" s="81">
        <v>310030</v>
      </c>
      <c r="F30" s="55" t="s">
        <v>846</v>
      </c>
      <c r="H30" s="81" t="s">
        <v>1933</v>
      </c>
      <c r="I30" s="55" t="s">
        <v>2195</v>
      </c>
      <c r="N30" t="s">
        <v>1212</v>
      </c>
      <c r="O30" t="s">
        <v>245</v>
      </c>
    </row>
    <row r="31" spans="2:24" x14ac:dyDescent="0.3">
      <c r="B31" s="78">
        <v>120030</v>
      </c>
      <c r="C31" s="62" t="s">
        <v>87</v>
      </c>
      <c r="E31" s="81">
        <v>310031</v>
      </c>
      <c r="F31" s="55" t="s">
        <v>847</v>
      </c>
      <c r="H31" s="81" t="s">
        <v>1934</v>
      </c>
      <c r="I31" s="55" t="s">
        <v>2196</v>
      </c>
      <c r="N31" t="s">
        <v>1213</v>
      </c>
      <c r="O31" t="s">
        <v>246</v>
      </c>
    </row>
    <row r="32" spans="2:24" x14ac:dyDescent="0.3">
      <c r="B32" s="78">
        <v>120031</v>
      </c>
      <c r="C32" s="62" t="s">
        <v>88</v>
      </c>
      <c r="E32" s="81">
        <v>310032</v>
      </c>
      <c r="F32" s="55" t="s">
        <v>848</v>
      </c>
      <c r="H32" s="81" t="s">
        <v>1985</v>
      </c>
      <c r="I32" s="55" t="s">
        <v>2197</v>
      </c>
      <c r="N32" t="s">
        <v>1214</v>
      </c>
      <c r="O32" t="s">
        <v>247</v>
      </c>
    </row>
    <row r="33" spans="2:15" x14ac:dyDescent="0.3">
      <c r="B33" s="78">
        <v>120032</v>
      </c>
      <c r="C33" s="62" t="s">
        <v>89</v>
      </c>
      <c r="E33" s="81">
        <v>310033</v>
      </c>
      <c r="F33" s="55" t="s">
        <v>849</v>
      </c>
      <c r="H33" s="81" t="s">
        <v>1986</v>
      </c>
      <c r="I33" s="55" t="s">
        <v>2198</v>
      </c>
      <c r="N33" t="s">
        <v>1215</v>
      </c>
      <c r="O33" t="s">
        <v>9</v>
      </c>
    </row>
    <row r="34" spans="2:15" x14ac:dyDescent="0.3">
      <c r="B34" s="78">
        <v>120033</v>
      </c>
      <c r="C34" s="62" t="s">
        <v>90</v>
      </c>
      <c r="E34" s="81">
        <v>310034</v>
      </c>
      <c r="F34" s="55" t="s">
        <v>850</v>
      </c>
      <c r="H34" s="81" t="s">
        <v>2199</v>
      </c>
      <c r="I34" s="55" t="s">
        <v>2200</v>
      </c>
      <c r="N34" t="s">
        <v>1216</v>
      </c>
      <c r="O34" t="s">
        <v>248</v>
      </c>
    </row>
    <row r="35" spans="2:15" x14ac:dyDescent="0.3">
      <c r="B35" s="78">
        <v>120034</v>
      </c>
      <c r="C35" s="62" t="s">
        <v>2336</v>
      </c>
      <c r="E35" s="81">
        <v>310035</v>
      </c>
      <c r="F35" s="55" t="s">
        <v>851</v>
      </c>
      <c r="H35" s="81" t="s">
        <v>2201</v>
      </c>
      <c r="I35" s="55" t="s">
        <v>2202</v>
      </c>
      <c r="N35" t="s">
        <v>1217</v>
      </c>
      <c r="O35" t="s">
        <v>249</v>
      </c>
    </row>
    <row r="36" spans="2:15" x14ac:dyDescent="0.3">
      <c r="B36" s="78">
        <v>120035</v>
      </c>
      <c r="C36" s="62" t="s">
        <v>92</v>
      </c>
      <c r="E36" s="81">
        <v>310036</v>
      </c>
      <c r="F36" s="55" t="s">
        <v>852</v>
      </c>
      <c r="H36" s="81" t="s">
        <v>2203</v>
      </c>
      <c r="I36" s="55" t="s">
        <v>2204</v>
      </c>
      <c r="N36" t="s">
        <v>1218</v>
      </c>
      <c r="O36" t="s">
        <v>250</v>
      </c>
    </row>
    <row r="37" spans="2:15" x14ac:dyDescent="0.3">
      <c r="B37" s="78">
        <v>120036</v>
      </c>
      <c r="C37" s="62" t="s">
        <v>93</v>
      </c>
      <c r="E37" s="81">
        <v>310037</v>
      </c>
      <c r="F37" s="55" t="s">
        <v>862</v>
      </c>
      <c r="H37" s="81" t="s">
        <v>2205</v>
      </c>
      <c r="I37" s="55" t="s">
        <v>2206</v>
      </c>
      <c r="N37" t="s">
        <v>1219</v>
      </c>
      <c r="O37" t="s">
        <v>204</v>
      </c>
    </row>
    <row r="38" spans="2:15" x14ac:dyDescent="0.3">
      <c r="B38" s="78">
        <v>120037</v>
      </c>
      <c r="C38" s="62" t="s">
        <v>94</v>
      </c>
      <c r="E38" s="81">
        <v>310038</v>
      </c>
      <c r="F38" s="55" t="s">
        <v>175</v>
      </c>
      <c r="H38" s="81" t="s">
        <v>2207</v>
      </c>
      <c r="I38" s="55" t="s">
        <v>2208</v>
      </c>
      <c r="N38" t="s">
        <v>1220</v>
      </c>
      <c r="O38" t="s">
        <v>10</v>
      </c>
    </row>
    <row r="39" spans="2:15" x14ac:dyDescent="0.3">
      <c r="B39" s="78">
        <v>120038</v>
      </c>
      <c r="C39" s="62" t="s">
        <v>95</v>
      </c>
      <c r="E39" s="81">
        <v>310039</v>
      </c>
      <c r="F39" s="55" t="s">
        <v>181</v>
      </c>
      <c r="H39" s="81" t="s">
        <v>2209</v>
      </c>
      <c r="I39" s="55" t="s">
        <v>2210</v>
      </c>
      <c r="N39" t="s">
        <v>1221</v>
      </c>
      <c r="O39" t="s">
        <v>251</v>
      </c>
    </row>
    <row r="40" spans="2:15" x14ac:dyDescent="0.3">
      <c r="B40" s="78">
        <v>120039</v>
      </c>
      <c r="C40" s="62" t="s">
        <v>96</v>
      </c>
      <c r="E40" s="81">
        <v>310040</v>
      </c>
      <c r="F40" s="55" t="s">
        <v>183</v>
      </c>
      <c r="H40" s="81" t="s">
        <v>1892</v>
      </c>
      <c r="I40" s="55" t="s">
        <v>2211</v>
      </c>
      <c r="N40" t="s">
        <v>1222</v>
      </c>
      <c r="O40" t="s">
        <v>4</v>
      </c>
    </row>
    <row r="41" spans="2:15" x14ac:dyDescent="0.3">
      <c r="B41" s="78">
        <v>120040</v>
      </c>
      <c r="C41" s="62" t="s">
        <v>97</v>
      </c>
      <c r="E41" s="81">
        <v>310041</v>
      </c>
      <c r="F41" s="55" t="s">
        <v>853</v>
      </c>
      <c r="H41" s="81" t="s">
        <v>2212</v>
      </c>
      <c r="I41" s="55" t="s">
        <v>2213</v>
      </c>
      <c r="N41" t="s">
        <v>1223</v>
      </c>
      <c r="O41" t="s">
        <v>252</v>
      </c>
    </row>
    <row r="42" spans="2:15" x14ac:dyDescent="0.3">
      <c r="B42" s="78">
        <v>120041</v>
      </c>
      <c r="C42" s="62" t="s">
        <v>98</v>
      </c>
      <c r="E42" s="81">
        <v>310042</v>
      </c>
      <c r="F42" s="55" t="s">
        <v>863</v>
      </c>
      <c r="H42" s="81" t="s">
        <v>2214</v>
      </c>
      <c r="I42" s="55" t="s">
        <v>2215</v>
      </c>
      <c r="N42" t="s">
        <v>1224</v>
      </c>
      <c r="O42" t="s">
        <v>205</v>
      </c>
    </row>
    <row r="43" spans="2:15" x14ac:dyDescent="0.3">
      <c r="B43" s="78">
        <v>120042</v>
      </c>
      <c r="C43" s="62" t="s">
        <v>99</v>
      </c>
      <c r="E43" s="81">
        <v>310043</v>
      </c>
      <c r="F43" s="55" t="s">
        <v>1929</v>
      </c>
      <c r="H43" s="81" t="s">
        <v>2216</v>
      </c>
      <c r="I43" s="55" t="s">
        <v>2217</v>
      </c>
      <c r="N43" t="s">
        <v>1225</v>
      </c>
      <c r="O43" t="s">
        <v>253</v>
      </c>
    </row>
    <row r="44" spans="2:15" x14ac:dyDescent="0.3">
      <c r="B44" s="78">
        <v>120043</v>
      </c>
      <c r="C44" s="62" t="s">
        <v>101</v>
      </c>
      <c r="E44" s="81">
        <v>310045</v>
      </c>
      <c r="F44" s="55" t="s">
        <v>1930</v>
      </c>
      <c r="H44" s="81" t="s">
        <v>1898</v>
      </c>
      <c r="I44" s="55" t="s">
        <v>2218</v>
      </c>
      <c r="N44" t="s">
        <v>1226</v>
      </c>
      <c r="O44" t="s">
        <v>206</v>
      </c>
    </row>
    <row r="45" spans="2:15" x14ac:dyDescent="0.3">
      <c r="B45" s="78">
        <v>120044</v>
      </c>
      <c r="C45" s="62" t="s">
        <v>102</v>
      </c>
      <c r="E45" s="81">
        <v>310046</v>
      </c>
      <c r="F45" s="55" t="s">
        <v>2225</v>
      </c>
      <c r="H45" s="81" t="s">
        <v>2219</v>
      </c>
      <c r="I45" s="55" t="s">
        <v>2220</v>
      </c>
      <c r="N45" t="s">
        <v>1227</v>
      </c>
      <c r="O45" t="s">
        <v>207</v>
      </c>
    </row>
    <row r="46" spans="2:15" x14ac:dyDescent="0.3">
      <c r="B46" s="78">
        <v>120045</v>
      </c>
      <c r="C46" s="62" t="s">
        <v>103</v>
      </c>
      <c r="E46" s="81">
        <v>310047</v>
      </c>
      <c r="F46" s="55" t="s">
        <v>3260</v>
      </c>
      <c r="H46" s="81" t="s">
        <v>2221</v>
      </c>
      <c r="I46" s="55" t="s">
        <v>2222</v>
      </c>
      <c r="N46" t="s">
        <v>1228</v>
      </c>
      <c r="O46" t="s">
        <v>11</v>
      </c>
    </row>
    <row r="47" spans="2:15" x14ac:dyDescent="0.3">
      <c r="B47" s="78">
        <v>120046</v>
      </c>
      <c r="C47" s="62" t="s">
        <v>104</v>
      </c>
      <c r="E47" s="81">
        <v>310048</v>
      </c>
      <c r="F47" s="92" t="s">
        <v>3266</v>
      </c>
      <c r="H47" s="81" t="s">
        <v>2223</v>
      </c>
      <c r="I47" s="55" t="s">
        <v>2224</v>
      </c>
      <c r="N47" t="s">
        <v>1229</v>
      </c>
      <c r="O47" t="s">
        <v>254</v>
      </c>
    </row>
    <row r="48" spans="2:15" x14ac:dyDescent="0.3">
      <c r="B48" s="78">
        <v>120047</v>
      </c>
      <c r="C48" s="62" t="s">
        <v>106</v>
      </c>
      <c r="E48" s="81">
        <v>310049</v>
      </c>
      <c r="F48" s="92" t="s">
        <v>3267</v>
      </c>
      <c r="H48" s="81" t="s">
        <v>2226</v>
      </c>
      <c r="I48" s="55" t="s">
        <v>2227</v>
      </c>
      <c r="N48" t="s">
        <v>1230</v>
      </c>
      <c r="O48" t="s">
        <v>208</v>
      </c>
    </row>
    <row r="49" spans="2:15" x14ac:dyDescent="0.3">
      <c r="B49" s="78">
        <v>120048</v>
      </c>
      <c r="C49" s="62" t="s">
        <v>108</v>
      </c>
      <c r="E49" s="81">
        <v>310050</v>
      </c>
      <c r="F49" s="92" t="s">
        <v>3268</v>
      </c>
      <c r="H49" s="55" t="s">
        <v>2228</v>
      </c>
      <c r="I49" s="55" t="s">
        <v>1990</v>
      </c>
      <c r="N49" t="s">
        <v>1231</v>
      </c>
      <c r="O49" t="s">
        <v>255</v>
      </c>
    </row>
    <row r="50" spans="2:15" x14ac:dyDescent="0.3">
      <c r="B50" s="78">
        <v>120049</v>
      </c>
      <c r="C50" s="62" t="s">
        <v>109</v>
      </c>
      <c r="E50" s="81">
        <v>310051</v>
      </c>
      <c r="F50" s="92" t="s">
        <v>3269</v>
      </c>
      <c r="H50" s="55" t="s">
        <v>2229</v>
      </c>
      <c r="I50" s="55" t="s">
        <v>1987</v>
      </c>
      <c r="N50" t="s">
        <v>1232</v>
      </c>
      <c r="O50" t="s">
        <v>256</v>
      </c>
    </row>
    <row r="51" spans="2:15" x14ac:dyDescent="0.3">
      <c r="B51" s="78">
        <v>120050</v>
      </c>
      <c r="C51" s="62" t="s">
        <v>110</v>
      </c>
      <c r="E51" s="81">
        <v>310052</v>
      </c>
      <c r="F51" s="92" t="s">
        <v>3270</v>
      </c>
      <c r="H51" s="55" t="s">
        <v>2230</v>
      </c>
      <c r="I51" s="55" t="s">
        <v>2231</v>
      </c>
      <c r="N51" t="s">
        <v>1233</v>
      </c>
      <c r="O51" t="s">
        <v>257</v>
      </c>
    </row>
    <row r="52" spans="2:15" x14ac:dyDescent="0.3">
      <c r="B52" s="78">
        <v>120051</v>
      </c>
      <c r="C52" s="62" t="s">
        <v>111</v>
      </c>
      <c r="E52" s="81">
        <v>310053</v>
      </c>
      <c r="F52" s="92" t="s">
        <v>3271</v>
      </c>
      <c r="H52" s="55" t="s">
        <v>2232</v>
      </c>
      <c r="I52" s="55" t="s">
        <v>1988</v>
      </c>
      <c r="N52" t="s">
        <v>1234</v>
      </c>
      <c r="O52" t="s">
        <v>258</v>
      </c>
    </row>
    <row r="53" spans="2:15" x14ac:dyDescent="0.3">
      <c r="B53" s="78">
        <v>120052</v>
      </c>
      <c r="C53" s="62" t="s">
        <v>112</v>
      </c>
      <c r="E53" s="81">
        <v>310054</v>
      </c>
      <c r="F53" s="92" t="s">
        <v>3272</v>
      </c>
      <c r="H53" s="55" t="s">
        <v>2233</v>
      </c>
      <c r="I53" s="55" t="s">
        <v>1989</v>
      </c>
      <c r="N53" t="s">
        <v>1235</v>
      </c>
      <c r="O53" t="s">
        <v>259</v>
      </c>
    </row>
    <row r="54" spans="2:15" x14ac:dyDescent="0.3">
      <c r="B54" s="78">
        <v>120053</v>
      </c>
      <c r="C54" s="62" t="s">
        <v>114</v>
      </c>
      <c r="E54" s="81">
        <v>310055</v>
      </c>
      <c r="F54" s="92" t="s">
        <v>3273</v>
      </c>
      <c r="H54" s="55" t="s">
        <v>2234</v>
      </c>
      <c r="I54" s="55" t="s">
        <v>2235</v>
      </c>
      <c r="N54" t="s">
        <v>1236</v>
      </c>
      <c r="O54" t="s">
        <v>260</v>
      </c>
    </row>
    <row r="55" spans="2:15" x14ac:dyDescent="0.3">
      <c r="B55" s="78">
        <v>120054</v>
      </c>
      <c r="C55" s="62" t="s">
        <v>115</v>
      </c>
      <c r="E55" s="81">
        <v>310056</v>
      </c>
      <c r="F55" s="92" t="s">
        <v>3274</v>
      </c>
      <c r="H55" s="55" t="s">
        <v>2236</v>
      </c>
      <c r="I55" s="55" t="s">
        <v>38</v>
      </c>
      <c r="N55" t="s">
        <v>1237</v>
      </c>
      <c r="O55" t="s">
        <v>209</v>
      </c>
    </row>
    <row r="56" spans="2:15" x14ac:dyDescent="0.3">
      <c r="B56" s="78">
        <v>120055</v>
      </c>
      <c r="C56" s="62" t="s">
        <v>116</v>
      </c>
      <c r="E56" s="81">
        <v>310057</v>
      </c>
      <c r="F56" s="92" t="s">
        <v>3275</v>
      </c>
      <c r="N56" t="s">
        <v>1238</v>
      </c>
      <c r="O56" t="s">
        <v>261</v>
      </c>
    </row>
    <row r="57" spans="2:15" x14ac:dyDescent="0.3">
      <c r="B57" s="78">
        <v>120056</v>
      </c>
      <c r="C57" s="62" t="s">
        <v>117</v>
      </c>
      <c r="E57" s="81">
        <v>310058</v>
      </c>
      <c r="F57" s="92" t="s">
        <v>3276</v>
      </c>
      <c r="N57" t="s">
        <v>1239</v>
      </c>
      <c r="O57" t="s">
        <v>12</v>
      </c>
    </row>
    <row r="58" spans="2:15" x14ac:dyDescent="0.3">
      <c r="B58" s="78">
        <v>120057</v>
      </c>
      <c r="C58" s="62" t="s">
        <v>118</v>
      </c>
      <c r="E58" s="81">
        <v>310059</v>
      </c>
      <c r="F58" s="92" t="s">
        <v>3277</v>
      </c>
      <c r="N58" t="s">
        <v>1240</v>
      </c>
      <c r="O58" t="s">
        <v>262</v>
      </c>
    </row>
    <row r="59" spans="2:15" x14ac:dyDescent="0.3">
      <c r="B59" s="78">
        <v>120058</v>
      </c>
      <c r="C59" s="62" t="s">
        <v>119</v>
      </c>
      <c r="E59" s="81">
        <v>310060</v>
      </c>
      <c r="F59" s="92" t="s">
        <v>3278</v>
      </c>
      <c r="N59" t="s">
        <v>1241</v>
      </c>
      <c r="O59" t="s">
        <v>5</v>
      </c>
    </row>
    <row r="60" spans="2:15" x14ac:dyDescent="0.3">
      <c r="B60" s="78">
        <v>120059</v>
      </c>
      <c r="C60" s="62" t="s">
        <v>120</v>
      </c>
      <c r="E60" s="81">
        <v>310061</v>
      </c>
      <c r="F60" s="92" t="s">
        <v>3279</v>
      </c>
      <c r="N60" t="s">
        <v>1242</v>
      </c>
      <c r="O60" t="s">
        <v>13</v>
      </c>
    </row>
    <row r="61" spans="2:15" x14ac:dyDescent="0.3">
      <c r="B61" s="78">
        <v>120060</v>
      </c>
      <c r="C61" s="62" t="s">
        <v>121</v>
      </c>
      <c r="E61" s="81">
        <v>310062</v>
      </c>
      <c r="F61" s="92" t="s">
        <v>3280</v>
      </c>
      <c r="N61" t="s">
        <v>1243</v>
      </c>
      <c r="O61" t="s">
        <v>263</v>
      </c>
    </row>
    <row r="62" spans="2:15" x14ac:dyDescent="0.3">
      <c r="B62" s="78">
        <v>120061</v>
      </c>
      <c r="C62" s="62" t="s">
        <v>122</v>
      </c>
      <c r="E62" s="81">
        <v>310063</v>
      </c>
      <c r="F62" s="92" t="s">
        <v>3281</v>
      </c>
      <c r="N62" t="s">
        <v>1244</v>
      </c>
      <c r="O62" t="s">
        <v>264</v>
      </c>
    </row>
    <row r="63" spans="2:15" x14ac:dyDescent="0.3">
      <c r="B63" s="78">
        <v>120062</v>
      </c>
      <c r="C63" s="62" t="s">
        <v>124</v>
      </c>
      <c r="E63" s="81">
        <v>310064</v>
      </c>
      <c r="F63" s="92" t="s">
        <v>3282</v>
      </c>
      <c r="N63" t="s">
        <v>1245</v>
      </c>
      <c r="O63" t="s">
        <v>265</v>
      </c>
    </row>
    <row r="64" spans="2:15" x14ac:dyDescent="0.3">
      <c r="B64" s="78">
        <v>120063</v>
      </c>
      <c r="C64" s="62" t="s">
        <v>125</v>
      </c>
      <c r="E64" s="81">
        <v>310065</v>
      </c>
      <c r="F64" s="92" t="s">
        <v>3283</v>
      </c>
      <c r="N64" t="s">
        <v>1246</v>
      </c>
      <c r="O64" t="s">
        <v>266</v>
      </c>
    </row>
    <row r="65" spans="2:15" x14ac:dyDescent="0.3">
      <c r="B65" s="78">
        <v>120064</v>
      </c>
      <c r="C65" s="62" t="s">
        <v>126</v>
      </c>
      <c r="E65" s="81">
        <v>310066</v>
      </c>
      <c r="F65" s="92" t="s">
        <v>3284</v>
      </c>
      <c r="I65" s="12"/>
      <c r="N65" t="s">
        <v>1247</v>
      </c>
      <c r="O65" t="s">
        <v>267</v>
      </c>
    </row>
    <row r="66" spans="2:15" x14ac:dyDescent="0.3">
      <c r="B66" s="78">
        <v>120065</v>
      </c>
      <c r="C66" s="62" t="s">
        <v>127</v>
      </c>
      <c r="E66" s="81">
        <v>310067</v>
      </c>
      <c r="F66" s="92" t="s">
        <v>3285</v>
      </c>
      <c r="N66" t="s">
        <v>1248</v>
      </c>
      <c r="O66" t="s">
        <v>268</v>
      </c>
    </row>
    <row r="67" spans="2:15" x14ac:dyDescent="0.3">
      <c r="B67" s="78">
        <v>120066</v>
      </c>
      <c r="C67" s="62" t="s">
        <v>128</v>
      </c>
      <c r="E67" s="81">
        <v>310068</v>
      </c>
      <c r="F67" s="92" t="s">
        <v>3286</v>
      </c>
      <c r="N67" t="s">
        <v>1249</v>
      </c>
      <c r="O67" t="s">
        <v>269</v>
      </c>
    </row>
    <row r="68" spans="2:15" x14ac:dyDescent="0.3">
      <c r="B68" s="78">
        <v>120067</v>
      </c>
      <c r="C68" s="62" t="s">
        <v>129</v>
      </c>
      <c r="E68" s="81">
        <v>310069</v>
      </c>
      <c r="F68" s="92" t="s">
        <v>3287</v>
      </c>
      <c r="N68" t="s">
        <v>1250</v>
      </c>
      <c r="O68" t="s">
        <v>210</v>
      </c>
    </row>
    <row r="69" spans="2:15" x14ac:dyDescent="0.3">
      <c r="B69" s="78">
        <v>120068</v>
      </c>
      <c r="C69" s="62" t="s">
        <v>130</v>
      </c>
      <c r="E69" s="81">
        <v>310070</v>
      </c>
      <c r="F69" s="92" t="s">
        <v>3288</v>
      </c>
      <c r="N69" t="s">
        <v>1251</v>
      </c>
      <c r="O69" t="s">
        <v>211</v>
      </c>
    </row>
    <row r="70" spans="2:15" x14ac:dyDescent="0.3">
      <c r="B70" s="78">
        <v>120069</v>
      </c>
      <c r="C70" s="62" t="s">
        <v>131</v>
      </c>
      <c r="E70" s="81">
        <v>310071</v>
      </c>
      <c r="F70" s="92" t="s">
        <v>3289</v>
      </c>
      <c r="N70" t="s">
        <v>1252</v>
      </c>
      <c r="O70" t="s">
        <v>270</v>
      </c>
    </row>
    <row r="71" spans="2:15" x14ac:dyDescent="0.3">
      <c r="B71" s="78">
        <v>120070</v>
      </c>
      <c r="C71" s="62" t="s">
        <v>132</v>
      </c>
      <c r="E71" s="81">
        <v>310072</v>
      </c>
      <c r="F71" s="92" t="s">
        <v>3290</v>
      </c>
      <c r="N71" t="s">
        <v>1253</v>
      </c>
      <c r="O71" t="s">
        <v>14</v>
      </c>
    </row>
    <row r="72" spans="2:15" x14ac:dyDescent="0.3">
      <c r="B72" s="78">
        <v>120071</v>
      </c>
      <c r="C72" s="62" t="s">
        <v>133</v>
      </c>
      <c r="E72" s="81">
        <v>310073</v>
      </c>
      <c r="F72" s="55" t="s">
        <v>3265</v>
      </c>
      <c r="N72" t="s">
        <v>1254</v>
      </c>
      <c r="O72" t="s">
        <v>271</v>
      </c>
    </row>
    <row r="73" spans="2:15" x14ac:dyDescent="0.3">
      <c r="B73" s="78">
        <v>120072</v>
      </c>
      <c r="C73" s="62" t="s">
        <v>134</v>
      </c>
      <c r="E73" s="81">
        <v>310074</v>
      </c>
      <c r="F73" s="92" t="s">
        <v>3296</v>
      </c>
      <c r="N73" t="s">
        <v>1255</v>
      </c>
      <c r="O73" t="s">
        <v>272</v>
      </c>
    </row>
    <row r="74" spans="2:15" x14ac:dyDescent="0.3">
      <c r="B74" s="78">
        <v>120073</v>
      </c>
      <c r="C74" s="62" t="s">
        <v>136</v>
      </c>
      <c r="E74" s="81">
        <v>310075</v>
      </c>
      <c r="F74" s="55" t="s">
        <v>3297</v>
      </c>
      <c r="N74" t="s">
        <v>1256</v>
      </c>
      <c r="O74" t="s">
        <v>212</v>
      </c>
    </row>
    <row r="75" spans="2:15" x14ac:dyDescent="0.3">
      <c r="B75" s="78">
        <v>120074</v>
      </c>
      <c r="C75" s="62" t="s">
        <v>137</v>
      </c>
      <c r="E75" s="333">
        <v>310076</v>
      </c>
      <c r="F75" s="92" t="s">
        <v>3301</v>
      </c>
      <c r="N75" t="s">
        <v>1257</v>
      </c>
      <c r="O75" t="s">
        <v>213</v>
      </c>
    </row>
    <row r="76" spans="2:15" x14ac:dyDescent="0.3">
      <c r="B76" s="78">
        <v>120075</v>
      </c>
      <c r="C76" s="62" t="s">
        <v>138</v>
      </c>
      <c r="E76" s="333">
        <v>310077</v>
      </c>
      <c r="F76" s="55" t="s">
        <v>3303</v>
      </c>
      <c r="I76" s="11"/>
      <c r="N76" t="s">
        <v>1258</v>
      </c>
      <c r="O76" t="s">
        <v>273</v>
      </c>
    </row>
    <row r="77" spans="2:15" x14ac:dyDescent="0.3">
      <c r="B77" s="78">
        <v>120076</v>
      </c>
      <c r="C77" s="62" t="s">
        <v>139</v>
      </c>
      <c r="I77" s="11"/>
      <c r="N77" t="s">
        <v>1259</v>
      </c>
      <c r="O77" t="s">
        <v>274</v>
      </c>
    </row>
    <row r="78" spans="2:15" x14ac:dyDescent="0.3">
      <c r="B78" s="78">
        <v>120077</v>
      </c>
      <c r="C78" s="62" t="s">
        <v>2337</v>
      </c>
      <c r="N78" t="s">
        <v>1260</v>
      </c>
      <c r="O78" t="s">
        <v>15</v>
      </c>
    </row>
    <row r="79" spans="2:15" x14ac:dyDescent="0.3">
      <c r="B79" s="78">
        <v>120078</v>
      </c>
      <c r="C79" s="62" t="s">
        <v>140</v>
      </c>
      <c r="F79" s="11"/>
      <c r="I79" s="11"/>
      <c r="N79" t="s">
        <v>1261</v>
      </c>
      <c r="O79" t="s">
        <v>275</v>
      </c>
    </row>
    <row r="80" spans="2:15" x14ac:dyDescent="0.3">
      <c r="B80" s="78">
        <v>120079</v>
      </c>
      <c r="C80" s="62" t="s">
        <v>141</v>
      </c>
      <c r="F80" s="11"/>
      <c r="N80" t="s">
        <v>1262</v>
      </c>
      <c r="O80" t="s">
        <v>276</v>
      </c>
    </row>
    <row r="81" spans="2:15" x14ac:dyDescent="0.3">
      <c r="B81" s="78">
        <v>120080</v>
      </c>
      <c r="C81" s="62" t="s">
        <v>142</v>
      </c>
      <c r="F81" s="11"/>
      <c r="I81" s="11"/>
      <c r="N81" t="s">
        <v>1263</v>
      </c>
      <c r="O81" t="s">
        <v>214</v>
      </c>
    </row>
    <row r="82" spans="2:15" x14ac:dyDescent="0.3">
      <c r="B82" s="78">
        <v>120081</v>
      </c>
      <c r="C82" s="62" t="s">
        <v>143</v>
      </c>
      <c r="F82" s="11"/>
      <c r="I82" s="11"/>
      <c r="N82" t="s">
        <v>1264</v>
      </c>
      <c r="O82" t="s">
        <v>277</v>
      </c>
    </row>
    <row r="83" spans="2:15" x14ac:dyDescent="0.3">
      <c r="B83" s="78">
        <v>120082</v>
      </c>
      <c r="C83" s="62" t="s">
        <v>144</v>
      </c>
      <c r="F83" s="11"/>
      <c r="I83" s="11"/>
      <c r="N83" t="s">
        <v>1265</v>
      </c>
      <c r="O83" t="s">
        <v>278</v>
      </c>
    </row>
    <row r="84" spans="2:15" x14ac:dyDescent="0.3">
      <c r="B84" s="78">
        <v>120083</v>
      </c>
      <c r="C84" s="62" t="s">
        <v>3302</v>
      </c>
      <c r="F84" s="11"/>
      <c r="I84" s="11"/>
      <c r="N84" t="s">
        <v>1266</v>
      </c>
      <c r="O84" t="s">
        <v>279</v>
      </c>
    </row>
    <row r="85" spans="2:15" x14ac:dyDescent="0.3">
      <c r="B85" s="78">
        <v>120084</v>
      </c>
      <c r="C85" s="62" t="s">
        <v>2338</v>
      </c>
      <c r="I85" s="11"/>
      <c r="N85" t="s">
        <v>1267</v>
      </c>
      <c r="O85" t="s">
        <v>215</v>
      </c>
    </row>
    <row r="86" spans="2:15" x14ac:dyDescent="0.3">
      <c r="B86" s="78">
        <v>120085</v>
      </c>
      <c r="C86" s="62" t="s">
        <v>146</v>
      </c>
      <c r="N86" t="s">
        <v>1268</v>
      </c>
      <c r="O86" t="s">
        <v>280</v>
      </c>
    </row>
    <row r="87" spans="2:15" x14ac:dyDescent="0.3">
      <c r="B87" s="78">
        <v>120086</v>
      </c>
      <c r="C87" s="62" t="s">
        <v>147</v>
      </c>
      <c r="N87" t="s">
        <v>1269</v>
      </c>
      <c r="O87" t="s">
        <v>281</v>
      </c>
    </row>
    <row r="88" spans="2:15" x14ac:dyDescent="0.3">
      <c r="B88" s="78">
        <v>120087</v>
      </c>
      <c r="C88" s="62" t="s">
        <v>148</v>
      </c>
      <c r="N88" t="s">
        <v>1270</v>
      </c>
      <c r="O88" t="s">
        <v>282</v>
      </c>
    </row>
    <row r="89" spans="2:15" x14ac:dyDescent="0.3">
      <c r="B89" s="78">
        <v>120088</v>
      </c>
      <c r="C89" s="62" t="s">
        <v>149</v>
      </c>
      <c r="N89" t="s">
        <v>1271</v>
      </c>
      <c r="O89" t="s">
        <v>6</v>
      </c>
    </row>
    <row r="90" spans="2:15" x14ac:dyDescent="0.3">
      <c r="B90" s="78">
        <v>120089</v>
      </c>
      <c r="C90" s="62" t="s">
        <v>150</v>
      </c>
      <c r="N90" t="s">
        <v>1272</v>
      </c>
      <c r="O90" t="s">
        <v>283</v>
      </c>
    </row>
    <row r="91" spans="2:15" x14ac:dyDescent="0.3">
      <c r="B91" s="78">
        <v>120090</v>
      </c>
      <c r="C91" s="62" t="s">
        <v>151</v>
      </c>
      <c r="F91" s="11"/>
      <c r="N91" t="s">
        <v>1273</v>
      </c>
      <c r="O91" t="s">
        <v>284</v>
      </c>
    </row>
    <row r="92" spans="2:15" x14ac:dyDescent="0.3">
      <c r="B92" s="78">
        <v>120091</v>
      </c>
      <c r="C92" s="62" t="s">
        <v>152</v>
      </c>
      <c r="F92" s="11"/>
      <c r="N92" t="s">
        <v>1274</v>
      </c>
      <c r="O92" t="s">
        <v>285</v>
      </c>
    </row>
    <row r="93" spans="2:15" x14ac:dyDescent="0.3">
      <c r="B93" s="78">
        <v>120092</v>
      </c>
      <c r="C93" s="62" t="s">
        <v>153</v>
      </c>
      <c r="F93" s="11"/>
      <c r="N93" t="s">
        <v>1275</v>
      </c>
      <c r="O93" t="s">
        <v>286</v>
      </c>
    </row>
    <row r="94" spans="2:15" x14ac:dyDescent="0.3">
      <c r="B94" s="78">
        <v>120093</v>
      </c>
      <c r="C94" s="62" t="s">
        <v>154</v>
      </c>
      <c r="F94" s="11"/>
      <c r="N94" t="s">
        <v>1276</v>
      </c>
      <c r="O94" t="s">
        <v>113</v>
      </c>
    </row>
    <row r="95" spans="2:15" x14ac:dyDescent="0.3">
      <c r="B95" s="78">
        <v>120094</v>
      </c>
      <c r="C95" s="62" t="s">
        <v>155</v>
      </c>
      <c r="F95" s="11"/>
      <c r="N95" t="s">
        <v>1277</v>
      </c>
      <c r="O95" t="s">
        <v>287</v>
      </c>
    </row>
    <row r="96" spans="2:15" x14ac:dyDescent="0.3">
      <c r="B96" s="78">
        <v>120095</v>
      </c>
      <c r="C96" s="62" t="s">
        <v>156</v>
      </c>
      <c r="F96" s="11"/>
      <c r="N96" t="s">
        <v>1278</v>
      </c>
      <c r="O96" t="s">
        <v>216</v>
      </c>
    </row>
    <row r="97" spans="2:15" x14ac:dyDescent="0.3">
      <c r="B97" s="78">
        <v>120096</v>
      </c>
      <c r="C97" s="62" t="s">
        <v>157</v>
      </c>
      <c r="F97" s="11"/>
      <c r="N97" t="s">
        <v>1279</v>
      </c>
      <c r="O97" t="s">
        <v>288</v>
      </c>
    </row>
    <row r="98" spans="2:15" x14ac:dyDescent="0.3">
      <c r="B98" s="78">
        <v>120097</v>
      </c>
      <c r="C98" s="62" t="s">
        <v>158</v>
      </c>
      <c r="F98" s="11"/>
      <c r="N98" t="s">
        <v>1280</v>
      </c>
      <c r="O98" t="s">
        <v>16</v>
      </c>
    </row>
    <row r="99" spans="2:15" x14ac:dyDescent="0.3">
      <c r="B99" s="78">
        <v>120098</v>
      </c>
      <c r="C99" s="62" t="s">
        <v>159</v>
      </c>
      <c r="N99" t="s">
        <v>1281</v>
      </c>
      <c r="O99" t="s">
        <v>289</v>
      </c>
    </row>
    <row r="100" spans="2:15" x14ac:dyDescent="0.3">
      <c r="B100" s="78">
        <v>120099</v>
      </c>
      <c r="C100" s="62" t="s">
        <v>160</v>
      </c>
      <c r="F100" s="11"/>
      <c r="N100" t="s">
        <v>1282</v>
      </c>
      <c r="O100" t="s">
        <v>290</v>
      </c>
    </row>
    <row r="101" spans="2:15" x14ac:dyDescent="0.3">
      <c r="B101" s="78">
        <v>120100</v>
      </c>
      <c r="C101" s="62" t="s">
        <v>161</v>
      </c>
      <c r="F101" s="11"/>
      <c r="N101" t="s">
        <v>1283</v>
      </c>
      <c r="O101" t="s">
        <v>291</v>
      </c>
    </row>
    <row r="102" spans="2:15" x14ac:dyDescent="0.3">
      <c r="B102" s="78">
        <v>120101</v>
      </c>
      <c r="C102" s="62" t="s">
        <v>162</v>
      </c>
      <c r="F102" s="11"/>
      <c r="N102" t="s">
        <v>1284</v>
      </c>
      <c r="O102" t="s">
        <v>292</v>
      </c>
    </row>
    <row r="103" spans="2:15" x14ac:dyDescent="0.3">
      <c r="B103" s="78">
        <v>120102</v>
      </c>
      <c r="C103" s="62" t="s">
        <v>163</v>
      </c>
      <c r="F103" s="11"/>
      <c r="N103" t="s">
        <v>1285</v>
      </c>
      <c r="O103" t="s">
        <v>293</v>
      </c>
    </row>
    <row r="104" spans="2:15" x14ac:dyDescent="0.3">
      <c r="B104" s="78">
        <v>120103</v>
      </c>
      <c r="C104" s="62" t="s">
        <v>164</v>
      </c>
      <c r="F104" s="11"/>
      <c r="N104" t="s">
        <v>1286</v>
      </c>
      <c r="O104" t="s">
        <v>294</v>
      </c>
    </row>
    <row r="105" spans="2:15" x14ac:dyDescent="0.3">
      <c r="B105" s="78">
        <v>120104</v>
      </c>
      <c r="C105" s="62" t="s">
        <v>165</v>
      </c>
      <c r="F105" s="11"/>
      <c r="N105" t="s">
        <v>1287</v>
      </c>
      <c r="O105" t="s">
        <v>295</v>
      </c>
    </row>
    <row r="106" spans="2:15" x14ac:dyDescent="0.3">
      <c r="B106" s="78">
        <v>120105</v>
      </c>
      <c r="C106" s="62" t="s">
        <v>166</v>
      </c>
      <c r="F106" s="11"/>
      <c r="N106" t="s">
        <v>1288</v>
      </c>
      <c r="O106" t="s">
        <v>296</v>
      </c>
    </row>
    <row r="107" spans="2:15" x14ac:dyDescent="0.3">
      <c r="B107" s="78">
        <v>120106</v>
      </c>
      <c r="C107" s="62" t="s">
        <v>167</v>
      </c>
      <c r="F107" s="11"/>
      <c r="N107" t="s">
        <v>1289</v>
      </c>
      <c r="O107" t="s">
        <v>297</v>
      </c>
    </row>
    <row r="108" spans="2:15" x14ac:dyDescent="0.3">
      <c r="B108" s="78">
        <v>120107</v>
      </c>
      <c r="C108" s="62" t="s">
        <v>168</v>
      </c>
      <c r="F108" s="11"/>
      <c r="N108" t="s">
        <v>1290</v>
      </c>
      <c r="O108" t="s">
        <v>298</v>
      </c>
    </row>
    <row r="109" spans="2:15" x14ac:dyDescent="0.3">
      <c r="B109" s="78">
        <v>120108</v>
      </c>
      <c r="C109" s="62" t="s">
        <v>76</v>
      </c>
      <c r="F109" s="11"/>
      <c r="N109" t="s">
        <v>1291</v>
      </c>
      <c r="O109" t="s">
        <v>299</v>
      </c>
    </row>
    <row r="110" spans="2:15" x14ac:dyDescent="0.3">
      <c r="B110" s="78">
        <v>120109</v>
      </c>
      <c r="C110" s="62" t="s">
        <v>170</v>
      </c>
      <c r="F110" s="11"/>
      <c r="N110" t="s">
        <v>1292</v>
      </c>
      <c r="O110" t="s">
        <v>300</v>
      </c>
    </row>
    <row r="111" spans="2:15" x14ac:dyDescent="0.3">
      <c r="B111" s="78">
        <v>120110</v>
      </c>
      <c r="C111" s="62" t="s">
        <v>171</v>
      </c>
      <c r="F111" s="11"/>
      <c r="N111" t="s">
        <v>1293</v>
      </c>
      <c r="O111" t="s">
        <v>301</v>
      </c>
    </row>
    <row r="112" spans="2:15" x14ac:dyDescent="0.3">
      <c r="B112" s="78">
        <v>120111</v>
      </c>
      <c r="C112" s="62" t="s">
        <v>172</v>
      </c>
      <c r="F112" s="11"/>
      <c r="N112" t="s">
        <v>1294</v>
      </c>
      <c r="O112" t="s">
        <v>302</v>
      </c>
    </row>
    <row r="113" spans="2:15" x14ac:dyDescent="0.3">
      <c r="B113" s="78">
        <v>120112</v>
      </c>
      <c r="C113" s="62" t="s">
        <v>173</v>
      </c>
      <c r="F113" s="11"/>
      <c r="N113" t="s">
        <v>1295</v>
      </c>
      <c r="O113" t="s">
        <v>303</v>
      </c>
    </row>
    <row r="114" spans="2:15" x14ac:dyDescent="0.3">
      <c r="B114" s="78">
        <v>120113</v>
      </c>
      <c r="C114" s="62" t="s">
        <v>174</v>
      </c>
      <c r="F114" s="11"/>
      <c r="N114" t="s">
        <v>1296</v>
      </c>
      <c r="O114" t="s">
        <v>304</v>
      </c>
    </row>
    <row r="115" spans="2:15" x14ac:dyDescent="0.3">
      <c r="B115" s="78">
        <v>120114</v>
      </c>
      <c r="C115" s="62" t="s">
        <v>176</v>
      </c>
      <c r="F115" s="11"/>
      <c r="N115" t="s">
        <v>1297</v>
      </c>
      <c r="O115" t="s">
        <v>305</v>
      </c>
    </row>
    <row r="116" spans="2:15" x14ac:dyDescent="0.3">
      <c r="B116" s="78">
        <v>120115</v>
      </c>
      <c r="C116" s="62" t="s">
        <v>177</v>
      </c>
      <c r="F116" s="11"/>
      <c r="N116" t="s">
        <v>1298</v>
      </c>
      <c r="O116" t="s">
        <v>317</v>
      </c>
    </row>
    <row r="117" spans="2:15" x14ac:dyDescent="0.3">
      <c r="B117" s="78">
        <v>120116</v>
      </c>
      <c r="C117" s="62" t="s">
        <v>178</v>
      </c>
      <c r="N117" t="s">
        <v>1299</v>
      </c>
      <c r="O117" t="s">
        <v>17</v>
      </c>
    </row>
    <row r="118" spans="2:15" x14ac:dyDescent="0.3">
      <c r="B118" s="78">
        <v>120117</v>
      </c>
      <c r="C118" s="62" t="s">
        <v>179</v>
      </c>
      <c r="F118" s="11"/>
      <c r="N118" t="s">
        <v>1300</v>
      </c>
      <c r="O118" t="s">
        <v>217</v>
      </c>
    </row>
    <row r="119" spans="2:15" x14ac:dyDescent="0.3">
      <c r="B119" s="78">
        <v>120118</v>
      </c>
      <c r="C119" s="62" t="s">
        <v>180</v>
      </c>
      <c r="F119" s="11"/>
      <c r="N119" t="s">
        <v>1301</v>
      </c>
      <c r="O119" t="s">
        <v>306</v>
      </c>
    </row>
    <row r="120" spans="2:15" x14ac:dyDescent="0.3">
      <c r="B120" s="78">
        <v>120119</v>
      </c>
      <c r="C120" s="62" t="s">
        <v>182</v>
      </c>
      <c r="F120" s="11"/>
      <c r="N120" t="s">
        <v>1302</v>
      </c>
      <c r="O120" t="s">
        <v>307</v>
      </c>
    </row>
    <row r="121" spans="2:15" x14ac:dyDescent="0.3">
      <c r="B121" s="78">
        <v>120120</v>
      </c>
      <c r="C121" s="62" t="s">
        <v>184</v>
      </c>
      <c r="F121" s="11"/>
      <c r="N121" t="s">
        <v>1303</v>
      </c>
      <c r="O121" t="s">
        <v>308</v>
      </c>
    </row>
    <row r="122" spans="2:15" x14ac:dyDescent="0.3">
      <c r="B122" s="78">
        <v>120121</v>
      </c>
      <c r="C122" s="62" t="s">
        <v>185</v>
      </c>
      <c r="F122" s="11"/>
      <c r="N122" t="s">
        <v>1304</v>
      </c>
      <c r="O122" t="s">
        <v>309</v>
      </c>
    </row>
    <row r="123" spans="2:15" x14ac:dyDescent="0.3">
      <c r="B123" s="78">
        <v>120122</v>
      </c>
      <c r="C123" s="62" t="s">
        <v>186</v>
      </c>
      <c r="F123" s="11"/>
      <c r="N123" t="s">
        <v>1305</v>
      </c>
      <c r="O123" t="s">
        <v>310</v>
      </c>
    </row>
    <row r="124" spans="2:15" x14ac:dyDescent="0.3">
      <c r="B124" s="78">
        <v>120123</v>
      </c>
      <c r="C124" s="62" t="s">
        <v>187</v>
      </c>
      <c r="N124" t="s">
        <v>1306</v>
      </c>
      <c r="O124" t="s">
        <v>311</v>
      </c>
    </row>
    <row r="125" spans="2:15" x14ac:dyDescent="0.3">
      <c r="B125" s="78">
        <v>120124</v>
      </c>
      <c r="C125" s="62" t="s">
        <v>188</v>
      </c>
      <c r="N125" t="s">
        <v>1307</v>
      </c>
      <c r="O125" t="s">
        <v>312</v>
      </c>
    </row>
    <row r="126" spans="2:15" x14ac:dyDescent="0.3">
      <c r="B126" s="78">
        <v>120125</v>
      </c>
      <c r="C126" s="62" t="s">
        <v>189</v>
      </c>
      <c r="F126" s="11"/>
      <c r="N126" t="s">
        <v>1308</v>
      </c>
      <c r="O126" t="s">
        <v>313</v>
      </c>
    </row>
    <row r="127" spans="2:15" x14ac:dyDescent="0.3">
      <c r="B127" s="78">
        <v>120126</v>
      </c>
      <c r="C127" s="62" t="s">
        <v>190</v>
      </c>
      <c r="F127" s="11"/>
      <c r="N127" t="s">
        <v>1309</v>
      </c>
      <c r="O127" t="s">
        <v>314</v>
      </c>
    </row>
    <row r="128" spans="2:15" x14ac:dyDescent="0.3">
      <c r="B128" s="78">
        <v>120127</v>
      </c>
      <c r="C128" s="62" t="s">
        <v>863</v>
      </c>
      <c r="F128" s="11"/>
      <c r="N128" t="s">
        <v>1310</v>
      </c>
      <c r="O128" t="s">
        <v>315</v>
      </c>
    </row>
    <row r="129" spans="2:15" x14ac:dyDescent="0.3">
      <c r="B129" s="78">
        <v>120128</v>
      </c>
      <c r="C129" s="62" t="s">
        <v>854</v>
      </c>
      <c r="F129" s="11"/>
      <c r="N129" t="s">
        <v>1311</v>
      </c>
      <c r="O129" t="s">
        <v>316</v>
      </c>
    </row>
    <row r="130" spans="2:15" x14ac:dyDescent="0.3">
      <c r="B130" s="78">
        <v>120129</v>
      </c>
      <c r="C130" s="62" t="s">
        <v>191</v>
      </c>
      <c r="F130" s="11"/>
      <c r="N130" t="s">
        <v>1312</v>
      </c>
      <c r="O130" t="s">
        <v>218</v>
      </c>
    </row>
    <row r="131" spans="2:15" x14ac:dyDescent="0.3">
      <c r="B131" s="78">
        <v>120130</v>
      </c>
      <c r="C131" s="62" t="s">
        <v>192</v>
      </c>
      <c r="F131" s="11"/>
      <c r="N131" t="s">
        <v>1313</v>
      </c>
      <c r="O131" t="s">
        <v>219</v>
      </c>
    </row>
    <row r="132" spans="2:15" x14ac:dyDescent="0.3">
      <c r="B132" s="78">
        <v>120131</v>
      </c>
      <c r="C132" s="62" t="s">
        <v>193</v>
      </c>
      <c r="F132" s="11"/>
      <c r="N132" t="s">
        <v>1314</v>
      </c>
      <c r="O132" t="s">
        <v>220</v>
      </c>
    </row>
    <row r="133" spans="2:15" x14ac:dyDescent="0.3">
      <c r="B133" s="78">
        <v>120132</v>
      </c>
      <c r="C133" s="62" t="s">
        <v>1911</v>
      </c>
      <c r="F133" s="11"/>
      <c r="N133" t="s">
        <v>1315</v>
      </c>
      <c r="O133" t="s">
        <v>221</v>
      </c>
    </row>
    <row r="134" spans="2:15" x14ac:dyDescent="0.3">
      <c r="B134" s="78">
        <v>120133</v>
      </c>
      <c r="C134" s="62" t="s">
        <v>1912</v>
      </c>
      <c r="N134" t="s">
        <v>1316</v>
      </c>
      <c r="O134" t="s">
        <v>222</v>
      </c>
    </row>
    <row r="135" spans="2:15" x14ac:dyDescent="0.3">
      <c r="B135" s="78">
        <v>120134</v>
      </c>
      <c r="C135" s="62" t="s">
        <v>1913</v>
      </c>
      <c r="N135" t="s">
        <v>1317</v>
      </c>
      <c r="O135" t="s">
        <v>8</v>
      </c>
    </row>
    <row r="136" spans="2:15" x14ac:dyDescent="0.3">
      <c r="B136" s="78">
        <v>120135</v>
      </c>
      <c r="C136" s="62" t="s">
        <v>1914</v>
      </c>
      <c r="N136" t="s">
        <v>1318</v>
      </c>
      <c r="O136" t="s">
        <v>190</v>
      </c>
    </row>
    <row r="137" spans="2:15" x14ac:dyDescent="0.3">
      <c r="B137" s="78">
        <v>120136</v>
      </c>
      <c r="C137" s="62" t="s">
        <v>1915</v>
      </c>
      <c r="N137" t="s">
        <v>1319</v>
      </c>
      <c r="O137" t="s">
        <v>223</v>
      </c>
    </row>
    <row r="138" spans="2:15" x14ac:dyDescent="0.3">
      <c r="B138" s="78">
        <v>120137</v>
      </c>
      <c r="C138" s="62" t="s">
        <v>1916</v>
      </c>
      <c r="N138" t="s">
        <v>1320</v>
      </c>
      <c r="O138" t="s">
        <v>224</v>
      </c>
    </row>
    <row r="139" spans="2:15" x14ac:dyDescent="0.3">
      <c r="B139" s="78">
        <v>120138</v>
      </c>
      <c r="C139" s="62" t="s">
        <v>1917</v>
      </c>
      <c r="N139" t="s">
        <v>1321</v>
      </c>
      <c r="O139" t="s">
        <v>225</v>
      </c>
    </row>
    <row r="140" spans="2:15" x14ac:dyDescent="0.3">
      <c r="B140" s="78">
        <v>120139</v>
      </c>
      <c r="C140" s="62" t="s">
        <v>1918</v>
      </c>
      <c r="N140" t="s">
        <v>1322</v>
      </c>
      <c r="O140" t="s">
        <v>226</v>
      </c>
    </row>
    <row r="141" spans="2:15" x14ac:dyDescent="0.3">
      <c r="B141" s="78">
        <v>120140</v>
      </c>
      <c r="C141" s="62" t="s">
        <v>1919</v>
      </c>
      <c r="N141" t="s">
        <v>1323</v>
      </c>
      <c r="O141" t="s">
        <v>227</v>
      </c>
    </row>
    <row r="142" spans="2:15" x14ac:dyDescent="0.3">
      <c r="B142" s="78">
        <v>120141</v>
      </c>
      <c r="C142" s="62" t="s">
        <v>1920</v>
      </c>
      <c r="N142" t="s">
        <v>1324</v>
      </c>
      <c r="O142" t="s">
        <v>228</v>
      </c>
    </row>
    <row r="143" spans="2:15" x14ac:dyDescent="0.3">
      <c r="B143" s="78">
        <v>120142</v>
      </c>
      <c r="C143" s="62" t="s">
        <v>1921</v>
      </c>
      <c r="N143" t="s">
        <v>1325</v>
      </c>
      <c r="O143" t="s">
        <v>229</v>
      </c>
    </row>
    <row r="144" spans="2:15" x14ac:dyDescent="0.3">
      <c r="B144" s="78">
        <v>120143</v>
      </c>
      <c r="C144" s="62" t="s">
        <v>1922</v>
      </c>
      <c r="N144" t="s">
        <v>1326</v>
      </c>
      <c r="O144" t="s">
        <v>318</v>
      </c>
    </row>
    <row r="145" spans="2:15" x14ac:dyDescent="0.3">
      <c r="B145" s="78">
        <v>120144</v>
      </c>
      <c r="C145" s="62" t="s">
        <v>1923</v>
      </c>
      <c r="N145" t="s">
        <v>1327</v>
      </c>
      <c r="O145" t="s">
        <v>319</v>
      </c>
    </row>
    <row r="146" spans="2:15" x14ac:dyDescent="0.3">
      <c r="B146" s="78">
        <v>120145</v>
      </c>
      <c r="C146" s="62" t="s">
        <v>1924</v>
      </c>
      <c r="N146" t="s">
        <v>1328</v>
      </c>
      <c r="O146" t="s">
        <v>320</v>
      </c>
    </row>
    <row r="147" spans="2:15" x14ac:dyDescent="0.3">
      <c r="B147" s="78">
        <v>120146</v>
      </c>
      <c r="C147" s="62" t="s">
        <v>1925</v>
      </c>
      <c r="N147" t="s">
        <v>1329</v>
      </c>
      <c r="O147" t="s">
        <v>321</v>
      </c>
    </row>
    <row r="148" spans="2:15" x14ac:dyDescent="0.3">
      <c r="B148" s="78">
        <v>120147</v>
      </c>
      <c r="C148" s="62" t="s">
        <v>1926</v>
      </c>
      <c r="N148" t="s">
        <v>1330</v>
      </c>
      <c r="O148" t="s">
        <v>322</v>
      </c>
    </row>
    <row r="149" spans="2:15" x14ac:dyDescent="0.3">
      <c r="B149" s="78">
        <v>120148</v>
      </c>
      <c r="C149" s="62" t="s">
        <v>1927</v>
      </c>
      <c r="N149" t="s">
        <v>1331</v>
      </c>
      <c r="O149" t="s">
        <v>323</v>
      </c>
    </row>
    <row r="150" spans="2:15" x14ac:dyDescent="0.3">
      <c r="B150" s="78">
        <v>120149</v>
      </c>
      <c r="C150" s="62" t="s">
        <v>1928</v>
      </c>
      <c r="N150" t="s">
        <v>1332</v>
      </c>
      <c r="O150" t="s">
        <v>324</v>
      </c>
    </row>
    <row r="151" spans="2:15" x14ac:dyDescent="0.3">
      <c r="B151" s="78">
        <v>120150</v>
      </c>
      <c r="C151" s="62" t="s">
        <v>2237</v>
      </c>
      <c r="N151" t="s">
        <v>1333</v>
      </c>
      <c r="O151" t="s">
        <v>325</v>
      </c>
    </row>
    <row r="152" spans="2:15" x14ac:dyDescent="0.3">
      <c r="B152" s="78">
        <v>120151</v>
      </c>
      <c r="C152" s="62" t="s">
        <v>3259</v>
      </c>
      <c r="F152" s="11"/>
      <c r="N152" t="s">
        <v>1334</v>
      </c>
      <c r="O152" t="s">
        <v>326</v>
      </c>
    </row>
    <row r="153" spans="2:15" x14ac:dyDescent="0.3">
      <c r="B153" s="78">
        <v>120152</v>
      </c>
      <c r="C153" s="55" t="s">
        <v>3261</v>
      </c>
      <c r="F153" s="11"/>
      <c r="N153" t="s">
        <v>1335</v>
      </c>
      <c r="O153" t="s">
        <v>327</v>
      </c>
    </row>
    <row r="154" spans="2:15" x14ac:dyDescent="0.3">
      <c r="B154" s="78">
        <v>120153</v>
      </c>
      <c r="C154" s="55" t="s">
        <v>3262</v>
      </c>
      <c r="F154" s="11"/>
      <c r="N154" t="s">
        <v>1336</v>
      </c>
      <c r="O154" t="s">
        <v>328</v>
      </c>
    </row>
    <row r="155" spans="2:15" x14ac:dyDescent="0.3">
      <c r="B155" s="78">
        <v>120154</v>
      </c>
      <c r="C155" s="55" t="s">
        <v>3263</v>
      </c>
      <c r="F155" s="11"/>
      <c r="N155" t="s">
        <v>1337</v>
      </c>
      <c r="O155" t="s">
        <v>329</v>
      </c>
    </row>
    <row r="156" spans="2:15" x14ac:dyDescent="0.3">
      <c r="B156" s="78">
        <v>120155</v>
      </c>
      <c r="C156" s="55" t="s">
        <v>3264</v>
      </c>
      <c r="F156" s="11"/>
      <c r="N156" t="s">
        <v>1338</v>
      </c>
      <c r="O156" t="s">
        <v>330</v>
      </c>
    </row>
    <row r="157" spans="2:15" x14ac:dyDescent="0.3">
      <c r="B157" s="78">
        <v>120156</v>
      </c>
      <c r="C157" s="55" t="s">
        <v>3265</v>
      </c>
      <c r="N157" t="s">
        <v>1339</v>
      </c>
      <c r="O157" t="s">
        <v>331</v>
      </c>
    </row>
    <row r="158" spans="2:15" x14ac:dyDescent="0.3">
      <c r="B158" s="78">
        <v>120157</v>
      </c>
      <c r="C158" s="55" t="s">
        <v>3294</v>
      </c>
      <c r="F158" s="11"/>
      <c r="N158" t="s">
        <v>1340</v>
      </c>
      <c r="O158" t="s">
        <v>332</v>
      </c>
    </row>
    <row r="159" spans="2:15" x14ac:dyDescent="0.3">
      <c r="B159" s="78">
        <v>120158</v>
      </c>
      <c r="C159" s="55" t="s">
        <v>3295</v>
      </c>
      <c r="F159" s="11"/>
      <c r="N159" t="s">
        <v>1341</v>
      </c>
      <c r="O159" t="s">
        <v>333</v>
      </c>
    </row>
    <row r="160" spans="2:15" x14ac:dyDescent="0.3">
      <c r="B160" s="78">
        <v>120159</v>
      </c>
      <c r="C160" s="55" t="s">
        <v>3298</v>
      </c>
      <c r="F160" s="11"/>
      <c r="N160" t="s">
        <v>1342</v>
      </c>
      <c r="O160" t="s">
        <v>334</v>
      </c>
    </row>
    <row r="161" spans="2:15" x14ac:dyDescent="0.3">
      <c r="B161" s="78">
        <v>120160</v>
      </c>
      <c r="C161" s="55" t="s">
        <v>3299</v>
      </c>
      <c r="F161" s="11"/>
      <c r="N161" t="s">
        <v>1343</v>
      </c>
      <c r="O161" t="s">
        <v>335</v>
      </c>
    </row>
    <row r="162" spans="2:15" x14ac:dyDescent="0.3">
      <c r="B162" s="78">
        <v>120160</v>
      </c>
      <c r="C162" s="55" t="s">
        <v>3300</v>
      </c>
      <c r="F162" s="11"/>
      <c r="N162" t="s">
        <v>1344</v>
      </c>
      <c r="O162" t="s">
        <v>336</v>
      </c>
    </row>
    <row r="163" spans="2:15" x14ac:dyDescent="0.3">
      <c r="F163" s="11"/>
      <c r="N163" t="s">
        <v>1345</v>
      </c>
      <c r="O163" t="s">
        <v>337</v>
      </c>
    </row>
    <row r="164" spans="2:15" x14ac:dyDescent="0.3">
      <c r="F164" s="11"/>
      <c r="N164" t="s">
        <v>1346</v>
      </c>
      <c r="O164" t="s">
        <v>338</v>
      </c>
    </row>
    <row r="165" spans="2:15" x14ac:dyDescent="0.3">
      <c r="F165" s="11"/>
      <c r="N165" t="s">
        <v>1347</v>
      </c>
      <c r="O165" t="s">
        <v>339</v>
      </c>
    </row>
    <row r="166" spans="2:15" x14ac:dyDescent="0.3">
      <c r="F166" s="11"/>
      <c r="N166" t="s">
        <v>1348</v>
      </c>
      <c r="O166" t="s">
        <v>340</v>
      </c>
    </row>
    <row r="167" spans="2:15" x14ac:dyDescent="0.3">
      <c r="N167" t="s">
        <v>1349</v>
      </c>
      <c r="O167" t="s">
        <v>341</v>
      </c>
    </row>
    <row r="168" spans="2:15" x14ac:dyDescent="0.3">
      <c r="N168" t="s">
        <v>1350</v>
      </c>
      <c r="O168" t="s">
        <v>342</v>
      </c>
    </row>
    <row r="169" spans="2:15" x14ac:dyDescent="0.3">
      <c r="N169" t="s">
        <v>1351</v>
      </c>
      <c r="O169" t="s">
        <v>343</v>
      </c>
    </row>
    <row r="170" spans="2:15" x14ac:dyDescent="0.3">
      <c r="N170" t="s">
        <v>1352</v>
      </c>
      <c r="O170" t="s">
        <v>344</v>
      </c>
    </row>
    <row r="171" spans="2:15" x14ac:dyDescent="0.3">
      <c r="F171" s="11"/>
      <c r="N171" t="s">
        <v>1353</v>
      </c>
      <c r="O171" t="s">
        <v>345</v>
      </c>
    </row>
    <row r="172" spans="2:15" x14ac:dyDescent="0.3">
      <c r="F172" s="11"/>
      <c r="N172" t="s">
        <v>1354</v>
      </c>
      <c r="O172" t="s">
        <v>346</v>
      </c>
    </row>
    <row r="173" spans="2:15" x14ac:dyDescent="0.3">
      <c r="N173" t="s">
        <v>1355</v>
      </c>
      <c r="O173" t="s">
        <v>347</v>
      </c>
    </row>
    <row r="174" spans="2:15" x14ac:dyDescent="0.3">
      <c r="N174" t="s">
        <v>1356</v>
      </c>
      <c r="O174" t="s">
        <v>348</v>
      </c>
    </row>
    <row r="175" spans="2:15" x14ac:dyDescent="0.3">
      <c r="N175" t="s">
        <v>1357</v>
      </c>
      <c r="O175" t="s">
        <v>349</v>
      </c>
    </row>
    <row r="176" spans="2:15" x14ac:dyDescent="0.3">
      <c r="F176" s="11"/>
      <c r="N176" t="s">
        <v>1358</v>
      </c>
      <c r="O176" t="s">
        <v>350</v>
      </c>
    </row>
    <row r="177" spans="6:15" x14ac:dyDescent="0.3">
      <c r="N177" t="s">
        <v>1359</v>
      </c>
      <c r="O177" t="s">
        <v>351</v>
      </c>
    </row>
    <row r="178" spans="6:15" x14ac:dyDescent="0.3">
      <c r="N178" t="s">
        <v>1360</v>
      </c>
      <c r="O178" t="s">
        <v>352</v>
      </c>
    </row>
    <row r="179" spans="6:15" x14ac:dyDescent="0.3">
      <c r="F179" s="11"/>
      <c r="N179" t="s">
        <v>1361</v>
      </c>
      <c r="O179" t="s">
        <v>353</v>
      </c>
    </row>
    <row r="180" spans="6:15" x14ac:dyDescent="0.3">
      <c r="N180" t="s">
        <v>1362</v>
      </c>
      <c r="O180" t="s">
        <v>354</v>
      </c>
    </row>
    <row r="181" spans="6:15" x14ac:dyDescent="0.3">
      <c r="F181" s="11"/>
      <c r="N181" t="s">
        <v>1363</v>
      </c>
      <c r="O181" t="s">
        <v>355</v>
      </c>
    </row>
    <row r="182" spans="6:15" x14ac:dyDescent="0.3">
      <c r="F182" s="11"/>
      <c r="N182" t="s">
        <v>1364</v>
      </c>
      <c r="O182" t="s">
        <v>356</v>
      </c>
    </row>
    <row r="183" spans="6:15" x14ac:dyDescent="0.3">
      <c r="F183" s="11"/>
      <c r="N183" t="s">
        <v>1365</v>
      </c>
      <c r="O183" t="s">
        <v>357</v>
      </c>
    </row>
    <row r="184" spans="6:15" x14ac:dyDescent="0.3">
      <c r="F184" s="11"/>
      <c r="N184" t="s">
        <v>1366</v>
      </c>
      <c r="O184" t="s">
        <v>358</v>
      </c>
    </row>
    <row r="185" spans="6:15" x14ac:dyDescent="0.3">
      <c r="F185" s="11"/>
      <c r="N185" t="s">
        <v>1367</v>
      </c>
      <c r="O185" t="s">
        <v>359</v>
      </c>
    </row>
    <row r="186" spans="6:15" x14ac:dyDescent="0.3">
      <c r="F186" s="11"/>
      <c r="N186" t="s">
        <v>1368</v>
      </c>
      <c r="O186" t="s">
        <v>360</v>
      </c>
    </row>
    <row r="187" spans="6:15" x14ac:dyDescent="0.3">
      <c r="F187" s="11"/>
      <c r="N187" t="s">
        <v>1369</v>
      </c>
      <c r="O187" t="s">
        <v>361</v>
      </c>
    </row>
    <row r="188" spans="6:15" x14ac:dyDescent="0.3">
      <c r="F188" s="11"/>
      <c r="N188" t="s">
        <v>1370</v>
      </c>
      <c r="O188" t="s">
        <v>362</v>
      </c>
    </row>
    <row r="189" spans="6:15" x14ac:dyDescent="0.3">
      <c r="F189" s="11"/>
      <c r="N189" t="s">
        <v>1371</v>
      </c>
      <c r="O189" t="s">
        <v>363</v>
      </c>
    </row>
    <row r="190" spans="6:15" x14ac:dyDescent="0.3">
      <c r="F190" s="11"/>
      <c r="N190" t="s">
        <v>1372</v>
      </c>
      <c r="O190" t="s">
        <v>364</v>
      </c>
    </row>
    <row r="191" spans="6:15" x14ac:dyDescent="0.3">
      <c r="N191" t="s">
        <v>1373</v>
      </c>
      <c r="O191" t="s">
        <v>365</v>
      </c>
    </row>
    <row r="192" spans="6:15" x14ac:dyDescent="0.3">
      <c r="F192" s="11"/>
      <c r="N192" t="s">
        <v>1374</v>
      </c>
      <c r="O192" t="s">
        <v>105</v>
      </c>
    </row>
    <row r="193" spans="6:15" x14ac:dyDescent="0.3">
      <c r="F193" s="11"/>
      <c r="N193" t="s">
        <v>1375</v>
      </c>
      <c r="O193" t="s">
        <v>367</v>
      </c>
    </row>
    <row r="194" spans="6:15" x14ac:dyDescent="0.3">
      <c r="F194" s="11"/>
      <c r="N194" t="s">
        <v>1376</v>
      </c>
      <c r="O194" t="s">
        <v>368</v>
      </c>
    </row>
    <row r="195" spans="6:15" x14ac:dyDescent="0.3">
      <c r="F195" s="11"/>
      <c r="N195" t="s">
        <v>1377</v>
      </c>
      <c r="O195" t="s">
        <v>366</v>
      </c>
    </row>
    <row r="196" spans="6:15" x14ac:dyDescent="0.3">
      <c r="F196" s="11"/>
      <c r="N196" t="s">
        <v>1378</v>
      </c>
      <c r="O196" t="s">
        <v>369</v>
      </c>
    </row>
    <row r="197" spans="6:15" x14ac:dyDescent="0.3">
      <c r="F197" s="11"/>
      <c r="N197" t="s">
        <v>1379</v>
      </c>
      <c r="O197" t="s">
        <v>19</v>
      </c>
    </row>
    <row r="198" spans="6:15" x14ac:dyDescent="0.3">
      <c r="F198" s="11"/>
      <c r="N198" t="s">
        <v>1380</v>
      </c>
      <c r="O198" t="s">
        <v>370</v>
      </c>
    </row>
    <row r="199" spans="6:15" x14ac:dyDescent="0.3">
      <c r="F199" s="11"/>
      <c r="N199" t="s">
        <v>1381</v>
      </c>
      <c r="O199" t="s">
        <v>371</v>
      </c>
    </row>
    <row r="200" spans="6:15" x14ac:dyDescent="0.3">
      <c r="F200" s="11"/>
      <c r="N200" t="s">
        <v>1382</v>
      </c>
      <c r="O200" t="s">
        <v>372</v>
      </c>
    </row>
    <row r="201" spans="6:15" x14ac:dyDescent="0.3">
      <c r="F201" s="11"/>
      <c r="N201" t="s">
        <v>1383</v>
      </c>
      <c r="O201" t="s">
        <v>373</v>
      </c>
    </row>
    <row r="202" spans="6:15" x14ac:dyDescent="0.3">
      <c r="N202" t="s">
        <v>1384</v>
      </c>
      <c r="O202" t="s">
        <v>374</v>
      </c>
    </row>
    <row r="203" spans="6:15" x14ac:dyDescent="0.3">
      <c r="N203" t="s">
        <v>1385</v>
      </c>
      <c r="O203" t="s">
        <v>375</v>
      </c>
    </row>
    <row r="204" spans="6:15" x14ac:dyDescent="0.3">
      <c r="N204" t="s">
        <v>1386</v>
      </c>
      <c r="O204" t="s">
        <v>20</v>
      </c>
    </row>
    <row r="205" spans="6:15" x14ac:dyDescent="0.3">
      <c r="N205" t="s">
        <v>1387</v>
      </c>
      <c r="O205" t="s">
        <v>376</v>
      </c>
    </row>
    <row r="206" spans="6:15" x14ac:dyDescent="0.3">
      <c r="N206" t="s">
        <v>1388</v>
      </c>
      <c r="O206" t="s">
        <v>377</v>
      </c>
    </row>
    <row r="207" spans="6:15" x14ac:dyDescent="0.3">
      <c r="N207" t="s">
        <v>1389</v>
      </c>
      <c r="O207" t="s">
        <v>378</v>
      </c>
    </row>
    <row r="208" spans="6:15" x14ac:dyDescent="0.3">
      <c r="N208" t="s">
        <v>1390</v>
      </c>
      <c r="O208" t="s">
        <v>379</v>
      </c>
    </row>
    <row r="209" spans="6:15" x14ac:dyDescent="0.3">
      <c r="N209" t="s">
        <v>1391</v>
      </c>
      <c r="O209" t="s">
        <v>21</v>
      </c>
    </row>
    <row r="210" spans="6:15" x14ac:dyDescent="0.3">
      <c r="N210" t="s">
        <v>1392</v>
      </c>
      <c r="O210" t="s">
        <v>380</v>
      </c>
    </row>
    <row r="211" spans="6:15" x14ac:dyDescent="0.3">
      <c r="N211" t="s">
        <v>1393</v>
      </c>
      <c r="O211" t="s">
        <v>381</v>
      </c>
    </row>
    <row r="212" spans="6:15" x14ac:dyDescent="0.3">
      <c r="N212" t="s">
        <v>1394</v>
      </c>
      <c r="O212" t="s">
        <v>382</v>
      </c>
    </row>
    <row r="213" spans="6:15" x14ac:dyDescent="0.3">
      <c r="N213" t="s">
        <v>1395</v>
      </c>
      <c r="O213" t="s">
        <v>22</v>
      </c>
    </row>
    <row r="214" spans="6:15" x14ac:dyDescent="0.3">
      <c r="N214" t="s">
        <v>1396</v>
      </c>
      <c r="O214" t="s">
        <v>383</v>
      </c>
    </row>
    <row r="215" spans="6:15" x14ac:dyDescent="0.3">
      <c r="N215" t="s">
        <v>1397</v>
      </c>
      <c r="O215" t="s">
        <v>384</v>
      </c>
    </row>
    <row r="216" spans="6:15" x14ac:dyDescent="0.3">
      <c r="F216" s="11"/>
      <c r="N216" t="s">
        <v>1398</v>
      </c>
      <c r="O216" t="s">
        <v>385</v>
      </c>
    </row>
    <row r="217" spans="6:15" x14ac:dyDescent="0.3">
      <c r="N217" t="s">
        <v>1399</v>
      </c>
      <c r="O217" t="s">
        <v>386</v>
      </c>
    </row>
    <row r="218" spans="6:15" x14ac:dyDescent="0.3">
      <c r="F218" s="11"/>
      <c r="N218" t="s">
        <v>1400</v>
      </c>
      <c r="O218" t="s">
        <v>387</v>
      </c>
    </row>
    <row r="219" spans="6:15" x14ac:dyDescent="0.3">
      <c r="N219" t="s">
        <v>1401</v>
      </c>
      <c r="O219" t="s">
        <v>388</v>
      </c>
    </row>
    <row r="220" spans="6:15" x14ac:dyDescent="0.3">
      <c r="N220" t="s">
        <v>1402</v>
      </c>
      <c r="O220" t="s">
        <v>389</v>
      </c>
    </row>
    <row r="221" spans="6:15" x14ac:dyDescent="0.3">
      <c r="N221" t="s">
        <v>1403</v>
      </c>
      <c r="O221" t="s">
        <v>390</v>
      </c>
    </row>
    <row r="222" spans="6:15" x14ac:dyDescent="0.3">
      <c r="N222" t="s">
        <v>1404</v>
      </c>
      <c r="O222" t="s">
        <v>391</v>
      </c>
    </row>
    <row r="223" spans="6:15" x14ac:dyDescent="0.3">
      <c r="N223" t="s">
        <v>1405</v>
      </c>
      <c r="O223" t="s">
        <v>392</v>
      </c>
    </row>
    <row r="224" spans="6:15" x14ac:dyDescent="0.3">
      <c r="N224" t="s">
        <v>1406</v>
      </c>
      <c r="O224" t="s">
        <v>393</v>
      </c>
    </row>
    <row r="225" spans="14:15" x14ac:dyDescent="0.3">
      <c r="N225" t="s">
        <v>1407</v>
      </c>
      <c r="O225" t="s">
        <v>394</v>
      </c>
    </row>
    <row r="226" spans="14:15" x14ac:dyDescent="0.3">
      <c r="N226" t="s">
        <v>1408</v>
      </c>
      <c r="O226" t="s">
        <v>395</v>
      </c>
    </row>
    <row r="227" spans="14:15" x14ac:dyDescent="0.3">
      <c r="N227" t="s">
        <v>1409</v>
      </c>
      <c r="O227" t="s">
        <v>396</v>
      </c>
    </row>
    <row r="228" spans="14:15" x14ac:dyDescent="0.3">
      <c r="N228" t="s">
        <v>1410</v>
      </c>
      <c r="O228" t="s">
        <v>397</v>
      </c>
    </row>
    <row r="229" spans="14:15" x14ac:dyDescent="0.3">
      <c r="N229" t="s">
        <v>1411</v>
      </c>
      <c r="O229" t="s">
        <v>23</v>
      </c>
    </row>
    <row r="230" spans="14:15" x14ac:dyDescent="0.3">
      <c r="N230" t="s">
        <v>1412</v>
      </c>
      <c r="O230" t="s">
        <v>398</v>
      </c>
    </row>
    <row r="231" spans="14:15" x14ac:dyDescent="0.3">
      <c r="N231" t="s">
        <v>1413</v>
      </c>
      <c r="O231" t="s">
        <v>399</v>
      </c>
    </row>
    <row r="232" spans="14:15" x14ac:dyDescent="0.3">
      <c r="N232" t="s">
        <v>1414</v>
      </c>
      <c r="O232" t="s">
        <v>400</v>
      </c>
    </row>
    <row r="233" spans="14:15" x14ac:dyDescent="0.3">
      <c r="N233" t="s">
        <v>1415</v>
      </c>
      <c r="O233" t="s">
        <v>401</v>
      </c>
    </row>
    <row r="234" spans="14:15" x14ac:dyDescent="0.3">
      <c r="N234" t="s">
        <v>1416</v>
      </c>
      <c r="O234" t="s">
        <v>402</v>
      </c>
    </row>
    <row r="235" spans="14:15" x14ac:dyDescent="0.3">
      <c r="N235" t="s">
        <v>1417</v>
      </c>
      <c r="O235" t="s">
        <v>403</v>
      </c>
    </row>
    <row r="236" spans="14:15" x14ac:dyDescent="0.3">
      <c r="N236" t="s">
        <v>1418</v>
      </c>
      <c r="O236" t="s">
        <v>404</v>
      </c>
    </row>
    <row r="237" spans="14:15" x14ac:dyDescent="0.3">
      <c r="N237" t="s">
        <v>1419</v>
      </c>
      <c r="O237" t="s">
        <v>405</v>
      </c>
    </row>
    <row r="238" spans="14:15" x14ac:dyDescent="0.3">
      <c r="N238" t="s">
        <v>1420</v>
      </c>
      <c r="O238" t="s">
        <v>406</v>
      </c>
    </row>
    <row r="239" spans="14:15" x14ac:dyDescent="0.3">
      <c r="N239" t="s">
        <v>1421</v>
      </c>
      <c r="O239" t="s">
        <v>407</v>
      </c>
    </row>
    <row r="240" spans="14:15" x14ac:dyDescent="0.3">
      <c r="N240" t="s">
        <v>1422</v>
      </c>
      <c r="O240" t="s">
        <v>408</v>
      </c>
    </row>
    <row r="241" spans="14:15" x14ac:dyDescent="0.3">
      <c r="N241" t="s">
        <v>1423</v>
      </c>
      <c r="O241" t="s">
        <v>409</v>
      </c>
    </row>
    <row r="242" spans="14:15" x14ac:dyDescent="0.3">
      <c r="N242" t="s">
        <v>1424</v>
      </c>
      <c r="O242" t="s">
        <v>410</v>
      </c>
    </row>
    <row r="243" spans="14:15" x14ac:dyDescent="0.3">
      <c r="N243" t="s">
        <v>1425</v>
      </c>
      <c r="O243" t="s">
        <v>411</v>
      </c>
    </row>
    <row r="244" spans="14:15" x14ac:dyDescent="0.3">
      <c r="N244" t="s">
        <v>1426</v>
      </c>
      <c r="O244" t="s">
        <v>412</v>
      </c>
    </row>
    <row r="245" spans="14:15" x14ac:dyDescent="0.3">
      <c r="N245" t="s">
        <v>1427</v>
      </c>
      <c r="O245" t="s">
        <v>413</v>
      </c>
    </row>
    <row r="246" spans="14:15" x14ac:dyDescent="0.3">
      <c r="N246" t="s">
        <v>1428</v>
      </c>
      <c r="O246" t="s">
        <v>414</v>
      </c>
    </row>
    <row r="247" spans="14:15" x14ac:dyDescent="0.3">
      <c r="N247" t="s">
        <v>1429</v>
      </c>
      <c r="O247" t="s">
        <v>415</v>
      </c>
    </row>
    <row r="248" spans="14:15" x14ac:dyDescent="0.3">
      <c r="N248" t="s">
        <v>1430</v>
      </c>
      <c r="O248" t="s">
        <v>416</v>
      </c>
    </row>
    <row r="249" spans="14:15" x14ac:dyDescent="0.3">
      <c r="N249" t="s">
        <v>1431</v>
      </c>
      <c r="O249" t="s">
        <v>417</v>
      </c>
    </row>
    <row r="250" spans="14:15" x14ac:dyDescent="0.3">
      <c r="N250" t="s">
        <v>1432</v>
      </c>
      <c r="O250" t="s">
        <v>418</v>
      </c>
    </row>
    <row r="251" spans="14:15" x14ac:dyDescent="0.3">
      <c r="N251" t="s">
        <v>1433</v>
      </c>
      <c r="O251" t="s">
        <v>419</v>
      </c>
    </row>
    <row r="252" spans="14:15" x14ac:dyDescent="0.3">
      <c r="N252" t="s">
        <v>1434</v>
      </c>
      <c r="O252" t="s">
        <v>420</v>
      </c>
    </row>
    <row r="253" spans="14:15" x14ac:dyDescent="0.3">
      <c r="N253" t="s">
        <v>1435</v>
      </c>
      <c r="O253" t="s">
        <v>421</v>
      </c>
    </row>
    <row r="254" spans="14:15" x14ac:dyDescent="0.3">
      <c r="N254" t="s">
        <v>1436</v>
      </c>
      <c r="O254" t="s">
        <v>422</v>
      </c>
    </row>
    <row r="255" spans="14:15" x14ac:dyDescent="0.3">
      <c r="N255" t="s">
        <v>1437</v>
      </c>
      <c r="O255" t="s">
        <v>423</v>
      </c>
    </row>
    <row r="256" spans="14:15" x14ac:dyDescent="0.3">
      <c r="N256" t="s">
        <v>1438</v>
      </c>
      <c r="O256" t="s">
        <v>424</v>
      </c>
    </row>
    <row r="257" spans="14:15" x14ac:dyDescent="0.3">
      <c r="N257" t="s">
        <v>1439</v>
      </c>
      <c r="O257" t="s">
        <v>425</v>
      </c>
    </row>
    <row r="258" spans="14:15" x14ac:dyDescent="0.3">
      <c r="N258" t="s">
        <v>1440</v>
      </c>
      <c r="O258" t="s">
        <v>426</v>
      </c>
    </row>
    <row r="259" spans="14:15" x14ac:dyDescent="0.3">
      <c r="N259" t="s">
        <v>1441</v>
      </c>
      <c r="O259" t="s">
        <v>427</v>
      </c>
    </row>
    <row r="260" spans="14:15" x14ac:dyDescent="0.3">
      <c r="N260" t="s">
        <v>1442</v>
      </c>
      <c r="O260" t="s">
        <v>428</v>
      </c>
    </row>
    <row r="261" spans="14:15" x14ac:dyDescent="0.3">
      <c r="N261" t="s">
        <v>1443</v>
      </c>
      <c r="O261" t="s">
        <v>429</v>
      </c>
    </row>
    <row r="262" spans="14:15" x14ac:dyDescent="0.3">
      <c r="N262" t="s">
        <v>1444</v>
      </c>
      <c r="O262" t="s">
        <v>430</v>
      </c>
    </row>
    <row r="263" spans="14:15" x14ac:dyDescent="0.3">
      <c r="N263" t="s">
        <v>1445</v>
      </c>
      <c r="O263" t="s">
        <v>431</v>
      </c>
    </row>
    <row r="264" spans="14:15" x14ac:dyDescent="0.3">
      <c r="N264" t="s">
        <v>1446</v>
      </c>
      <c r="O264" t="s">
        <v>432</v>
      </c>
    </row>
    <row r="265" spans="14:15" x14ac:dyDescent="0.3">
      <c r="N265" t="s">
        <v>1447</v>
      </c>
      <c r="O265" t="s">
        <v>433</v>
      </c>
    </row>
    <row r="266" spans="14:15" x14ac:dyDescent="0.3">
      <c r="N266" t="s">
        <v>1448</v>
      </c>
      <c r="O266" t="s">
        <v>434</v>
      </c>
    </row>
    <row r="267" spans="14:15" x14ac:dyDescent="0.3">
      <c r="N267" t="s">
        <v>1449</v>
      </c>
      <c r="O267" t="s">
        <v>435</v>
      </c>
    </row>
    <row r="268" spans="14:15" x14ac:dyDescent="0.3">
      <c r="N268" t="s">
        <v>1450</v>
      </c>
      <c r="O268" t="s">
        <v>24</v>
      </c>
    </row>
    <row r="269" spans="14:15" x14ac:dyDescent="0.3">
      <c r="N269" t="s">
        <v>1451</v>
      </c>
      <c r="O269" t="s">
        <v>436</v>
      </c>
    </row>
    <row r="270" spans="14:15" x14ac:dyDescent="0.3">
      <c r="N270" t="s">
        <v>1452</v>
      </c>
      <c r="O270" t="s">
        <v>437</v>
      </c>
    </row>
    <row r="271" spans="14:15" x14ac:dyDescent="0.3">
      <c r="N271" t="s">
        <v>1453</v>
      </c>
      <c r="O271" t="s">
        <v>438</v>
      </c>
    </row>
    <row r="272" spans="14:15" x14ac:dyDescent="0.3">
      <c r="N272" t="s">
        <v>1454</v>
      </c>
      <c r="O272" t="s">
        <v>439</v>
      </c>
    </row>
    <row r="273" spans="14:15" x14ac:dyDescent="0.3">
      <c r="N273" t="s">
        <v>1455</v>
      </c>
      <c r="O273" t="s">
        <v>440</v>
      </c>
    </row>
    <row r="274" spans="14:15" x14ac:dyDescent="0.3">
      <c r="N274" t="s">
        <v>1456</v>
      </c>
      <c r="O274" t="s">
        <v>441</v>
      </c>
    </row>
    <row r="275" spans="14:15" x14ac:dyDescent="0.3">
      <c r="N275" t="s">
        <v>1457</v>
      </c>
      <c r="O275" t="s">
        <v>442</v>
      </c>
    </row>
    <row r="276" spans="14:15" x14ac:dyDescent="0.3">
      <c r="N276" t="s">
        <v>1458</v>
      </c>
      <c r="O276" t="s">
        <v>25</v>
      </c>
    </row>
    <row r="277" spans="14:15" x14ac:dyDescent="0.3">
      <c r="N277" t="s">
        <v>1459</v>
      </c>
      <c r="O277" t="s">
        <v>443</v>
      </c>
    </row>
    <row r="278" spans="14:15" x14ac:dyDescent="0.3">
      <c r="N278" t="s">
        <v>1460</v>
      </c>
      <c r="O278" t="s">
        <v>444</v>
      </c>
    </row>
    <row r="279" spans="14:15" x14ac:dyDescent="0.3">
      <c r="N279" t="s">
        <v>1461</v>
      </c>
      <c r="O279" t="s">
        <v>445</v>
      </c>
    </row>
    <row r="280" spans="14:15" x14ac:dyDescent="0.3">
      <c r="N280" t="s">
        <v>1462</v>
      </c>
      <c r="O280" t="s">
        <v>446</v>
      </c>
    </row>
    <row r="281" spans="14:15" x14ac:dyDescent="0.3">
      <c r="N281" t="s">
        <v>1463</v>
      </c>
      <c r="O281" t="s">
        <v>447</v>
      </c>
    </row>
    <row r="282" spans="14:15" x14ac:dyDescent="0.3">
      <c r="N282" t="s">
        <v>1464</v>
      </c>
      <c r="O282" t="s">
        <v>448</v>
      </c>
    </row>
    <row r="283" spans="14:15" x14ac:dyDescent="0.3">
      <c r="N283" t="s">
        <v>1465</v>
      </c>
      <c r="O283" t="s">
        <v>449</v>
      </c>
    </row>
    <row r="284" spans="14:15" x14ac:dyDescent="0.3">
      <c r="N284" t="s">
        <v>1466</v>
      </c>
      <c r="O284" t="s">
        <v>450</v>
      </c>
    </row>
    <row r="285" spans="14:15" x14ac:dyDescent="0.3">
      <c r="N285" t="s">
        <v>1467</v>
      </c>
      <c r="O285" t="s">
        <v>451</v>
      </c>
    </row>
    <row r="286" spans="14:15" x14ac:dyDescent="0.3">
      <c r="N286" t="s">
        <v>1468</v>
      </c>
      <c r="O286" t="s">
        <v>452</v>
      </c>
    </row>
    <row r="287" spans="14:15" x14ac:dyDescent="0.3">
      <c r="N287" t="s">
        <v>1469</v>
      </c>
      <c r="O287" t="s">
        <v>453</v>
      </c>
    </row>
    <row r="288" spans="14:15" x14ac:dyDescent="0.3">
      <c r="N288" t="s">
        <v>1470</v>
      </c>
      <c r="O288" t="s">
        <v>454</v>
      </c>
    </row>
    <row r="289" spans="14:15" x14ac:dyDescent="0.3">
      <c r="N289" t="s">
        <v>1471</v>
      </c>
      <c r="O289" t="s">
        <v>455</v>
      </c>
    </row>
    <row r="290" spans="14:15" x14ac:dyDescent="0.3">
      <c r="N290" t="s">
        <v>1472</v>
      </c>
      <c r="O290" t="s">
        <v>26</v>
      </c>
    </row>
    <row r="291" spans="14:15" x14ac:dyDescent="0.3">
      <c r="N291" t="s">
        <v>1473</v>
      </c>
      <c r="O291" t="s">
        <v>456</v>
      </c>
    </row>
    <row r="292" spans="14:15" x14ac:dyDescent="0.3">
      <c r="N292" t="s">
        <v>1474</v>
      </c>
      <c r="O292" t="s">
        <v>27</v>
      </c>
    </row>
    <row r="293" spans="14:15" x14ac:dyDescent="0.3">
      <c r="N293" t="s">
        <v>1475</v>
      </c>
      <c r="O293" t="s">
        <v>457</v>
      </c>
    </row>
    <row r="294" spans="14:15" x14ac:dyDescent="0.3">
      <c r="N294" t="s">
        <v>1476</v>
      </c>
      <c r="O294" t="s">
        <v>458</v>
      </c>
    </row>
    <row r="295" spans="14:15" x14ac:dyDescent="0.3">
      <c r="N295" t="s">
        <v>1477</v>
      </c>
      <c r="O295" t="s">
        <v>459</v>
      </c>
    </row>
    <row r="296" spans="14:15" x14ac:dyDescent="0.3">
      <c r="N296" t="s">
        <v>1478</v>
      </c>
      <c r="O296" t="s">
        <v>460</v>
      </c>
    </row>
    <row r="297" spans="14:15" x14ac:dyDescent="0.3">
      <c r="N297" t="s">
        <v>1479</v>
      </c>
      <c r="O297" t="s">
        <v>461</v>
      </c>
    </row>
    <row r="298" spans="14:15" x14ac:dyDescent="0.3">
      <c r="N298" t="s">
        <v>1480</v>
      </c>
      <c r="O298" t="s">
        <v>462</v>
      </c>
    </row>
    <row r="299" spans="14:15" x14ac:dyDescent="0.3">
      <c r="N299" t="s">
        <v>1481</v>
      </c>
      <c r="O299" t="s">
        <v>463</v>
      </c>
    </row>
    <row r="300" spans="14:15" x14ac:dyDescent="0.3">
      <c r="N300" t="s">
        <v>1482</v>
      </c>
      <c r="O300" t="s">
        <v>464</v>
      </c>
    </row>
    <row r="301" spans="14:15" x14ac:dyDescent="0.3">
      <c r="N301" t="s">
        <v>1483</v>
      </c>
      <c r="O301" t="s">
        <v>465</v>
      </c>
    </row>
    <row r="302" spans="14:15" x14ac:dyDescent="0.3">
      <c r="N302" t="s">
        <v>1484</v>
      </c>
      <c r="O302" t="s">
        <v>466</v>
      </c>
    </row>
    <row r="303" spans="14:15" x14ac:dyDescent="0.3">
      <c r="N303" t="s">
        <v>1485</v>
      </c>
      <c r="O303" t="s">
        <v>467</v>
      </c>
    </row>
    <row r="304" spans="14:15" x14ac:dyDescent="0.3">
      <c r="N304" t="s">
        <v>1486</v>
      </c>
      <c r="O304" t="s">
        <v>468</v>
      </c>
    </row>
    <row r="305" spans="14:15" x14ac:dyDescent="0.3">
      <c r="N305" t="s">
        <v>1487</v>
      </c>
      <c r="O305" t="s">
        <v>469</v>
      </c>
    </row>
    <row r="306" spans="14:15" x14ac:dyDescent="0.3">
      <c r="N306" t="s">
        <v>1488</v>
      </c>
      <c r="O306" t="s">
        <v>28</v>
      </c>
    </row>
    <row r="307" spans="14:15" x14ac:dyDescent="0.3">
      <c r="N307" t="s">
        <v>1489</v>
      </c>
      <c r="O307" t="s">
        <v>29</v>
      </c>
    </row>
    <row r="308" spans="14:15" x14ac:dyDescent="0.3">
      <c r="N308" t="s">
        <v>1490</v>
      </c>
      <c r="O308" t="s">
        <v>30</v>
      </c>
    </row>
    <row r="309" spans="14:15" x14ac:dyDescent="0.3">
      <c r="N309" t="s">
        <v>1491</v>
      </c>
      <c r="O309" t="s">
        <v>470</v>
      </c>
    </row>
    <row r="310" spans="14:15" x14ac:dyDescent="0.3">
      <c r="N310" t="s">
        <v>1492</v>
      </c>
      <c r="O310" t="s">
        <v>471</v>
      </c>
    </row>
    <row r="311" spans="14:15" x14ac:dyDescent="0.3">
      <c r="N311" t="s">
        <v>1493</v>
      </c>
      <c r="O311" t="s">
        <v>472</v>
      </c>
    </row>
    <row r="312" spans="14:15" x14ac:dyDescent="0.3">
      <c r="N312" t="s">
        <v>1494</v>
      </c>
      <c r="O312" t="s">
        <v>473</v>
      </c>
    </row>
    <row r="313" spans="14:15" x14ac:dyDescent="0.3">
      <c r="N313" t="s">
        <v>1495</v>
      </c>
      <c r="O313" t="s">
        <v>474</v>
      </c>
    </row>
    <row r="314" spans="14:15" x14ac:dyDescent="0.3">
      <c r="N314" t="s">
        <v>1496</v>
      </c>
      <c r="O314" t="s">
        <v>475</v>
      </c>
    </row>
    <row r="315" spans="14:15" x14ac:dyDescent="0.3">
      <c r="N315" t="s">
        <v>1497</v>
      </c>
      <c r="O315" t="s">
        <v>476</v>
      </c>
    </row>
    <row r="316" spans="14:15" x14ac:dyDescent="0.3">
      <c r="N316" t="s">
        <v>1498</v>
      </c>
      <c r="O316" t="s">
        <v>31</v>
      </c>
    </row>
    <row r="317" spans="14:15" x14ac:dyDescent="0.3">
      <c r="N317" t="s">
        <v>1499</v>
      </c>
      <c r="O317" t="s">
        <v>477</v>
      </c>
    </row>
    <row r="318" spans="14:15" x14ac:dyDescent="0.3">
      <c r="N318" t="s">
        <v>1500</v>
      </c>
      <c r="O318" t="s">
        <v>478</v>
      </c>
    </row>
    <row r="319" spans="14:15" x14ac:dyDescent="0.3">
      <c r="N319" t="s">
        <v>1501</v>
      </c>
      <c r="O319" t="s">
        <v>479</v>
      </c>
    </row>
    <row r="320" spans="14:15" x14ac:dyDescent="0.3">
      <c r="N320" t="s">
        <v>1502</v>
      </c>
      <c r="O320" t="s">
        <v>480</v>
      </c>
    </row>
    <row r="321" spans="14:15" x14ac:dyDescent="0.3">
      <c r="N321" t="s">
        <v>1503</v>
      </c>
      <c r="O321" t="s">
        <v>481</v>
      </c>
    </row>
    <row r="322" spans="14:15" x14ac:dyDescent="0.3">
      <c r="N322" t="s">
        <v>1504</v>
      </c>
      <c r="O322" t="s">
        <v>482</v>
      </c>
    </row>
    <row r="323" spans="14:15" x14ac:dyDescent="0.3">
      <c r="N323" t="s">
        <v>1505</v>
      </c>
      <c r="O323" t="s">
        <v>32</v>
      </c>
    </row>
    <row r="324" spans="14:15" x14ac:dyDescent="0.3">
      <c r="N324" t="s">
        <v>1506</v>
      </c>
      <c r="O324" t="s">
        <v>483</v>
      </c>
    </row>
    <row r="325" spans="14:15" x14ac:dyDescent="0.3">
      <c r="N325" t="s">
        <v>1507</v>
      </c>
      <c r="O325" t="s">
        <v>33</v>
      </c>
    </row>
    <row r="326" spans="14:15" x14ac:dyDescent="0.3">
      <c r="N326" t="s">
        <v>1508</v>
      </c>
      <c r="O326" t="s">
        <v>484</v>
      </c>
    </row>
    <row r="327" spans="14:15" x14ac:dyDescent="0.3">
      <c r="N327" t="s">
        <v>1509</v>
      </c>
      <c r="O327" t="s">
        <v>34</v>
      </c>
    </row>
    <row r="328" spans="14:15" x14ac:dyDescent="0.3">
      <c r="N328" t="s">
        <v>1510</v>
      </c>
      <c r="O328" t="s">
        <v>485</v>
      </c>
    </row>
    <row r="329" spans="14:15" x14ac:dyDescent="0.3">
      <c r="N329" t="s">
        <v>1511</v>
      </c>
      <c r="O329" t="s">
        <v>486</v>
      </c>
    </row>
    <row r="330" spans="14:15" x14ac:dyDescent="0.3">
      <c r="N330" t="s">
        <v>1512</v>
      </c>
      <c r="O330" t="s">
        <v>487</v>
      </c>
    </row>
    <row r="331" spans="14:15" x14ac:dyDescent="0.3">
      <c r="N331" t="s">
        <v>1513</v>
      </c>
      <c r="O331" t="s">
        <v>488</v>
      </c>
    </row>
    <row r="332" spans="14:15" x14ac:dyDescent="0.3">
      <c r="N332" t="s">
        <v>1514</v>
      </c>
      <c r="O332" t="s">
        <v>489</v>
      </c>
    </row>
    <row r="333" spans="14:15" x14ac:dyDescent="0.3">
      <c r="N333" t="s">
        <v>1515</v>
      </c>
      <c r="O333" t="s">
        <v>35</v>
      </c>
    </row>
    <row r="334" spans="14:15" x14ac:dyDescent="0.3">
      <c r="N334" t="s">
        <v>1516</v>
      </c>
      <c r="O334" t="s">
        <v>490</v>
      </c>
    </row>
    <row r="335" spans="14:15" x14ac:dyDescent="0.3">
      <c r="N335" t="s">
        <v>1517</v>
      </c>
      <c r="O335" t="s">
        <v>491</v>
      </c>
    </row>
    <row r="336" spans="14:15" x14ac:dyDescent="0.3">
      <c r="N336" t="s">
        <v>1518</v>
      </c>
      <c r="O336" t="s">
        <v>492</v>
      </c>
    </row>
    <row r="337" spans="14:15" x14ac:dyDescent="0.3">
      <c r="N337" t="s">
        <v>1519</v>
      </c>
      <c r="O337" t="s">
        <v>493</v>
      </c>
    </row>
    <row r="338" spans="14:15" x14ac:dyDescent="0.3">
      <c r="N338" t="s">
        <v>1520</v>
      </c>
      <c r="O338" t="s">
        <v>494</v>
      </c>
    </row>
    <row r="339" spans="14:15" x14ac:dyDescent="0.3">
      <c r="N339" t="s">
        <v>1521</v>
      </c>
      <c r="O339" t="s">
        <v>495</v>
      </c>
    </row>
    <row r="340" spans="14:15" x14ac:dyDescent="0.3">
      <c r="N340" t="s">
        <v>1522</v>
      </c>
      <c r="O340" t="s">
        <v>496</v>
      </c>
    </row>
    <row r="341" spans="14:15" x14ac:dyDescent="0.3">
      <c r="N341" t="s">
        <v>1523</v>
      </c>
      <c r="O341" t="s">
        <v>497</v>
      </c>
    </row>
    <row r="342" spans="14:15" x14ac:dyDescent="0.3">
      <c r="N342" t="s">
        <v>1524</v>
      </c>
      <c r="O342" t="s">
        <v>498</v>
      </c>
    </row>
    <row r="343" spans="14:15" x14ac:dyDescent="0.3">
      <c r="N343" t="s">
        <v>1525</v>
      </c>
      <c r="O343" t="s">
        <v>499</v>
      </c>
    </row>
    <row r="344" spans="14:15" x14ac:dyDescent="0.3">
      <c r="N344" t="s">
        <v>1526</v>
      </c>
      <c r="O344" t="s">
        <v>500</v>
      </c>
    </row>
    <row r="345" spans="14:15" x14ac:dyDescent="0.3">
      <c r="N345" t="s">
        <v>1527</v>
      </c>
      <c r="O345" t="s">
        <v>501</v>
      </c>
    </row>
    <row r="346" spans="14:15" x14ac:dyDescent="0.3">
      <c r="N346" t="s">
        <v>1528</v>
      </c>
      <c r="O346" t="s">
        <v>502</v>
      </c>
    </row>
    <row r="347" spans="14:15" x14ac:dyDescent="0.3">
      <c r="N347" t="s">
        <v>1529</v>
      </c>
      <c r="O347" t="s">
        <v>503</v>
      </c>
    </row>
    <row r="348" spans="14:15" x14ac:dyDescent="0.3">
      <c r="N348" t="s">
        <v>1530</v>
      </c>
      <c r="O348" t="s">
        <v>504</v>
      </c>
    </row>
    <row r="349" spans="14:15" x14ac:dyDescent="0.3">
      <c r="N349" t="s">
        <v>1531</v>
      </c>
      <c r="O349" t="s">
        <v>505</v>
      </c>
    </row>
    <row r="350" spans="14:15" x14ac:dyDescent="0.3">
      <c r="N350" t="s">
        <v>1532</v>
      </c>
      <c r="O350" t="s">
        <v>506</v>
      </c>
    </row>
    <row r="351" spans="14:15" x14ac:dyDescent="0.3">
      <c r="N351" t="s">
        <v>1533</v>
      </c>
      <c r="O351" t="s">
        <v>507</v>
      </c>
    </row>
    <row r="352" spans="14:15" x14ac:dyDescent="0.3">
      <c r="N352" t="s">
        <v>1534</v>
      </c>
      <c r="O352" t="s">
        <v>508</v>
      </c>
    </row>
    <row r="353" spans="14:15" x14ac:dyDescent="0.3">
      <c r="N353" t="s">
        <v>1535</v>
      </c>
      <c r="O353" t="s">
        <v>509</v>
      </c>
    </row>
    <row r="354" spans="14:15" x14ac:dyDescent="0.3">
      <c r="N354" t="s">
        <v>1536</v>
      </c>
      <c r="O354" t="s">
        <v>510</v>
      </c>
    </row>
    <row r="355" spans="14:15" x14ac:dyDescent="0.3">
      <c r="N355" t="s">
        <v>1537</v>
      </c>
      <c r="O355" t="s">
        <v>511</v>
      </c>
    </row>
    <row r="356" spans="14:15" x14ac:dyDescent="0.3">
      <c r="N356" t="s">
        <v>1538</v>
      </c>
      <c r="O356" t="s">
        <v>512</v>
      </c>
    </row>
    <row r="357" spans="14:15" x14ac:dyDescent="0.3">
      <c r="N357" t="s">
        <v>1539</v>
      </c>
      <c r="O357" t="s">
        <v>513</v>
      </c>
    </row>
    <row r="358" spans="14:15" x14ac:dyDescent="0.3">
      <c r="N358" t="s">
        <v>1540</v>
      </c>
      <c r="O358" t="s">
        <v>514</v>
      </c>
    </row>
    <row r="359" spans="14:15" x14ac:dyDescent="0.3">
      <c r="N359" t="s">
        <v>1541</v>
      </c>
      <c r="O359" t="s">
        <v>515</v>
      </c>
    </row>
    <row r="360" spans="14:15" x14ac:dyDescent="0.3">
      <c r="N360" t="s">
        <v>1542</v>
      </c>
      <c r="O360" t="s">
        <v>516</v>
      </c>
    </row>
    <row r="361" spans="14:15" x14ac:dyDescent="0.3">
      <c r="N361" t="s">
        <v>1543</v>
      </c>
      <c r="O361" t="s">
        <v>517</v>
      </c>
    </row>
    <row r="362" spans="14:15" x14ac:dyDescent="0.3">
      <c r="N362" t="s">
        <v>1544</v>
      </c>
      <c r="O362" t="s">
        <v>518</v>
      </c>
    </row>
    <row r="363" spans="14:15" x14ac:dyDescent="0.3">
      <c r="N363" t="s">
        <v>1545</v>
      </c>
      <c r="O363" t="s">
        <v>519</v>
      </c>
    </row>
    <row r="364" spans="14:15" x14ac:dyDescent="0.3">
      <c r="N364" t="s">
        <v>1546</v>
      </c>
      <c r="O364" t="s">
        <v>36</v>
      </c>
    </row>
    <row r="365" spans="14:15" x14ac:dyDescent="0.3">
      <c r="N365" t="s">
        <v>1547</v>
      </c>
      <c r="O365" t="s">
        <v>37</v>
      </c>
    </row>
    <row r="366" spans="14:15" x14ac:dyDescent="0.3">
      <c r="N366" t="s">
        <v>1548</v>
      </c>
      <c r="O366" t="s">
        <v>520</v>
      </c>
    </row>
    <row r="367" spans="14:15" x14ac:dyDescent="0.3">
      <c r="N367" t="s">
        <v>1549</v>
      </c>
      <c r="O367" t="s">
        <v>521</v>
      </c>
    </row>
    <row r="368" spans="14:15" x14ac:dyDescent="0.3">
      <c r="N368" t="s">
        <v>1550</v>
      </c>
      <c r="O368" t="s">
        <v>522</v>
      </c>
    </row>
    <row r="369" spans="14:15" x14ac:dyDescent="0.3">
      <c r="N369" t="s">
        <v>1551</v>
      </c>
      <c r="O369" t="s">
        <v>523</v>
      </c>
    </row>
    <row r="370" spans="14:15" x14ac:dyDescent="0.3">
      <c r="N370" t="s">
        <v>1552</v>
      </c>
      <c r="O370" t="s">
        <v>524</v>
      </c>
    </row>
    <row r="371" spans="14:15" x14ac:dyDescent="0.3">
      <c r="N371" t="s">
        <v>1553</v>
      </c>
      <c r="O371" t="s">
        <v>525</v>
      </c>
    </row>
    <row r="372" spans="14:15" x14ac:dyDescent="0.3">
      <c r="N372" t="s">
        <v>1554</v>
      </c>
      <c r="O372" t="s">
        <v>526</v>
      </c>
    </row>
    <row r="373" spans="14:15" x14ac:dyDescent="0.3">
      <c r="N373" t="s">
        <v>1555</v>
      </c>
      <c r="O373" t="s">
        <v>527</v>
      </c>
    </row>
    <row r="374" spans="14:15" x14ac:dyDescent="0.3">
      <c r="N374" t="s">
        <v>1556</v>
      </c>
      <c r="O374" t="s">
        <v>528</v>
      </c>
    </row>
    <row r="375" spans="14:15" x14ac:dyDescent="0.3">
      <c r="N375" t="s">
        <v>1557</v>
      </c>
      <c r="O375" t="s">
        <v>529</v>
      </c>
    </row>
    <row r="376" spans="14:15" x14ac:dyDescent="0.3">
      <c r="N376" t="s">
        <v>1558</v>
      </c>
      <c r="O376" t="s">
        <v>530</v>
      </c>
    </row>
    <row r="377" spans="14:15" x14ac:dyDescent="0.3">
      <c r="N377" t="s">
        <v>1559</v>
      </c>
      <c r="O377" t="s">
        <v>531</v>
      </c>
    </row>
    <row r="378" spans="14:15" x14ac:dyDescent="0.3">
      <c r="N378" t="s">
        <v>1560</v>
      </c>
      <c r="O378" t="s">
        <v>532</v>
      </c>
    </row>
    <row r="379" spans="14:15" x14ac:dyDescent="0.3">
      <c r="N379" t="s">
        <v>1561</v>
      </c>
      <c r="O379" t="s">
        <v>533</v>
      </c>
    </row>
    <row r="380" spans="14:15" x14ac:dyDescent="0.3">
      <c r="N380" t="s">
        <v>1562</v>
      </c>
      <c r="O380" t="s">
        <v>39</v>
      </c>
    </row>
    <row r="381" spans="14:15" x14ac:dyDescent="0.3">
      <c r="N381" t="s">
        <v>1563</v>
      </c>
      <c r="O381" t="s">
        <v>534</v>
      </c>
    </row>
    <row r="382" spans="14:15" x14ac:dyDescent="0.3">
      <c r="N382" t="s">
        <v>1564</v>
      </c>
      <c r="O382" t="s">
        <v>535</v>
      </c>
    </row>
    <row r="383" spans="14:15" x14ac:dyDescent="0.3">
      <c r="N383" t="s">
        <v>1565</v>
      </c>
      <c r="O383" t="s">
        <v>536</v>
      </c>
    </row>
    <row r="384" spans="14:15" x14ac:dyDescent="0.3">
      <c r="N384" t="s">
        <v>1566</v>
      </c>
      <c r="O384" t="s">
        <v>537</v>
      </c>
    </row>
    <row r="385" spans="14:15" x14ac:dyDescent="0.3">
      <c r="N385" t="s">
        <v>1567</v>
      </c>
      <c r="O385" t="s">
        <v>538</v>
      </c>
    </row>
    <row r="386" spans="14:15" x14ac:dyDescent="0.3">
      <c r="N386" t="s">
        <v>1568</v>
      </c>
      <c r="O386" t="s">
        <v>539</v>
      </c>
    </row>
    <row r="387" spans="14:15" x14ac:dyDescent="0.3">
      <c r="N387" t="s">
        <v>1569</v>
      </c>
      <c r="O387" t="s">
        <v>540</v>
      </c>
    </row>
    <row r="388" spans="14:15" x14ac:dyDescent="0.3">
      <c r="N388" t="s">
        <v>1570</v>
      </c>
      <c r="O388" t="s">
        <v>541</v>
      </c>
    </row>
    <row r="389" spans="14:15" x14ac:dyDescent="0.3">
      <c r="N389" t="s">
        <v>1571</v>
      </c>
      <c r="O389" t="s">
        <v>542</v>
      </c>
    </row>
    <row r="390" spans="14:15" x14ac:dyDescent="0.3">
      <c r="N390" t="s">
        <v>1572</v>
      </c>
      <c r="O390" t="s">
        <v>543</v>
      </c>
    </row>
    <row r="391" spans="14:15" x14ac:dyDescent="0.3">
      <c r="N391" t="s">
        <v>1573</v>
      </c>
      <c r="O391" t="s">
        <v>544</v>
      </c>
    </row>
    <row r="392" spans="14:15" x14ac:dyDescent="0.3">
      <c r="N392" t="s">
        <v>1574</v>
      </c>
      <c r="O392" t="s">
        <v>545</v>
      </c>
    </row>
    <row r="393" spans="14:15" x14ac:dyDescent="0.3">
      <c r="N393" t="s">
        <v>1575</v>
      </c>
      <c r="O393" t="s">
        <v>40</v>
      </c>
    </row>
    <row r="394" spans="14:15" x14ac:dyDescent="0.3">
      <c r="N394" t="s">
        <v>1576</v>
      </c>
      <c r="O394" t="s">
        <v>546</v>
      </c>
    </row>
    <row r="395" spans="14:15" x14ac:dyDescent="0.3">
      <c r="N395" t="s">
        <v>1577</v>
      </c>
      <c r="O395" t="s">
        <v>41</v>
      </c>
    </row>
    <row r="396" spans="14:15" x14ac:dyDescent="0.3">
      <c r="N396" t="s">
        <v>1578</v>
      </c>
      <c r="O396" t="s">
        <v>42</v>
      </c>
    </row>
    <row r="397" spans="14:15" x14ac:dyDescent="0.3">
      <c r="N397" t="s">
        <v>1579</v>
      </c>
      <c r="O397" t="s">
        <v>43</v>
      </c>
    </row>
    <row r="398" spans="14:15" x14ac:dyDescent="0.3">
      <c r="N398" t="s">
        <v>1580</v>
      </c>
      <c r="O398" t="s">
        <v>547</v>
      </c>
    </row>
    <row r="399" spans="14:15" x14ac:dyDescent="0.3">
      <c r="N399" t="s">
        <v>1581</v>
      </c>
      <c r="O399" t="s">
        <v>44</v>
      </c>
    </row>
    <row r="400" spans="14:15" x14ac:dyDescent="0.3">
      <c r="N400" t="s">
        <v>1582</v>
      </c>
      <c r="O400" t="s">
        <v>548</v>
      </c>
    </row>
    <row r="401" spans="14:15" x14ac:dyDescent="0.3">
      <c r="N401" t="s">
        <v>1583</v>
      </c>
      <c r="O401" t="s">
        <v>549</v>
      </c>
    </row>
    <row r="402" spans="14:15" x14ac:dyDescent="0.3">
      <c r="N402" t="s">
        <v>1584</v>
      </c>
      <c r="O402" t="s">
        <v>550</v>
      </c>
    </row>
    <row r="403" spans="14:15" x14ac:dyDescent="0.3">
      <c r="N403" t="s">
        <v>1585</v>
      </c>
      <c r="O403" t="s">
        <v>45</v>
      </c>
    </row>
    <row r="404" spans="14:15" x14ac:dyDescent="0.3">
      <c r="N404" t="s">
        <v>1586</v>
      </c>
      <c r="O404" t="s">
        <v>551</v>
      </c>
    </row>
    <row r="405" spans="14:15" x14ac:dyDescent="0.3">
      <c r="N405" t="s">
        <v>1587</v>
      </c>
      <c r="O405" t="s">
        <v>552</v>
      </c>
    </row>
    <row r="406" spans="14:15" x14ac:dyDescent="0.3">
      <c r="N406" t="s">
        <v>1588</v>
      </c>
      <c r="O406" t="s">
        <v>553</v>
      </c>
    </row>
    <row r="407" spans="14:15" x14ac:dyDescent="0.3">
      <c r="N407" t="s">
        <v>1589</v>
      </c>
      <c r="O407" t="s">
        <v>554</v>
      </c>
    </row>
    <row r="408" spans="14:15" x14ac:dyDescent="0.3">
      <c r="N408" t="s">
        <v>1590</v>
      </c>
      <c r="O408" t="s">
        <v>555</v>
      </c>
    </row>
    <row r="409" spans="14:15" x14ac:dyDescent="0.3">
      <c r="N409" t="s">
        <v>1591</v>
      </c>
      <c r="O409" t="s">
        <v>556</v>
      </c>
    </row>
    <row r="410" spans="14:15" x14ac:dyDescent="0.3">
      <c r="N410" t="s">
        <v>1592</v>
      </c>
      <c r="O410" t="s">
        <v>557</v>
      </c>
    </row>
    <row r="411" spans="14:15" x14ac:dyDescent="0.3">
      <c r="N411" t="s">
        <v>1593</v>
      </c>
      <c r="O411" t="s">
        <v>558</v>
      </c>
    </row>
    <row r="412" spans="14:15" x14ac:dyDescent="0.3">
      <c r="N412" t="s">
        <v>1594</v>
      </c>
      <c r="O412" t="s">
        <v>559</v>
      </c>
    </row>
    <row r="413" spans="14:15" x14ac:dyDescent="0.3">
      <c r="N413" t="s">
        <v>1595</v>
      </c>
      <c r="O413" t="s">
        <v>560</v>
      </c>
    </row>
    <row r="414" spans="14:15" x14ac:dyDescent="0.3">
      <c r="N414" t="s">
        <v>1596</v>
      </c>
      <c r="O414" t="s">
        <v>561</v>
      </c>
    </row>
    <row r="415" spans="14:15" x14ac:dyDescent="0.3">
      <c r="N415" t="s">
        <v>1597</v>
      </c>
      <c r="O415" t="s">
        <v>562</v>
      </c>
    </row>
    <row r="416" spans="14:15" x14ac:dyDescent="0.3">
      <c r="N416" t="s">
        <v>1598</v>
      </c>
      <c r="O416" t="s">
        <v>563</v>
      </c>
    </row>
    <row r="417" spans="14:15" x14ac:dyDescent="0.3">
      <c r="N417" t="s">
        <v>1599</v>
      </c>
      <c r="O417" t="s">
        <v>564</v>
      </c>
    </row>
    <row r="418" spans="14:15" x14ac:dyDescent="0.3">
      <c r="N418" t="s">
        <v>1600</v>
      </c>
      <c r="O418" t="s">
        <v>565</v>
      </c>
    </row>
    <row r="419" spans="14:15" x14ac:dyDescent="0.3">
      <c r="N419" t="s">
        <v>1601</v>
      </c>
      <c r="O419" t="s">
        <v>566</v>
      </c>
    </row>
    <row r="420" spans="14:15" x14ac:dyDescent="0.3">
      <c r="N420" t="s">
        <v>1602</v>
      </c>
      <c r="O420" t="s">
        <v>567</v>
      </c>
    </row>
    <row r="421" spans="14:15" x14ac:dyDescent="0.3">
      <c r="N421" t="s">
        <v>1603</v>
      </c>
      <c r="O421" t="s">
        <v>568</v>
      </c>
    </row>
    <row r="422" spans="14:15" x14ac:dyDescent="0.3">
      <c r="N422" t="s">
        <v>1604</v>
      </c>
      <c r="O422" t="s">
        <v>569</v>
      </c>
    </row>
    <row r="423" spans="14:15" x14ac:dyDescent="0.3">
      <c r="N423" t="s">
        <v>1605</v>
      </c>
      <c r="O423" t="s">
        <v>570</v>
      </c>
    </row>
    <row r="424" spans="14:15" x14ac:dyDescent="0.3">
      <c r="N424" t="s">
        <v>1606</v>
      </c>
      <c r="O424" t="s">
        <v>571</v>
      </c>
    </row>
    <row r="425" spans="14:15" x14ac:dyDescent="0.3">
      <c r="N425" t="s">
        <v>1607</v>
      </c>
      <c r="O425" t="s">
        <v>572</v>
      </c>
    </row>
    <row r="426" spans="14:15" x14ac:dyDescent="0.3">
      <c r="N426" t="s">
        <v>1608</v>
      </c>
      <c r="O426" t="s">
        <v>573</v>
      </c>
    </row>
    <row r="427" spans="14:15" x14ac:dyDescent="0.3">
      <c r="N427" t="s">
        <v>1609</v>
      </c>
      <c r="O427" t="s">
        <v>574</v>
      </c>
    </row>
    <row r="428" spans="14:15" x14ac:dyDescent="0.3">
      <c r="N428" t="s">
        <v>1610</v>
      </c>
      <c r="O428" t="s">
        <v>575</v>
      </c>
    </row>
    <row r="429" spans="14:15" x14ac:dyDescent="0.3">
      <c r="N429" t="s">
        <v>1611</v>
      </c>
      <c r="O429" t="s">
        <v>576</v>
      </c>
    </row>
    <row r="430" spans="14:15" x14ac:dyDescent="0.3">
      <c r="N430" t="s">
        <v>1612</v>
      </c>
      <c r="O430" t="s">
        <v>577</v>
      </c>
    </row>
    <row r="431" spans="14:15" x14ac:dyDescent="0.3">
      <c r="N431" t="s">
        <v>1613</v>
      </c>
      <c r="O431" t="s">
        <v>578</v>
      </c>
    </row>
    <row r="432" spans="14:15" x14ac:dyDescent="0.3">
      <c r="N432" t="s">
        <v>1614</v>
      </c>
      <c r="O432" t="s">
        <v>46</v>
      </c>
    </row>
    <row r="433" spans="14:15" x14ac:dyDescent="0.3">
      <c r="N433" t="s">
        <v>1615</v>
      </c>
      <c r="O433" t="s">
        <v>579</v>
      </c>
    </row>
    <row r="434" spans="14:15" x14ac:dyDescent="0.3">
      <c r="N434" t="s">
        <v>1616</v>
      </c>
      <c r="O434" t="s">
        <v>580</v>
      </c>
    </row>
    <row r="435" spans="14:15" x14ac:dyDescent="0.3">
      <c r="N435" t="s">
        <v>1617</v>
      </c>
      <c r="O435" t="s">
        <v>581</v>
      </c>
    </row>
    <row r="436" spans="14:15" x14ac:dyDescent="0.3">
      <c r="N436" t="s">
        <v>1618</v>
      </c>
      <c r="O436" t="s">
        <v>582</v>
      </c>
    </row>
    <row r="437" spans="14:15" x14ac:dyDescent="0.3">
      <c r="N437" t="s">
        <v>1619</v>
      </c>
      <c r="O437" t="s">
        <v>583</v>
      </c>
    </row>
    <row r="438" spans="14:15" x14ac:dyDescent="0.3">
      <c r="N438" t="s">
        <v>1620</v>
      </c>
      <c r="O438" t="s">
        <v>584</v>
      </c>
    </row>
    <row r="439" spans="14:15" x14ac:dyDescent="0.3">
      <c r="N439" t="s">
        <v>1621</v>
      </c>
      <c r="O439" t="s">
        <v>585</v>
      </c>
    </row>
    <row r="440" spans="14:15" x14ac:dyDescent="0.3">
      <c r="N440" t="s">
        <v>1622</v>
      </c>
      <c r="O440" t="s">
        <v>586</v>
      </c>
    </row>
    <row r="441" spans="14:15" x14ac:dyDescent="0.3">
      <c r="N441" t="s">
        <v>1623</v>
      </c>
      <c r="O441" t="s">
        <v>587</v>
      </c>
    </row>
    <row r="442" spans="14:15" x14ac:dyDescent="0.3">
      <c r="N442" t="s">
        <v>1624</v>
      </c>
      <c r="O442" t="s">
        <v>588</v>
      </c>
    </row>
    <row r="443" spans="14:15" x14ac:dyDescent="0.3">
      <c r="N443" t="s">
        <v>1625</v>
      </c>
      <c r="O443" t="s">
        <v>589</v>
      </c>
    </row>
    <row r="444" spans="14:15" x14ac:dyDescent="0.3">
      <c r="N444" t="s">
        <v>1626</v>
      </c>
      <c r="O444" t="s">
        <v>590</v>
      </c>
    </row>
    <row r="445" spans="14:15" x14ac:dyDescent="0.3">
      <c r="N445" t="s">
        <v>1627</v>
      </c>
      <c r="O445" t="s">
        <v>591</v>
      </c>
    </row>
    <row r="446" spans="14:15" x14ac:dyDescent="0.3">
      <c r="N446" t="s">
        <v>1628</v>
      </c>
      <c r="O446" t="s">
        <v>592</v>
      </c>
    </row>
    <row r="447" spans="14:15" x14ac:dyDescent="0.3">
      <c r="N447" t="s">
        <v>1629</v>
      </c>
      <c r="O447" t="s">
        <v>593</v>
      </c>
    </row>
    <row r="448" spans="14:15" x14ac:dyDescent="0.3">
      <c r="N448" t="s">
        <v>1630</v>
      </c>
      <c r="O448" t="s">
        <v>594</v>
      </c>
    </row>
    <row r="449" spans="14:15" x14ac:dyDescent="0.3">
      <c r="N449" t="s">
        <v>1631</v>
      </c>
      <c r="O449" t="s">
        <v>595</v>
      </c>
    </row>
    <row r="450" spans="14:15" x14ac:dyDescent="0.3">
      <c r="N450" t="s">
        <v>1632</v>
      </c>
      <c r="O450" t="s">
        <v>596</v>
      </c>
    </row>
    <row r="451" spans="14:15" x14ac:dyDescent="0.3">
      <c r="N451" t="s">
        <v>1633</v>
      </c>
      <c r="O451" t="s">
        <v>597</v>
      </c>
    </row>
    <row r="452" spans="14:15" x14ac:dyDescent="0.3">
      <c r="N452" t="s">
        <v>1634</v>
      </c>
      <c r="O452" t="s">
        <v>598</v>
      </c>
    </row>
    <row r="453" spans="14:15" x14ac:dyDescent="0.3">
      <c r="N453" t="s">
        <v>1635</v>
      </c>
      <c r="O453" t="s">
        <v>599</v>
      </c>
    </row>
    <row r="454" spans="14:15" x14ac:dyDescent="0.3">
      <c r="N454" t="s">
        <v>1636</v>
      </c>
      <c r="O454" t="s">
        <v>600</v>
      </c>
    </row>
    <row r="455" spans="14:15" x14ac:dyDescent="0.3">
      <c r="N455" t="s">
        <v>1637</v>
      </c>
      <c r="O455" t="s">
        <v>601</v>
      </c>
    </row>
    <row r="456" spans="14:15" x14ac:dyDescent="0.3">
      <c r="N456" t="s">
        <v>1638</v>
      </c>
      <c r="O456" t="s">
        <v>602</v>
      </c>
    </row>
    <row r="457" spans="14:15" x14ac:dyDescent="0.3">
      <c r="N457" t="s">
        <v>1639</v>
      </c>
      <c r="O457" t="s">
        <v>603</v>
      </c>
    </row>
    <row r="458" spans="14:15" x14ac:dyDescent="0.3">
      <c r="N458" t="s">
        <v>1640</v>
      </c>
      <c r="O458" t="s">
        <v>604</v>
      </c>
    </row>
    <row r="459" spans="14:15" x14ac:dyDescent="0.3">
      <c r="N459" t="s">
        <v>1641</v>
      </c>
      <c r="O459" t="s">
        <v>605</v>
      </c>
    </row>
    <row r="460" spans="14:15" x14ac:dyDescent="0.3">
      <c r="N460" t="s">
        <v>1642</v>
      </c>
      <c r="O460" t="s">
        <v>606</v>
      </c>
    </row>
    <row r="461" spans="14:15" x14ac:dyDescent="0.3">
      <c r="N461" t="s">
        <v>1643</v>
      </c>
      <c r="O461" t="s">
        <v>607</v>
      </c>
    </row>
    <row r="462" spans="14:15" x14ac:dyDescent="0.3">
      <c r="N462" t="s">
        <v>1644</v>
      </c>
      <c r="O462" t="s">
        <v>608</v>
      </c>
    </row>
    <row r="463" spans="14:15" x14ac:dyDescent="0.3">
      <c r="N463" t="s">
        <v>1645</v>
      </c>
      <c r="O463" t="s">
        <v>609</v>
      </c>
    </row>
    <row r="464" spans="14:15" x14ac:dyDescent="0.3">
      <c r="N464" t="s">
        <v>1646</v>
      </c>
      <c r="O464" t="s">
        <v>610</v>
      </c>
    </row>
    <row r="465" spans="14:15" x14ac:dyDescent="0.3">
      <c r="N465" t="s">
        <v>1647</v>
      </c>
      <c r="O465" t="s">
        <v>611</v>
      </c>
    </row>
    <row r="466" spans="14:15" x14ac:dyDescent="0.3">
      <c r="N466" t="s">
        <v>1648</v>
      </c>
      <c r="O466" t="s">
        <v>612</v>
      </c>
    </row>
    <row r="467" spans="14:15" x14ac:dyDescent="0.3">
      <c r="N467" t="s">
        <v>1649</v>
      </c>
      <c r="O467" t="s">
        <v>613</v>
      </c>
    </row>
    <row r="468" spans="14:15" x14ac:dyDescent="0.3">
      <c r="N468" t="s">
        <v>1650</v>
      </c>
      <c r="O468" t="s">
        <v>614</v>
      </c>
    </row>
    <row r="469" spans="14:15" x14ac:dyDescent="0.3">
      <c r="N469" t="s">
        <v>1651</v>
      </c>
      <c r="O469" t="s">
        <v>615</v>
      </c>
    </row>
    <row r="470" spans="14:15" x14ac:dyDescent="0.3">
      <c r="N470" t="s">
        <v>1652</v>
      </c>
      <c r="O470" t="s">
        <v>616</v>
      </c>
    </row>
    <row r="471" spans="14:15" x14ac:dyDescent="0.3">
      <c r="N471" t="s">
        <v>1653</v>
      </c>
      <c r="O471" t="s">
        <v>617</v>
      </c>
    </row>
    <row r="472" spans="14:15" x14ac:dyDescent="0.3">
      <c r="N472" t="s">
        <v>1654</v>
      </c>
      <c r="O472" t="s">
        <v>618</v>
      </c>
    </row>
    <row r="473" spans="14:15" x14ac:dyDescent="0.3">
      <c r="N473" t="s">
        <v>1655</v>
      </c>
      <c r="O473" t="s">
        <v>619</v>
      </c>
    </row>
    <row r="474" spans="14:15" x14ac:dyDescent="0.3">
      <c r="N474" t="s">
        <v>1656</v>
      </c>
      <c r="O474" t="s">
        <v>620</v>
      </c>
    </row>
    <row r="475" spans="14:15" x14ac:dyDescent="0.3">
      <c r="N475" t="s">
        <v>1657</v>
      </c>
      <c r="O475" t="s">
        <v>621</v>
      </c>
    </row>
    <row r="476" spans="14:15" x14ac:dyDescent="0.3">
      <c r="N476" t="s">
        <v>1658</v>
      </c>
      <c r="O476" t="s">
        <v>622</v>
      </c>
    </row>
    <row r="477" spans="14:15" x14ac:dyDescent="0.3">
      <c r="N477" t="s">
        <v>1659</v>
      </c>
      <c r="O477" t="s">
        <v>623</v>
      </c>
    </row>
    <row r="478" spans="14:15" x14ac:dyDescent="0.3">
      <c r="N478" t="s">
        <v>1660</v>
      </c>
      <c r="O478" t="s">
        <v>624</v>
      </c>
    </row>
    <row r="479" spans="14:15" x14ac:dyDescent="0.3">
      <c r="N479" t="s">
        <v>1661</v>
      </c>
      <c r="O479" t="s">
        <v>625</v>
      </c>
    </row>
    <row r="480" spans="14:15" x14ac:dyDescent="0.3">
      <c r="N480" t="s">
        <v>1662</v>
      </c>
      <c r="O480" t="s">
        <v>626</v>
      </c>
    </row>
    <row r="481" spans="14:15" x14ac:dyDescent="0.3">
      <c r="N481" t="s">
        <v>1663</v>
      </c>
      <c r="O481" t="s">
        <v>47</v>
      </c>
    </row>
    <row r="482" spans="14:15" x14ac:dyDescent="0.3">
      <c r="N482" t="s">
        <v>1664</v>
      </c>
      <c r="O482" t="s">
        <v>627</v>
      </c>
    </row>
    <row r="483" spans="14:15" x14ac:dyDescent="0.3">
      <c r="N483" t="s">
        <v>1665</v>
      </c>
      <c r="O483" t="s">
        <v>628</v>
      </c>
    </row>
    <row r="484" spans="14:15" x14ac:dyDescent="0.3">
      <c r="N484" t="s">
        <v>1666</v>
      </c>
      <c r="O484" t="s">
        <v>629</v>
      </c>
    </row>
    <row r="485" spans="14:15" x14ac:dyDescent="0.3">
      <c r="N485" t="s">
        <v>1667</v>
      </c>
      <c r="O485" t="s">
        <v>630</v>
      </c>
    </row>
    <row r="486" spans="14:15" x14ac:dyDescent="0.3">
      <c r="N486" t="s">
        <v>1668</v>
      </c>
      <c r="O486" t="s">
        <v>631</v>
      </c>
    </row>
    <row r="487" spans="14:15" x14ac:dyDescent="0.3">
      <c r="N487" t="s">
        <v>1669</v>
      </c>
      <c r="O487" t="s">
        <v>632</v>
      </c>
    </row>
    <row r="488" spans="14:15" x14ac:dyDescent="0.3">
      <c r="N488" t="s">
        <v>1670</v>
      </c>
      <c r="O488" t="s">
        <v>633</v>
      </c>
    </row>
    <row r="489" spans="14:15" x14ac:dyDescent="0.3">
      <c r="N489" t="s">
        <v>1671</v>
      </c>
      <c r="O489" t="s">
        <v>634</v>
      </c>
    </row>
    <row r="490" spans="14:15" x14ac:dyDescent="0.3">
      <c r="N490" t="s">
        <v>1672</v>
      </c>
      <c r="O490" t="s">
        <v>635</v>
      </c>
    </row>
    <row r="491" spans="14:15" x14ac:dyDescent="0.3">
      <c r="N491" t="s">
        <v>1673</v>
      </c>
      <c r="O491" t="s">
        <v>636</v>
      </c>
    </row>
    <row r="492" spans="14:15" x14ac:dyDescent="0.3">
      <c r="N492" t="s">
        <v>1674</v>
      </c>
      <c r="O492" t="s">
        <v>637</v>
      </c>
    </row>
    <row r="493" spans="14:15" x14ac:dyDescent="0.3">
      <c r="N493" t="s">
        <v>1675</v>
      </c>
      <c r="O493" t="s">
        <v>638</v>
      </c>
    </row>
    <row r="494" spans="14:15" x14ac:dyDescent="0.3">
      <c r="N494" t="s">
        <v>1676</v>
      </c>
      <c r="O494" t="s">
        <v>639</v>
      </c>
    </row>
    <row r="495" spans="14:15" x14ac:dyDescent="0.3">
      <c r="N495" t="s">
        <v>1677</v>
      </c>
      <c r="O495" t="s">
        <v>640</v>
      </c>
    </row>
    <row r="496" spans="14:15" x14ac:dyDescent="0.3">
      <c r="N496" t="s">
        <v>1678</v>
      </c>
      <c r="O496" t="s">
        <v>641</v>
      </c>
    </row>
    <row r="497" spans="14:15" x14ac:dyDescent="0.3">
      <c r="N497" t="s">
        <v>1679</v>
      </c>
      <c r="O497" t="s">
        <v>642</v>
      </c>
    </row>
    <row r="498" spans="14:15" x14ac:dyDescent="0.3">
      <c r="N498" t="s">
        <v>1680</v>
      </c>
      <c r="O498" t="s">
        <v>643</v>
      </c>
    </row>
    <row r="499" spans="14:15" x14ac:dyDescent="0.3">
      <c r="N499" t="s">
        <v>1681</v>
      </c>
      <c r="O499" t="s">
        <v>644</v>
      </c>
    </row>
    <row r="500" spans="14:15" x14ac:dyDescent="0.3">
      <c r="N500" t="s">
        <v>1682</v>
      </c>
      <c r="O500" t="s">
        <v>645</v>
      </c>
    </row>
    <row r="501" spans="14:15" x14ac:dyDescent="0.3">
      <c r="N501" t="s">
        <v>1683</v>
      </c>
      <c r="O501" t="s">
        <v>646</v>
      </c>
    </row>
    <row r="502" spans="14:15" x14ac:dyDescent="0.3">
      <c r="N502" t="s">
        <v>1684</v>
      </c>
      <c r="O502" t="s">
        <v>647</v>
      </c>
    </row>
    <row r="503" spans="14:15" x14ac:dyDescent="0.3">
      <c r="N503" t="s">
        <v>1685</v>
      </c>
      <c r="O503" t="s">
        <v>648</v>
      </c>
    </row>
    <row r="504" spans="14:15" x14ac:dyDescent="0.3">
      <c r="N504" t="s">
        <v>1686</v>
      </c>
      <c r="O504" t="s">
        <v>649</v>
      </c>
    </row>
    <row r="505" spans="14:15" x14ac:dyDescent="0.3">
      <c r="N505" t="s">
        <v>1687</v>
      </c>
      <c r="O505" t="s">
        <v>650</v>
      </c>
    </row>
    <row r="506" spans="14:15" x14ac:dyDescent="0.3">
      <c r="N506" t="s">
        <v>1688</v>
      </c>
      <c r="O506" t="s">
        <v>651</v>
      </c>
    </row>
    <row r="507" spans="14:15" x14ac:dyDescent="0.3">
      <c r="N507" t="s">
        <v>1689</v>
      </c>
      <c r="O507" t="s">
        <v>652</v>
      </c>
    </row>
    <row r="508" spans="14:15" x14ac:dyDescent="0.3">
      <c r="N508" t="s">
        <v>1690</v>
      </c>
      <c r="O508" t="s">
        <v>653</v>
      </c>
    </row>
    <row r="509" spans="14:15" x14ac:dyDescent="0.3">
      <c r="N509" t="s">
        <v>1691</v>
      </c>
      <c r="O509" t="s">
        <v>654</v>
      </c>
    </row>
    <row r="510" spans="14:15" x14ac:dyDescent="0.3">
      <c r="N510" t="s">
        <v>1692</v>
      </c>
      <c r="O510" t="s">
        <v>655</v>
      </c>
    </row>
    <row r="511" spans="14:15" x14ac:dyDescent="0.3">
      <c r="N511" t="s">
        <v>1693</v>
      </c>
      <c r="O511" t="s">
        <v>656</v>
      </c>
    </row>
    <row r="512" spans="14:15" x14ac:dyDescent="0.3">
      <c r="N512" t="s">
        <v>1694</v>
      </c>
      <c r="O512" t="s">
        <v>657</v>
      </c>
    </row>
    <row r="513" spans="14:15" x14ac:dyDescent="0.3">
      <c r="N513" t="s">
        <v>1695</v>
      </c>
      <c r="O513" t="s">
        <v>658</v>
      </c>
    </row>
    <row r="514" spans="14:15" x14ac:dyDescent="0.3">
      <c r="N514" t="s">
        <v>1696</v>
      </c>
      <c r="O514" t="s">
        <v>659</v>
      </c>
    </row>
    <row r="515" spans="14:15" x14ac:dyDescent="0.3">
      <c r="N515" t="s">
        <v>1697</v>
      </c>
      <c r="O515" t="s">
        <v>660</v>
      </c>
    </row>
    <row r="516" spans="14:15" x14ac:dyDescent="0.3">
      <c r="N516" t="s">
        <v>1698</v>
      </c>
      <c r="O516" t="s">
        <v>661</v>
      </c>
    </row>
    <row r="517" spans="14:15" x14ac:dyDescent="0.3">
      <c r="N517" t="s">
        <v>1699</v>
      </c>
      <c r="O517" t="s">
        <v>662</v>
      </c>
    </row>
    <row r="518" spans="14:15" x14ac:dyDescent="0.3">
      <c r="N518" t="s">
        <v>1700</v>
      </c>
      <c r="O518" t="s">
        <v>663</v>
      </c>
    </row>
    <row r="519" spans="14:15" x14ac:dyDescent="0.3">
      <c r="N519" t="s">
        <v>1701</v>
      </c>
      <c r="O519" t="s">
        <v>664</v>
      </c>
    </row>
    <row r="520" spans="14:15" x14ac:dyDescent="0.3">
      <c r="N520" t="s">
        <v>1702</v>
      </c>
      <c r="O520" t="s">
        <v>665</v>
      </c>
    </row>
    <row r="521" spans="14:15" x14ac:dyDescent="0.3">
      <c r="N521" t="s">
        <v>1703</v>
      </c>
      <c r="O521" t="s">
        <v>666</v>
      </c>
    </row>
    <row r="522" spans="14:15" x14ac:dyDescent="0.3">
      <c r="N522" t="s">
        <v>1704</v>
      </c>
      <c r="O522" t="s">
        <v>667</v>
      </c>
    </row>
    <row r="523" spans="14:15" x14ac:dyDescent="0.3">
      <c r="N523" t="s">
        <v>1705</v>
      </c>
      <c r="O523" t="s">
        <v>673</v>
      </c>
    </row>
    <row r="524" spans="14:15" x14ac:dyDescent="0.3">
      <c r="N524" t="s">
        <v>1706</v>
      </c>
      <c r="O524" t="s">
        <v>668</v>
      </c>
    </row>
    <row r="525" spans="14:15" x14ac:dyDescent="0.3">
      <c r="N525" t="s">
        <v>1707</v>
      </c>
      <c r="O525" t="s">
        <v>669</v>
      </c>
    </row>
    <row r="526" spans="14:15" x14ac:dyDescent="0.3">
      <c r="N526" t="s">
        <v>1708</v>
      </c>
      <c r="O526" t="s">
        <v>670</v>
      </c>
    </row>
    <row r="527" spans="14:15" x14ac:dyDescent="0.3">
      <c r="N527" t="s">
        <v>1709</v>
      </c>
      <c r="O527" t="s">
        <v>671</v>
      </c>
    </row>
    <row r="528" spans="14:15" x14ac:dyDescent="0.3">
      <c r="N528" t="s">
        <v>1710</v>
      </c>
      <c r="O528" t="s">
        <v>672</v>
      </c>
    </row>
    <row r="529" spans="14:15" x14ac:dyDescent="0.3">
      <c r="N529" t="s">
        <v>1711</v>
      </c>
      <c r="O529" t="s">
        <v>674</v>
      </c>
    </row>
    <row r="530" spans="14:15" x14ac:dyDescent="0.3">
      <c r="N530" t="s">
        <v>1712</v>
      </c>
      <c r="O530" t="s">
        <v>675</v>
      </c>
    </row>
    <row r="531" spans="14:15" x14ac:dyDescent="0.3">
      <c r="N531" t="s">
        <v>1713</v>
      </c>
      <c r="O531" t="s">
        <v>676</v>
      </c>
    </row>
    <row r="532" spans="14:15" x14ac:dyDescent="0.3">
      <c r="N532" t="s">
        <v>1714</v>
      </c>
      <c r="O532" t="s">
        <v>677</v>
      </c>
    </row>
    <row r="533" spans="14:15" x14ac:dyDescent="0.3">
      <c r="N533" t="s">
        <v>1715</v>
      </c>
      <c r="O533" t="s">
        <v>678</v>
      </c>
    </row>
    <row r="534" spans="14:15" x14ac:dyDescent="0.3">
      <c r="N534" t="s">
        <v>1716</v>
      </c>
      <c r="O534" t="s">
        <v>679</v>
      </c>
    </row>
    <row r="535" spans="14:15" x14ac:dyDescent="0.3">
      <c r="N535" t="s">
        <v>1717</v>
      </c>
      <c r="O535" t="s">
        <v>680</v>
      </c>
    </row>
    <row r="536" spans="14:15" x14ac:dyDescent="0.3">
      <c r="N536" t="s">
        <v>1718</v>
      </c>
      <c r="O536" t="s">
        <v>681</v>
      </c>
    </row>
    <row r="537" spans="14:15" x14ac:dyDescent="0.3">
      <c r="N537" t="s">
        <v>1719</v>
      </c>
      <c r="O537" t="s">
        <v>682</v>
      </c>
    </row>
    <row r="538" spans="14:15" x14ac:dyDescent="0.3">
      <c r="N538" t="s">
        <v>1720</v>
      </c>
      <c r="O538" t="s">
        <v>683</v>
      </c>
    </row>
    <row r="539" spans="14:15" x14ac:dyDescent="0.3">
      <c r="N539" t="s">
        <v>1721</v>
      </c>
      <c r="O539" t="s">
        <v>684</v>
      </c>
    </row>
    <row r="540" spans="14:15" x14ac:dyDescent="0.3">
      <c r="N540" t="s">
        <v>1722</v>
      </c>
      <c r="O540" t="s">
        <v>685</v>
      </c>
    </row>
    <row r="541" spans="14:15" x14ac:dyDescent="0.3">
      <c r="N541" t="s">
        <v>1723</v>
      </c>
      <c r="O541" t="s">
        <v>686</v>
      </c>
    </row>
    <row r="542" spans="14:15" x14ac:dyDescent="0.3">
      <c r="N542" t="s">
        <v>1724</v>
      </c>
      <c r="O542" t="s">
        <v>687</v>
      </c>
    </row>
    <row r="543" spans="14:15" x14ac:dyDescent="0.3">
      <c r="N543" t="s">
        <v>1725</v>
      </c>
      <c r="O543" t="s">
        <v>688</v>
      </c>
    </row>
    <row r="544" spans="14:15" x14ac:dyDescent="0.3">
      <c r="N544" t="s">
        <v>1726</v>
      </c>
      <c r="O544" t="s">
        <v>689</v>
      </c>
    </row>
    <row r="545" spans="14:15" x14ac:dyDescent="0.3">
      <c r="N545" t="s">
        <v>1727</v>
      </c>
      <c r="O545" t="s">
        <v>690</v>
      </c>
    </row>
    <row r="546" spans="14:15" x14ac:dyDescent="0.3">
      <c r="N546" t="s">
        <v>1728</v>
      </c>
      <c r="O546" t="s">
        <v>691</v>
      </c>
    </row>
    <row r="547" spans="14:15" x14ac:dyDescent="0.3">
      <c r="N547" t="s">
        <v>1729</v>
      </c>
      <c r="O547" t="s">
        <v>692</v>
      </c>
    </row>
    <row r="548" spans="14:15" x14ac:dyDescent="0.3">
      <c r="N548" t="s">
        <v>1730</v>
      </c>
      <c r="O548" t="s">
        <v>693</v>
      </c>
    </row>
    <row r="549" spans="14:15" x14ac:dyDescent="0.3">
      <c r="N549" t="s">
        <v>1731</v>
      </c>
      <c r="O549" t="s">
        <v>694</v>
      </c>
    </row>
    <row r="550" spans="14:15" x14ac:dyDescent="0.3">
      <c r="N550" t="s">
        <v>1732</v>
      </c>
      <c r="O550" t="s">
        <v>695</v>
      </c>
    </row>
    <row r="551" spans="14:15" x14ac:dyDescent="0.3">
      <c r="N551" t="s">
        <v>1733</v>
      </c>
      <c r="O551" t="s">
        <v>696</v>
      </c>
    </row>
    <row r="552" spans="14:15" x14ac:dyDescent="0.3">
      <c r="N552" t="s">
        <v>1734</v>
      </c>
      <c r="O552" t="s">
        <v>697</v>
      </c>
    </row>
    <row r="553" spans="14:15" x14ac:dyDescent="0.3">
      <c r="N553" t="s">
        <v>1735</v>
      </c>
      <c r="O553" t="s">
        <v>698</v>
      </c>
    </row>
    <row r="554" spans="14:15" x14ac:dyDescent="0.3">
      <c r="N554" t="s">
        <v>1736</v>
      </c>
      <c r="O554" t="s">
        <v>699</v>
      </c>
    </row>
    <row r="555" spans="14:15" x14ac:dyDescent="0.3">
      <c r="N555" t="s">
        <v>1737</v>
      </c>
      <c r="O555" t="s">
        <v>700</v>
      </c>
    </row>
    <row r="556" spans="14:15" x14ac:dyDescent="0.3">
      <c r="N556" t="s">
        <v>1738</v>
      </c>
      <c r="O556" t="s">
        <v>701</v>
      </c>
    </row>
    <row r="557" spans="14:15" x14ac:dyDescent="0.3">
      <c r="N557" t="s">
        <v>1739</v>
      </c>
      <c r="O557" t="s">
        <v>702</v>
      </c>
    </row>
    <row r="558" spans="14:15" x14ac:dyDescent="0.3">
      <c r="N558" t="s">
        <v>1740</v>
      </c>
      <c r="O558" t="s">
        <v>703</v>
      </c>
    </row>
    <row r="559" spans="14:15" x14ac:dyDescent="0.3">
      <c r="N559" t="s">
        <v>1741</v>
      </c>
      <c r="O559" t="s">
        <v>704</v>
      </c>
    </row>
    <row r="560" spans="14:15" x14ac:dyDescent="0.3">
      <c r="N560" t="s">
        <v>1742</v>
      </c>
      <c r="O560" t="s">
        <v>705</v>
      </c>
    </row>
    <row r="561" spans="14:15" x14ac:dyDescent="0.3">
      <c r="N561" t="s">
        <v>1743</v>
      </c>
      <c r="O561" t="s">
        <v>706</v>
      </c>
    </row>
    <row r="562" spans="14:15" x14ac:dyDescent="0.3">
      <c r="N562" t="s">
        <v>1744</v>
      </c>
      <c r="O562" t="s">
        <v>707</v>
      </c>
    </row>
    <row r="563" spans="14:15" x14ac:dyDescent="0.3">
      <c r="N563" t="s">
        <v>1745</v>
      </c>
      <c r="O563" t="s">
        <v>708</v>
      </c>
    </row>
    <row r="564" spans="14:15" x14ac:dyDescent="0.3">
      <c r="N564" t="s">
        <v>1746</v>
      </c>
      <c r="O564" t="s">
        <v>709</v>
      </c>
    </row>
    <row r="565" spans="14:15" x14ac:dyDescent="0.3">
      <c r="N565" t="s">
        <v>1747</v>
      </c>
      <c r="O565" t="s">
        <v>710</v>
      </c>
    </row>
    <row r="566" spans="14:15" x14ac:dyDescent="0.3">
      <c r="N566" t="s">
        <v>1748</v>
      </c>
      <c r="O566" t="s">
        <v>711</v>
      </c>
    </row>
    <row r="567" spans="14:15" x14ac:dyDescent="0.3">
      <c r="N567" t="s">
        <v>1749</v>
      </c>
      <c r="O567" t="s">
        <v>712</v>
      </c>
    </row>
    <row r="568" spans="14:15" x14ac:dyDescent="0.3">
      <c r="N568" t="s">
        <v>1750</v>
      </c>
      <c r="O568" t="s">
        <v>713</v>
      </c>
    </row>
    <row r="569" spans="14:15" x14ac:dyDescent="0.3">
      <c r="N569" t="s">
        <v>1751</v>
      </c>
      <c r="O569" t="s">
        <v>714</v>
      </c>
    </row>
    <row r="570" spans="14:15" x14ac:dyDescent="0.3">
      <c r="N570" t="s">
        <v>1752</v>
      </c>
      <c r="O570" t="s">
        <v>715</v>
      </c>
    </row>
    <row r="571" spans="14:15" x14ac:dyDescent="0.3">
      <c r="N571" t="s">
        <v>1753</v>
      </c>
      <c r="O571" t="s">
        <v>716</v>
      </c>
    </row>
    <row r="572" spans="14:15" x14ac:dyDescent="0.3">
      <c r="N572" t="s">
        <v>1754</v>
      </c>
      <c r="O572" t="s">
        <v>717</v>
      </c>
    </row>
    <row r="573" spans="14:15" x14ac:dyDescent="0.3">
      <c r="N573" t="s">
        <v>1755</v>
      </c>
      <c r="O573" t="s">
        <v>718</v>
      </c>
    </row>
    <row r="574" spans="14:15" x14ac:dyDescent="0.3">
      <c r="N574" t="s">
        <v>1756</v>
      </c>
      <c r="O574" t="s">
        <v>719</v>
      </c>
    </row>
    <row r="575" spans="14:15" x14ac:dyDescent="0.3">
      <c r="N575" t="s">
        <v>1757</v>
      </c>
      <c r="O575" t="s">
        <v>720</v>
      </c>
    </row>
    <row r="576" spans="14:15" x14ac:dyDescent="0.3">
      <c r="N576" t="s">
        <v>1758</v>
      </c>
      <c r="O576" t="s">
        <v>721</v>
      </c>
    </row>
    <row r="577" spans="14:15" x14ac:dyDescent="0.3">
      <c r="N577" t="s">
        <v>1759</v>
      </c>
      <c r="O577" t="s">
        <v>722</v>
      </c>
    </row>
    <row r="578" spans="14:15" x14ac:dyDescent="0.3">
      <c r="N578" t="s">
        <v>1760</v>
      </c>
      <c r="O578" t="s">
        <v>723</v>
      </c>
    </row>
    <row r="579" spans="14:15" x14ac:dyDescent="0.3">
      <c r="N579" t="s">
        <v>1761</v>
      </c>
      <c r="O579" t="s">
        <v>724</v>
      </c>
    </row>
    <row r="580" spans="14:15" x14ac:dyDescent="0.3">
      <c r="N580" t="s">
        <v>1762</v>
      </c>
      <c r="O580" t="s">
        <v>725</v>
      </c>
    </row>
    <row r="581" spans="14:15" x14ac:dyDescent="0.3">
      <c r="N581" t="s">
        <v>1763</v>
      </c>
      <c r="O581" t="s">
        <v>726</v>
      </c>
    </row>
    <row r="582" spans="14:15" x14ac:dyDescent="0.3">
      <c r="N582" t="s">
        <v>1764</v>
      </c>
      <c r="O582" t="s">
        <v>727</v>
      </c>
    </row>
    <row r="583" spans="14:15" x14ac:dyDescent="0.3">
      <c r="N583" t="s">
        <v>1765</v>
      </c>
      <c r="O583" t="s">
        <v>728</v>
      </c>
    </row>
    <row r="584" spans="14:15" x14ac:dyDescent="0.3">
      <c r="N584" t="s">
        <v>1766</v>
      </c>
      <c r="O584" t="s">
        <v>729</v>
      </c>
    </row>
    <row r="585" spans="14:15" x14ac:dyDescent="0.3">
      <c r="N585" t="s">
        <v>1767</v>
      </c>
      <c r="O585" t="s">
        <v>730</v>
      </c>
    </row>
    <row r="586" spans="14:15" x14ac:dyDescent="0.3">
      <c r="N586" t="s">
        <v>1768</v>
      </c>
      <c r="O586" t="s">
        <v>731</v>
      </c>
    </row>
    <row r="587" spans="14:15" x14ac:dyDescent="0.3">
      <c r="N587" t="s">
        <v>1769</v>
      </c>
      <c r="O587" t="s">
        <v>732</v>
      </c>
    </row>
    <row r="588" spans="14:15" x14ac:dyDescent="0.3">
      <c r="N588" t="s">
        <v>1770</v>
      </c>
      <c r="O588" t="s">
        <v>733</v>
      </c>
    </row>
    <row r="589" spans="14:15" x14ac:dyDescent="0.3">
      <c r="N589" t="s">
        <v>1771</v>
      </c>
      <c r="O589" t="s">
        <v>734</v>
      </c>
    </row>
    <row r="590" spans="14:15" x14ac:dyDescent="0.3">
      <c r="N590" t="s">
        <v>1772</v>
      </c>
      <c r="O590" t="s">
        <v>735</v>
      </c>
    </row>
    <row r="591" spans="14:15" x14ac:dyDescent="0.3">
      <c r="N591" t="s">
        <v>1773</v>
      </c>
      <c r="O591" t="s">
        <v>736</v>
      </c>
    </row>
    <row r="592" spans="14:15" x14ac:dyDescent="0.3">
      <c r="N592" t="s">
        <v>1774</v>
      </c>
      <c r="O592" t="s">
        <v>737</v>
      </c>
    </row>
    <row r="593" spans="14:15" x14ac:dyDescent="0.3">
      <c r="N593" t="s">
        <v>1775</v>
      </c>
      <c r="O593" t="s">
        <v>738</v>
      </c>
    </row>
    <row r="594" spans="14:15" x14ac:dyDescent="0.3">
      <c r="N594" t="s">
        <v>1776</v>
      </c>
      <c r="O594" t="s">
        <v>739</v>
      </c>
    </row>
    <row r="595" spans="14:15" x14ac:dyDescent="0.3">
      <c r="N595" t="s">
        <v>1777</v>
      </c>
      <c r="O595" t="s">
        <v>740</v>
      </c>
    </row>
    <row r="596" spans="14:15" x14ac:dyDescent="0.3">
      <c r="N596" t="s">
        <v>1778</v>
      </c>
      <c r="O596" t="s">
        <v>741</v>
      </c>
    </row>
    <row r="597" spans="14:15" x14ac:dyDescent="0.3">
      <c r="N597" t="s">
        <v>1779</v>
      </c>
      <c r="O597" t="s">
        <v>742</v>
      </c>
    </row>
    <row r="598" spans="14:15" x14ac:dyDescent="0.3">
      <c r="N598" t="s">
        <v>1780</v>
      </c>
      <c r="O598" t="s">
        <v>743</v>
      </c>
    </row>
    <row r="599" spans="14:15" x14ac:dyDescent="0.3">
      <c r="N599" t="s">
        <v>1781</v>
      </c>
      <c r="O599" t="s">
        <v>744</v>
      </c>
    </row>
    <row r="600" spans="14:15" x14ac:dyDescent="0.3">
      <c r="N600" t="s">
        <v>1782</v>
      </c>
      <c r="O600" t="s">
        <v>745</v>
      </c>
    </row>
    <row r="601" spans="14:15" x14ac:dyDescent="0.3">
      <c r="N601" t="s">
        <v>1783</v>
      </c>
      <c r="O601" t="s">
        <v>746</v>
      </c>
    </row>
    <row r="602" spans="14:15" x14ac:dyDescent="0.3">
      <c r="N602" t="s">
        <v>1784</v>
      </c>
      <c r="O602" t="s">
        <v>747</v>
      </c>
    </row>
    <row r="603" spans="14:15" x14ac:dyDescent="0.3">
      <c r="N603" t="s">
        <v>1785</v>
      </c>
      <c r="O603" t="s">
        <v>748</v>
      </c>
    </row>
    <row r="604" spans="14:15" x14ac:dyDescent="0.3">
      <c r="N604" t="s">
        <v>1786</v>
      </c>
      <c r="O604" t="s">
        <v>749</v>
      </c>
    </row>
    <row r="605" spans="14:15" x14ac:dyDescent="0.3">
      <c r="N605" t="s">
        <v>1787</v>
      </c>
      <c r="O605" t="s">
        <v>750</v>
      </c>
    </row>
    <row r="606" spans="14:15" x14ac:dyDescent="0.3">
      <c r="N606" t="s">
        <v>1788</v>
      </c>
      <c r="O606" t="s">
        <v>751</v>
      </c>
    </row>
    <row r="607" spans="14:15" x14ac:dyDescent="0.3">
      <c r="N607" t="s">
        <v>1789</v>
      </c>
      <c r="O607" t="s">
        <v>752</v>
      </c>
    </row>
    <row r="608" spans="14:15" x14ac:dyDescent="0.3">
      <c r="N608" t="s">
        <v>1790</v>
      </c>
      <c r="O608" t="s">
        <v>753</v>
      </c>
    </row>
    <row r="609" spans="14:15" x14ac:dyDescent="0.3">
      <c r="N609" t="s">
        <v>1791</v>
      </c>
      <c r="O609" t="s">
        <v>754</v>
      </c>
    </row>
    <row r="610" spans="14:15" x14ac:dyDescent="0.3">
      <c r="N610" t="s">
        <v>1792</v>
      </c>
      <c r="O610" t="s">
        <v>755</v>
      </c>
    </row>
    <row r="611" spans="14:15" x14ac:dyDescent="0.3">
      <c r="N611" t="s">
        <v>1793</v>
      </c>
      <c r="O611" t="s">
        <v>756</v>
      </c>
    </row>
    <row r="612" spans="14:15" x14ac:dyDescent="0.3">
      <c r="N612" t="s">
        <v>1794</v>
      </c>
      <c r="O612" t="s">
        <v>757</v>
      </c>
    </row>
    <row r="613" spans="14:15" x14ac:dyDescent="0.3">
      <c r="N613" t="s">
        <v>1795</v>
      </c>
      <c r="O613" t="s">
        <v>758</v>
      </c>
    </row>
    <row r="614" spans="14:15" x14ac:dyDescent="0.3">
      <c r="N614" t="s">
        <v>1796</v>
      </c>
      <c r="O614" t="s">
        <v>759</v>
      </c>
    </row>
    <row r="615" spans="14:15" x14ac:dyDescent="0.3">
      <c r="N615" t="s">
        <v>1797</v>
      </c>
      <c r="O615" t="s">
        <v>760</v>
      </c>
    </row>
    <row r="616" spans="14:15" x14ac:dyDescent="0.3">
      <c r="N616" t="s">
        <v>1798</v>
      </c>
      <c r="O616" t="s">
        <v>761</v>
      </c>
    </row>
    <row r="617" spans="14:15" x14ac:dyDescent="0.3">
      <c r="N617" t="s">
        <v>1799</v>
      </c>
      <c r="O617" t="s">
        <v>762</v>
      </c>
    </row>
    <row r="618" spans="14:15" x14ac:dyDescent="0.3">
      <c r="N618" t="s">
        <v>1800</v>
      </c>
      <c r="O618" t="s">
        <v>763</v>
      </c>
    </row>
    <row r="619" spans="14:15" x14ac:dyDescent="0.3">
      <c r="N619" t="s">
        <v>1801</v>
      </c>
      <c r="O619" t="s">
        <v>764</v>
      </c>
    </row>
    <row r="620" spans="14:15" x14ac:dyDescent="0.3">
      <c r="N620" t="s">
        <v>1802</v>
      </c>
      <c r="O620" t="s">
        <v>765</v>
      </c>
    </row>
    <row r="621" spans="14:15" x14ac:dyDescent="0.3">
      <c r="N621" t="s">
        <v>1803</v>
      </c>
      <c r="O621" t="s">
        <v>766</v>
      </c>
    </row>
    <row r="622" spans="14:15" x14ac:dyDescent="0.3">
      <c r="N622" t="s">
        <v>1804</v>
      </c>
      <c r="O622" t="s">
        <v>767</v>
      </c>
    </row>
    <row r="623" spans="14:15" x14ac:dyDescent="0.3">
      <c r="N623" t="s">
        <v>1805</v>
      </c>
      <c r="O623" t="s">
        <v>768</v>
      </c>
    </row>
    <row r="624" spans="14:15" x14ac:dyDescent="0.3">
      <c r="N624" t="s">
        <v>1806</v>
      </c>
      <c r="O624" t="s">
        <v>769</v>
      </c>
    </row>
    <row r="625" spans="14:15" x14ac:dyDescent="0.3">
      <c r="N625" t="s">
        <v>1807</v>
      </c>
      <c r="O625" t="s">
        <v>770</v>
      </c>
    </row>
    <row r="626" spans="14:15" x14ac:dyDescent="0.3">
      <c r="N626" t="s">
        <v>1808</v>
      </c>
      <c r="O626" t="s">
        <v>771</v>
      </c>
    </row>
    <row r="627" spans="14:15" x14ac:dyDescent="0.3">
      <c r="N627" t="s">
        <v>1809</v>
      </c>
      <c r="O627" t="s">
        <v>772</v>
      </c>
    </row>
    <row r="628" spans="14:15" x14ac:dyDescent="0.3">
      <c r="N628" t="s">
        <v>1810</v>
      </c>
      <c r="O628" t="s">
        <v>773</v>
      </c>
    </row>
    <row r="629" spans="14:15" x14ac:dyDescent="0.3">
      <c r="N629" t="s">
        <v>1811</v>
      </c>
      <c r="O629" t="s">
        <v>774</v>
      </c>
    </row>
    <row r="630" spans="14:15" x14ac:dyDescent="0.3">
      <c r="N630" t="s">
        <v>1812</v>
      </c>
      <c r="O630" t="s">
        <v>775</v>
      </c>
    </row>
    <row r="631" spans="14:15" x14ac:dyDescent="0.3">
      <c r="N631" t="s">
        <v>1813</v>
      </c>
      <c r="O631" t="s">
        <v>776</v>
      </c>
    </row>
    <row r="632" spans="14:15" x14ac:dyDescent="0.3">
      <c r="N632" t="s">
        <v>1814</v>
      </c>
      <c r="O632" t="s">
        <v>777</v>
      </c>
    </row>
    <row r="633" spans="14:15" x14ac:dyDescent="0.3">
      <c r="N633" t="s">
        <v>1815</v>
      </c>
      <c r="O633" t="s">
        <v>778</v>
      </c>
    </row>
    <row r="634" spans="14:15" x14ac:dyDescent="0.3">
      <c r="N634" t="s">
        <v>1816</v>
      </c>
      <c r="O634" t="s">
        <v>779</v>
      </c>
    </row>
    <row r="635" spans="14:15" x14ac:dyDescent="0.3">
      <c r="N635" t="s">
        <v>1817</v>
      </c>
      <c r="O635" t="s">
        <v>780</v>
      </c>
    </row>
    <row r="636" spans="14:15" x14ac:dyDescent="0.3">
      <c r="N636" t="s">
        <v>1818</v>
      </c>
      <c r="O636" t="s">
        <v>781</v>
      </c>
    </row>
    <row r="637" spans="14:15" x14ac:dyDescent="0.3">
      <c r="N637" t="s">
        <v>1819</v>
      </c>
      <c r="O637" t="s">
        <v>782</v>
      </c>
    </row>
    <row r="638" spans="14:15" x14ac:dyDescent="0.3">
      <c r="N638" t="s">
        <v>1820</v>
      </c>
      <c r="O638" t="s">
        <v>783</v>
      </c>
    </row>
    <row r="639" spans="14:15" x14ac:dyDescent="0.3">
      <c r="N639" t="s">
        <v>1821</v>
      </c>
      <c r="O639" t="s">
        <v>784</v>
      </c>
    </row>
    <row r="640" spans="14:15" x14ac:dyDescent="0.3">
      <c r="N640" t="s">
        <v>1822</v>
      </c>
      <c r="O640" t="s">
        <v>785</v>
      </c>
    </row>
    <row r="641" spans="14:15" x14ac:dyDescent="0.3">
      <c r="N641" t="s">
        <v>1823</v>
      </c>
      <c r="O641" t="s">
        <v>786</v>
      </c>
    </row>
    <row r="642" spans="14:15" x14ac:dyDescent="0.3">
      <c r="N642" t="s">
        <v>1824</v>
      </c>
      <c r="O642" t="s">
        <v>787</v>
      </c>
    </row>
    <row r="643" spans="14:15" x14ac:dyDescent="0.3">
      <c r="N643" t="s">
        <v>1825</v>
      </c>
      <c r="O643" t="s">
        <v>788</v>
      </c>
    </row>
    <row r="644" spans="14:15" x14ac:dyDescent="0.3">
      <c r="N644" t="s">
        <v>1826</v>
      </c>
      <c r="O644" t="s">
        <v>789</v>
      </c>
    </row>
    <row r="645" spans="14:15" x14ac:dyDescent="0.3">
      <c r="N645" t="s">
        <v>1827</v>
      </c>
      <c r="O645" t="s">
        <v>790</v>
      </c>
    </row>
    <row r="646" spans="14:15" x14ac:dyDescent="0.3">
      <c r="N646" t="s">
        <v>1828</v>
      </c>
      <c r="O646" t="s">
        <v>791</v>
      </c>
    </row>
    <row r="647" spans="14:15" x14ac:dyDescent="0.3">
      <c r="N647" t="s">
        <v>1829</v>
      </c>
      <c r="O647" t="s">
        <v>792</v>
      </c>
    </row>
    <row r="648" spans="14:15" x14ac:dyDescent="0.3">
      <c r="N648" t="s">
        <v>1830</v>
      </c>
      <c r="O648" t="s">
        <v>793</v>
      </c>
    </row>
    <row r="649" spans="14:15" x14ac:dyDescent="0.3">
      <c r="N649" t="s">
        <v>1831</v>
      </c>
      <c r="O649" t="s">
        <v>794</v>
      </c>
    </row>
    <row r="650" spans="14:15" x14ac:dyDescent="0.3">
      <c r="N650" t="s">
        <v>1832</v>
      </c>
      <c r="O650" t="s">
        <v>795</v>
      </c>
    </row>
    <row r="651" spans="14:15" x14ac:dyDescent="0.3">
      <c r="N651" t="s">
        <v>1833</v>
      </c>
      <c r="O651" t="s">
        <v>796</v>
      </c>
    </row>
    <row r="652" spans="14:15" x14ac:dyDescent="0.3">
      <c r="N652" t="s">
        <v>1834</v>
      </c>
      <c r="O652" t="s">
        <v>797</v>
      </c>
    </row>
    <row r="653" spans="14:15" x14ac:dyDescent="0.3">
      <c r="N653" t="s">
        <v>1835</v>
      </c>
      <c r="O653" t="s">
        <v>798</v>
      </c>
    </row>
    <row r="654" spans="14:15" x14ac:dyDescent="0.3">
      <c r="N654" t="s">
        <v>1836</v>
      </c>
      <c r="O654" t="s">
        <v>799</v>
      </c>
    </row>
    <row r="655" spans="14:15" x14ac:dyDescent="0.3">
      <c r="N655" t="s">
        <v>1837</v>
      </c>
      <c r="O655" t="s">
        <v>800</v>
      </c>
    </row>
    <row r="656" spans="14:15" x14ac:dyDescent="0.3">
      <c r="N656" t="s">
        <v>1838</v>
      </c>
      <c r="O656" t="s">
        <v>801</v>
      </c>
    </row>
    <row r="657" spans="14:15" x14ac:dyDescent="0.3">
      <c r="N657" t="s">
        <v>1839</v>
      </c>
      <c r="O657" t="s">
        <v>802</v>
      </c>
    </row>
    <row r="658" spans="14:15" x14ac:dyDescent="0.3">
      <c r="N658" t="s">
        <v>1840</v>
      </c>
      <c r="O658" t="s">
        <v>803</v>
      </c>
    </row>
    <row r="659" spans="14:15" x14ac:dyDescent="0.3">
      <c r="N659" t="s">
        <v>1841</v>
      </c>
      <c r="O659" t="s">
        <v>804</v>
      </c>
    </row>
    <row r="660" spans="14:15" x14ac:dyDescent="0.3">
      <c r="N660" t="s">
        <v>1842</v>
      </c>
      <c r="O660" t="s">
        <v>805</v>
      </c>
    </row>
    <row r="661" spans="14:15" x14ac:dyDescent="0.3">
      <c r="N661" t="s">
        <v>1843</v>
      </c>
      <c r="O661" t="s">
        <v>806</v>
      </c>
    </row>
    <row r="662" spans="14:15" x14ac:dyDescent="0.3">
      <c r="N662" t="s">
        <v>1844</v>
      </c>
      <c r="O662" t="s">
        <v>807</v>
      </c>
    </row>
    <row r="663" spans="14:15" x14ac:dyDescent="0.3">
      <c r="N663" t="s">
        <v>1845</v>
      </c>
      <c r="O663" t="s">
        <v>808</v>
      </c>
    </row>
    <row r="664" spans="14:15" x14ac:dyDescent="0.3">
      <c r="N664" t="s">
        <v>1846</v>
      </c>
      <c r="O664" t="s">
        <v>809</v>
      </c>
    </row>
    <row r="665" spans="14:15" x14ac:dyDescent="0.3">
      <c r="N665" t="s">
        <v>1847</v>
      </c>
      <c r="O665" t="s">
        <v>810</v>
      </c>
    </row>
    <row r="666" spans="14:15" x14ac:dyDescent="0.3">
      <c r="N666" t="s">
        <v>1848</v>
      </c>
      <c r="O666" t="s">
        <v>811</v>
      </c>
    </row>
    <row r="667" spans="14:15" x14ac:dyDescent="0.3">
      <c r="N667" t="s">
        <v>1849</v>
      </c>
      <c r="O667" t="s">
        <v>855</v>
      </c>
    </row>
    <row r="668" spans="14:15" x14ac:dyDescent="0.3">
      <c r="N668" t="s">
        <v>1850</v>
      </c>
      <c r="O668" t="s">
        <v>831</v>
      </c>
    </row>
    <row r="669" spans="14:15" x14ac:dyDescent="0.3">
      <c r="N669" t="s">
        <v>1851</v>
      </c>
      <c r="O669" t="s">
        <v>856</v>
      </c>
    </row>
    <row r="670" spans="14:15" x14ac:dyDescent="0.3">
      <c r="N670" t="s">
        <v>1852</v>
      </c>
      <c r="O670" t="s">
        <v>812</v>
      </c>
    </row>
    <row r="671" spans="14:15" x14ac:dyDescent="0.3">
      <c r="N671" t="s">
        <v>1853</v>
      </c>
      <c r="O671" t="s">
        <v>813</v>
      </c>
    </row>
    <row r="672" spans="14:15" x14ac:dyDescent="0.3">
      <c r="N672" t="s">
        <v>1854</v>
      </c>
      <c r="O672" t="s">
        <v>814</v>
      </c>
    </row>
    <row r="673" spans="14:15" x14ac:dyDescent="0.3">
      <c r="N673" t="s">
        <v>1855</v>
      </c>
      <c r="O673" t="s">
        <v>815</v>
      </c>
    </row>
    <row r="674" spans="14:15" x14ac:dyDescent="0.3">
      <c r="N674" t="s">
        <v>1856</v>
      </c>
      <c r="O674" t="s">
        <v>816</v>
      </c>
    </row>
    <row r="675" spans="14:15" x14ac:dyDescent="0.3">
      <c r="N675" t="s">
        <v>1857</v>
      </c>
      <c r="O675" t="s">
        <v>817</v>
      </c>
    </row>
    <row r="676" spans="14:15" x14ac:dyDescent="0.3">
      <c r="N676" t="s">
        <v>1858</v>
      </c>
      <c r="O676" t="s">
        <v>818</v>
      </c>
    </row>
    <row r="677" spans="14:15" x14ac:dyDescent="0.3">
      <c r="N677" t="s">
        <v>1859</v>
      </c>
      <c r="O677" t="s">
        <v>832</v>
      </c>
    </row>
    <row r="678" spans="14:15" x14ac:dyDescent="0.3">
      <c r="N678" t="s">
        <v>1860</v>
      </c>
      <c r="O678" t="s">
        <v>833</v>
      </c>
    </row>
    <row r="679" spans="14:15" x14ac:dyDescent="0.3">
      <c r="N679" t="s">
        <v>1861</v>
      </c>
      <c r="O679" t="s">
        <v>834</v>
      </c>
    </row>
    <row r="680" spans="14:15" x14ac:dyDescent="0.3">
      <c r="N680" t="s">
        <v>1862</v>
      </c>
      <c r="O680" t="s">
        <v>835</v>
      </c>
    </row>
    <row r="681" spans="14:15" x14ac:dyDescent="0.3">
      <c r="N681" t="s">
        <v>1863</v>
      </c>
      <c r="O681" t="s">
        <v>819</v>
      </c>
    </row>
    <row r="682" spans="14:15" x14ac:dyDescent="0.3">
      <c r="N682" t="s">
        <v>1864</v>
      </c>
      <c r="O682" t="s">
        <v>820</v>
      </c>
    </row>
    <row r="683" spans="14:15" x14ac:dyDescent="0.3">
      <c r="N683" t="s">
        <v>1865</v>
      </c>
      <c r="O683" t="s">
        <v>821</v>
      </c>
    </row>
    <row r="684" spans="14:15" x14ac:dyDescent="0.3">
      <c r="N684" t="s">
        <v>1866</v>
      </c>
      <c r="O684" t="s">
        <v>822</v>
      </c>
    </row>
    <row r="685" spans="14:15" x14ac:dyDescent="0.3">
      <c r="N685" t="s">
        <v>1867</v>
      </c>
      <c r="O685" t="s">
        <v>823</v>
      </c>
    </row>
    <row r="686" spans="14:15" x14ac:dyDescent="0.3">
      <c r="N686" t="s">
        <v>1868</v>
      </c>
      <c r="O686" t="s">
        <v>824</v>
      </c>
    </row>
    <row r="687" spans="14:15" x14ac:dyDescent="0.3">
      <c r="N687" t="s">
        <v>1869</v>
      </c>
      <c r="O687" t="s">
        <v>825</v>
      </c>
    </row>
    <row r="688" spans="14:15" x14ac:dyDescent="0.3">
      <c r="N688" t="s">
        <v>1870</v>
      </c>
      <c r="O688" t="s">
        <v>857</v>
      </c>
    </row>
    <row r="689" spans="14:15" x14ac:dyDescent="0.3">
      <c r="N689" t="s">
        <v>1871</v>
      </c>
      <c r="O689" t="s">
        <v>858</v>
      </c>
    </row>
    <row r="690" spans="14:15" x14ac:dyDescent="0.3">
      <c r="N690" t="s">
        <v>1872</v>
      </c>
      <c r="O690" t="s">
        <v>826</v>
      </c>
    </row>
    <row r="691" spans="14:15" x14ac:dyDescent="0.3">
      <c r="N691" t="s">
        <v>1873</v>
      </c>
      <c r="O691" t="s">
        <v>827</v>
      </c>
    </row>
    <row r="692" spans="14:15" x14ac:dyDescent="0.3">
      <c r="N692" t="s">
        <v>1874</v>
      </c>
      <c r="O692" t="s">
        <v>828</v>
      </c>
    </row>
    <row r="693" spans="14:15" x14ac:dyDescent="0.3">
      <c r="N693" t="s">
        <v>1875</v>
      </c>
      <c r="O693" t="s">
        <v>829</v>
      </c>
    </row>
    <row r="694" spans="14:15" x14ac:dyDescent="0.3">
      <c r="N694" t="s">
        <v>1876</v>
      </c>
      <c r="O694" t="s">
        <v>830</v>
      </c>
    </row>
    <row r="695" spans="14:15" x14ac:dyDescent="0.3">
      <c r="N695" t="s">
        <v>1935</v>
      </c>
      <c r="O695" t="s">
        <v>1936</v>
      </c>
    </row>
    <row r="696" spans="14:15" x14ac:dyDescent="0.3">
      <c r="N696" t="s">
        <v>1937</v>
      </c>
      <c r="O696" t="s">
        <v>1938</v>
      </c>
    </row>
    <row r="697" spans="14:15" x14ac:dyDescent="0.3">
      <c r="N697" t="s">
        <v>1939</v>
      </c>
      <c r="O697" t="s">
        <v>1940</v>
      </c>
    </row>
    <row r="698" spans="14:15" x14ac:dyDescent="0.3">
      <c r="N698" t="s">
        <v>1941</v>
      </c>
      <c r="O698" t="s">
        <v>1942</v>
      </c>
    </row>
    <row r="699" spans="14:15" x14ac:dyDescent="0.3">
      <c r="N699" t="s">
        <v>1943</v>
      </c>
      <c r="O699" t="s">
        <v>1944</v>
      </c>
    </row>
    <row r="700" spans="14:15" x14ac:dyDescent="0.3">
      <c r="N700" t="s">
        <v>1945</v>
      </c>
      <c r="O700" t="s">
        <v>1946</v>
      </c>
    </row>
    <row r="701" spans="14:15" x14ac:dyDescent="0.3">
      <c r="N701" t="s">
        <v>1947</v>
      </c>
      <c r="O701" t="s">
        <v>1948</v>
      </c>
    </row>
    <row r="702" spans="14:15" x14ac:dyDescent="0.3">
      <c r="N702" t="s">
        <v>1949</v>
      </c>
      <c r="O702" t="s">
        <v>1950</v>
      </c>
    </row>
    <row r="703" spans="14:15" x14ac:dyDescent="0.3">
      <c r="N703" t="s">
        <v>1951</v>
      </c>
      <c r="O703" t="s">
        <v>1952</v>
      </c>
    </row>
    <row r="704" spans="14:15" x14ac:dyDescent="0.3">
      <c r="N704" t="s">
        <v>1951</v>
      </c>
      <c r="O704" t="s">
        <v>1952</v>
      </c>
    </row>
    <row r="705" spans="14:15" x14ac:dyDescent="0.3">
      <c r="N705" t="s">
        <v>1953</v>
      </c>
      <c r="O705" t="s">
        <v>1954</v>
      </c>
    </row>
    <row r="706" spans="14:15" x14ac:dyDescent="0.3">
      <c r="N706" t="s">
        <v>1955</v>
      </c>
      <c r="O706" t="s">
        <v>1956</v>
      </c>
    </row>
    <row r="707" spans="14:15" x14ac:dyDescent="0.3">
      <c r="N707" t="s">
        <v>1957</v>
      </c>
      <c r="O707" t="s">
        <v>1958</v>
      </c>
    </row>
    <row r="708" spans="14:15" x14ac:dyDescent="0.3">
      <c r="N708" t="s">
        <v>1959</v>
      </c>
      <c r="O708" t="s">
        <v>1960</v>
      </c>
    </row>
    <row r="709" spans="14:15" x14ac:dyDescent="0.3">
      <c r="N709" t="s">
        <v>1961</v>
      </c>
      <c r="O709" t="s">
        <v>1962</v>
      </c>
    </row>
    <row r="710" spans="14:15" x14ac:dyDescent="0.3">
      <c r="N710" t="s">
        <v>1963</v>
      </c>
      <c r="O710" t="s">
        <v>1964</v>
      </c>
    </row>
    <row r="711" spans="14:15" x14ac:dyDescent="0.3">
      <c r="N711" t="s">
        <v>1965</v>
      </c>
      <c r="O711" t="s">
        <v>1966</v>
      </c>
    </row>
    <row r="712" spans="14:15" x14ac:dyDescent="0.3">
      <c r="N712" t="s">
        <v>1967</v>
      </c>
      <c r="O712" t="s">
        <v>1968</v>
      </c>
    </row>
    <row r="713" spans="14:15" x14ac:dyDescent="0.3">
      <c r="N713" t="s">
        <v>1969</v>
      </c>
      <c r="O713" t="s">
        <v>1970</v>
      </c>
    </row>
    <row r="714" spans="14:15" x14ac:dyDescent="0.3">
      <c r="N714" t="s">
        <v>1971</v>
      </c>
      <c r="O714" t="s">
        <v>1972</v>
      </c>
    </row>
    <row r="715" spans="14:15" x14ac:dyDescent="0.3">
      <c r="N715" t="s">
        <v>1973</v>
      </c>
      <c r="O715" t="s">
        <v>1974</v>
      </c>
    </row>
    <row r="716" spans="14:15" x14ac:dyDescent="0.3">
      <c r="N716" t="s">
        <v>1975</v>
      </c>
      <c r="O716" t="s">
        <v>1976</v>
      </c>
    </row>
    <row r="717" spans="14:15" x14ac:dyDescent="0.3">
      <c r="N717" t="s">
        <v>1977</v>
      </c>
      <c r="O717" t="s">
        <v>1978</v>
      </c>
    </row>
    <row r="718" spans="14:15" x14ac:dyDescent="0.3">
      <c r="N718" t="s">
        <v>1979</v>
      </c>
      <c r="O718" t="s">
        <v>1980</v>
      </c>
    </row>
    <row r="719" spans="14:15" x14ac:dyDescent="0.3">
      <c r="N719" t="s">
        <v>1981</v>
      </c>
      <c r="O719" t="s">
        <v>1982</v>
      </c>
    </row>
    <row r="720" spans="14:15" x14ac:dyDescent="0.3">
      <c r="N720" t="s">
        <v>1983</v>
      </c>
      <c r="O720" t="s">
        <v>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25EF-20A4-4C1F-B79A-0C6DFBCA6177}">
  <sheetPr>
    <tabColor rgb="FFFFFF00"/>
  </sheetPr>
  <dimension ref="A2:F42"/>
  <sheetViews>
    <sheetView showGridLines="0" topLeftCell="A13" workbookViewId="0">
      <selection activeCell="E16" sqref="E16"/>
    </sheetView>
  </sheetViews>
  <sheetFormatPr defaultRowHeight="14.4" x14ac:dyDescent="0.3"/>
  <cols>
    <col min="1" max="1" width="12.77734375" bestFit="1" customWidth="1"/>
    <col min="2" max="2" width="23.5546875" bestFit="1" customWidth="1"/>
    <col min="3" max="3" width="12.44140625" bestFit="1" customWidth="1"/>
    <col min="4" max="4" width="24.77734375" bestFit="1" customWidth="1"/>
    <col min="5" max="5" width="73.5546875" bestFit="1" customWidth="1"/>
    <col min="6" max="6" width="64.21875" style="7" bestFit="1" customWidth="1"/>
  </cols>
  <sheetData>
    <row r="2" spans="1:6" x14ac:dyDescent="0.3">
      <c r="A2" s="52" t="s">
        <v>2246</v>
      </c>
      <c r="B2" s="52" t="s">
        <v>2247</v>
      </c>
      <c r="C2" s="52" t="s">
        <v>2248</v>
      </c>
      <c r="D2" s="52" t="s">
        <v>2249</v>
      </c>
      <c r="E2" s="52" t="s">
        <v>2250</v>
      </c>
      <c r="F2" s="52" t="s">
        <v>2251</v>
      </c>
    </row>
    <row r="4" spans="1:6" x14ac:dyDescent="0.3">
      <c r="A4" s="53">
        <v>12060001</v>
      </c>
      <c r="B4" s="54" t="s">
        <v>2252</v>
      </c>
      <c r="C4" s="54" t="s">
        <v>1897</v>
      </c>
      <c r="D4" s="54" t="s">
        <v>2253</v>
      </c>
      <c r="E4" s="55" t="s">
        <v>2254</v>
      </c>
      <c r="F4" s="56" t="s">
        <v>2255</v>
      </c>
    </row>
    <row r="5" spans="1:6" x14ac:dyDescent="0.3">
      <c r="A5" s="57"/>
      <c r="B5" s="57"/>
      <c r="C5" s="57"/>
      <c r="D5" s="57"/>
      <c r="E5" s="55" t="s">
        <v>2256</v>
      </c>
      <c r="F5" s="56" t="s">
        <v>2257</v>
      </c>
    </row>
    <row r="6" spans="1:6" x14ac:dyDescent="0.3">
      <c r="A6" s="57"/>
      <c r="B6" s="57"/>
      <c r="C6" s="57"/>
      <c r="D6" s="57"/>
      <c r="E6" s="55" t="s">
        <v>2258</v>
      </c>
      <c r="F6" s="56" t="s">
        <v>2259</v>
      </c>
    </row>
    <row r="7" spans="1:6" x14ac:dyDescent="0.3">
      <c r="A7" s="57"/>
      <c r="B7" s="57"/>
      <c r="C7" s="57"/>
      <c r="D7" s="57"/>
      <c r="E7" s="55" t="s">
        <v>2260</v>
      </c>
      <c r="F7" s="56" t="s">
        <v>2261</v>
      </c>
    </row>
    <row r="8" spans="1:6" x14ac:dyDescent="0.3">
      <c r="A8" s="57"/>
      <c r="B8" s="57"/>
      <c r="C8" s="57"/>
      <c r="D8" s="57"/>
      <c r="E8" s="55" t="s">
        <v>2262</v>
      </c>
      <c r="F8" s="56" t="s">
        <v>2263</v>
      </c>
    </row>
    <row r="9" spans="1:6" x14ac:dyDescent="0.3">
      <c r="A9" s="57"/>
      <c r="B9" s="57"/>
      <c r="C9" s="57"/>
      <c r="D9" s="57"/>
      <c r="E9" s="55" t="s">
        <v>2264</v>
      </c>
      <c r="F9" s="56" t="s">
        <v>2265</v>
      </c>
    </row>
    <row r="10" spans="1:6" x14ac:dyDescent="0.3">
      <c r="A10" s="58"/>
      <c r="B10" s="58"/>
      <c r="C10" s="58"/>
      <c r="D10" s="58"/>
      <c r="E10" s="55" t="s">
        <v>2266</v>
      </c>
      <c r="F10" s="56" t="s">
        <v>2267</v>
      </c>
    </row>
    <row r="11" spans="1:6" x14ac:dyDescent="0.3">
      <c r="F11" s="59"/>
    </row>
    <row r="12" spans="1:6" s="65" customFormat="1" ht="28.8" x14ac:dyDescent="0.3">
      <c r="A12" s="60">
        <v>12060002</v>
      </c>
      <c r="B12" s="61" t="s">
        <v>2268</v>
      </c>
      <c r="C12" s="62" t="s">
        <v>2269</v>
      </c>
      <c r="D12" s="62" t="s">
        <v>2270</v>
      </c>
      <c r="E12" s="63" t="s">
        <v>2271</v>
      </c>
      <c r="F12" s="64">
        <v>0.15</v>
      </c>
    </row>
    <row r="13" spans="1:6" x14ac:dyDescent="0.3">
      <c r="F13" s="66"/>
    </row>
    <row r="14" spans="1:6" x14ac:dyDescent="0.3">
      <c r="A14" s="67">
        <v>12060003</v>
      </c>
      <c r="B14" s="68" t="s">
        <v>2272</v>
      </c>
      <c r="C14" s="55" t="s">
        <v>2273</v>
      </c>
      <c r="D14" s="55" t="s">
        <v>2274</v>
      </c>
      <c r="E14" s="55" t="s">
        <v>2275</v>
      </c>
      <c r="F14" s="64">
        <v>0.01</v>
      </c>
    </row>
    <row r="15" spans="1:6" x14ac:dyDescent="0.3">
      <c r="A15" s="69"/>
      <c r="B15" s="70"/>
      <c r="C15" s="55" t="s">
        <v>2276</v>
      </c>
      <c r="D15" s="55" t="s">
        <v>2277</v>
      </c>
      <c r="E15" s="55" t="s">
        <v>2275</v>
      </c>
      <c r="F15" s="64">
        <v>0.02</v>
      </c>
    </row>
    <row r="16" spans="1:6" x14ac:dyDescent="0.3">
      <c r="A16" s="57"/>
      <c r="B16" s="70"/>
      <c r="C16" s="55" t="s">
        <v>2278</v>
      </c>
      <c r="D16" s="55" t="s">
        <v>2279</v>
      </c>
      <c r="E16" s="55" t="s">
        <v>2275</v>
      </c>
      <c r="F16" s="71">
        <v>0.05</v>
      </c>
    </row>
    <row r="17" spans="1:6" x14ac:dyDescent="0.3">
      <c r="A17" s="57"/>
      <c r="B17" s="70"/>
      <c r="C17" s="55" t="s">
        <v>2280</v>
      </c>
      <c r="D17" s="55" t="s">
        <v>2281</v>
      </c>
      <c r="E17" s="55" t="s">
        <v>2275</v>
      </c>
      <c r="F17" s="71">
        <v>0.1</v>
      </c>
    </row>
    <row r="18" spans="1:6" x14ac:dyDescent="0.3">
      <c r="A18" s="57"/>
      <c r="B18" s="57"/>
      <c r="C18" s="72" t="s">
        <v>2282</v>
      </c>
      <c r="D18" s="55" t="s">
        <v>2283</v>
      </c>
      <c r="E18" s="55" t="s">
        <v>2284</v>
      </c>
      <c r="F18" s="71">
        <v>5.5E-2</v>
      </c>
    </row>
    <row r="19" spans="1:6" x14ac:dyDescent="0.3">
      <c r="A19" s="58"/>
      <c r="B19" s="73"/>
      <c r="C19" s="55" t="s">
        <v>2285</v>
      </c>
      <c r="D19" s="55" t="s">
        <v>2286</v>
      </c>
      <c r="E19" s="55" t="s">
        <v>2284</v>
      </c>
      <c r="F19" s="64">
        <v>0.11</v>
      </c>
    </row>
    <row r="21" spans="1:6" x14ac:dyDescent="0.3">
      <c r="A21" s="67">
        <v>12060004</v>
      </c>
      <c r="B21" s="68" t="s">
        <v>2287</v>
      </c>
      <c r="C21" s="55" t="s">
        <v>2285</v>
      </c>
      <c r="D21" s="55" t="s">
        <v>2288</v>
      </c>
      <c r="E21" s="55" t="s">
        <v>2289</v>
      </c>
      <c r="F21" s="64">
        <v>0.06</v>
      </c>
    </row>
    <row r="22" spans="1:6" x14ac:dyDescent="0.3">
      <c r="A22" s="69"/>
      <c r="B22" s="70"/>
      <c r="C22" s="55" t="s">
        <v>2290</v>
      </c>
      <c r="D22" s="55" t="s">
        <v>2291</v>
      </c>
      <c r="E22" s="55" t="s">
        <v>2289</v>
      </c>
      <c r="F22" s="64">
        <v>0.12</v>
      </c>
    </row>
    <row r="23" spans="1:6" x14ac:dyDescent="0.3">
      <c r="A23" s="57"/>
      <c r="B23" s="70"/>
      <c r="C23" s="55" t="s">
        <v>2158</v>
      </c>
      <c r="D23" s="55" t="s">
        <v>2292</v>
      </c>
      <c r="E23" s="55" t="s">
        <v>2293</v>
      </c>
      <c r="F23" s="64">
        <v>0.15</v>
      </c>
    </row>
    <row r="24" spans="1:6" x14ac:dyDescent="0.3">
      <c r="A24" s="57"/>
      <c r="B24" s="70"/>
      <c r="C24" s="55" t="s">
        <v>2294</v>
      </c>
      <c r="D24" s="55" t="s">
        <v>2295</v>
      </c>
      <c r="E24" s="55" t="s">
        <v>2293</v>
      </c>
      <c r="F24" s="64">
        <v>0.3</v>
      </c>
    </row>
    <row r="25" spans="1:6" x14ac:dyDescent="0.3">
      <c r="A25" s="57"/>
      <c r="B25" s="70"/>
      <c r="C25" s="55" t="s">
        <v>2296</v>
      </c>
      <c r="D25" s="55" t="s">
        <v>2297</v>
      </c>
      <c r="E25" s="55" t="s">
        <v>2298</v>
      </c>
      <c r="F25" s="64">
        <v>0.04</v>
      </c>
    </row>
    <row r="26" spans="1:6" x14ac:dyDescent="0.3">
      <c r="A26" s="57"/>
      <c r="B26" s="70"/>
      <c r="C26" s="55" t="s">
        <v>2299</v>
      </c>
      <c r="D26" s="55" t="s">
        <v>2300</v>
      </c>
      <c r="E26" s="55" t="s">
        <v>2298</v>
      </c>
      <c r="F26" s="64">
        <v>0.08</v>
      </c>
    </row>
    <row r="27" spans="1:6" x14ac:dyDescent="0.3">
      <c r="A27" s="57"/>
      <c r="B27" s="70"/>
      <c r="C27" s="55" t="s">
        <v>2301</v>
      </c>
      <c r="D27" s="55" t="s">
        <v>2302</v>
      </c>
      <c r="E27" s="55" t="s">
        <v>2303</v>
      </c>
      <c r="F27" s="71">
        <v>1.4999999999999999E-2</v>
      </c>
    </row>
    <row r="28" spans="1:6" x14ac:dyDescent="0.3">
      <c r="A28" s="58"/>
      <c r="B28" s="73"/>
      <c r="C28" s="55" t="s">
        <v>2304</v>
      </c>
      <c r="D28" s="55" t="s">
        <v>2305</v>
      </c>
      <c r="E28" s="55" t="s">
        <v>2303</v>
      </c>
      <c r="F28" s="71">
        <v>0.03</v>
      </c>
    </row>
    <row r="30" spans="1:6" x14ac:dyDescent="0.3">
      <c r="A30" s="67">
        <v>12060005</v>
      </c>
      <c r="B30" s="54" t="s">
        <v>2306</v>
      </c>
      <c r="C30" s="68" t="s">
        <v>2307</v>
      </c>
      <c r="D30" s="54" t="s">
        <v>2308</v>
      </c>
      <c r="E30" s="55" t="s">
        <v>2309</v>
      </c>
      <c r="F30" s="56" t="s">
        <v>2310</v>
      </c>
    </row>
    <row r="31" spans="1:6" x14ac:dyDescent="0.3">
      <c r="A31" s="57"/>
      <c r="B31" s="57"/>
      <c r="C31" s="57"/>
      <c r="D31" s="57"/>
      <c r="E31" s="55" t="s">
        <v>2311</v>
      </c>
      <c r="F31" s="56" t="s">
        <v>2312</v>
      </c>
    </row>
    <row r="32" spans="1:6" x14ac:dyDescent="0.3">
      <c r="A32" s="57"/>
      <c r="B32" s="57"/>
      <c r="C32" s="57"/>
      <c r="D32" s="57"/>
      <c r="E32" s="55" t="s">
        <v>2313</v>
      </c>
      <c r="F32" s="56" t="s">
        <v>2314</v>
      </c>
    </row>
    <row r="33" spans="1:6" x14ac:dyDescent="0.3">
      <c r="A33" s="57"/>
      <c r="B33" s="57"/>
      <c r="C33" s="57"/>
      <c r="D33" s="57"/>
      <c r="E33" s="55" t="s">
        <v>2315</v>
      </c>
      <c r="F33" s="56" t="s">
        <v>2316</v>
      </c>
    </row>
    <row r="34" spans="1:6" x14ac:dyDescent="0.3">
      <c r="A34" s="57"/>
      <c r="B34" s="57"/>
      <c r="C34" s="57"/>
      <c r="D34" s="57"/>
      <c r="E34" s="55"/>
      <c r="F34" s="56"/>
    </row>
    <row r="35" spans="1:6" x14ac:dyDescent="0.3">
      <c r="A35" s="57"/>
      <c r="B35" s="57"/>
      <c r="C35" s="55" t="s">
        <v>2317</v>
      </c>
      <c r="D35" s="55" t="s">
        <v>2318</v>
      </c>
      <c r="E35" s="55"/>
      <c r="F35" s="64">
        <v>0.15</v>
      </c>
    </row>
    <row r="36" spans="1:6" x14ac:dyDescent="0.3">
      <c r="A36" s="58"/>
      <c r="B36" s="58"/>
      <c r="C36" s="55" t="s">
        <v>2319</v>
      </c>
      <c r="D36" s="55" t="s">
        <v>2320</v>
      </c>
      <c r="E36" s="55"/>
      <c r="F36" s="64">
        <v>0.3</v>
      </c>
    </row>
    <row r="38" spans="1:6" x14ac:dyDescent="0.3">
      <c r="A38" s="74">
        <v>12060006</v>
      </c>
      <c r="B38" s="54" t="s">
        <v>2321</v>
      </c>
      <c r="C38" s="72" t="s">
        <v>2322</v>
      </c>
      <c r="D38" s="55" t="s">
        <v>2323</v>
      </c>
      <c r="E38" s="55" t="s">
        <v>2324</v>
      </c>
      <c r="F38" s="64">
        <v>0.12</v>
      </c>
    </row>
    <row r="39" spans="1:6" x14ac:dyDescent="0.3">
      <c r="A39" s="75"/>
      <c r="B39" s="58"/>
      <c r="C39" s="72" t="s">
        <v>2325</v>
      </c>
      <c r="D39" s="55" t="s">
        <v>2326</v>
      </c>
      <c r="E39" s="55" t="s">
        <v>2324</v>
      </c>
      <c r="F39" s="64">
        <v>0.24</v>
      </c>
    </row>
    <row r="41" spans="1:6" x14ac:dyDescent="0.3">
      <c r="A41" s="74">
        <v>12060007</v>
      </c>
      <c r="B41" s="54" t="s">
        <v>2327</v>
      </c>
      <c r="C41" s="72" t="s">
        <v>2325</v>
      </c>
      <c r="D41" s="55" t="s">
        <v>2328</v>
      </c>
      <c r="E41" s="55" t="s">
        <v>2329</v>
      </c>
      <c r="F41" s="71">
        <v>5.0000000000000001E-3</v>
      </c>
    </row>
    <row r="42" spans="1:6" x14ac:dyDescent="0.3">
      <c r="A42" s="76"/>
      <c r="B42" s="58"/>
      <c r="C42" s="72" t="s">
        <v>2330</v>
      </c>
      <c r="D42" s="55" t="s">
        <v>2331</v>
      </c>
      <c r="E42" s="55" t="s">
        <v>2329</v>
      </c>
      <c r="F42" s="71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30D6-5329-49B8-A7A4-9D5DC7F521BE}">
  <dimension ref="B2:M165"/>
  <sheetViews>
    <sheetView showGridLines="0" topLeftCell="A142" workbookViewId="0">
      <selection activeCell="C171" sqref="C171"/>
    </sheetView>
  </sheetViews>
  <sheetFormatPr defaultRowHeight="14.4" x14ac:dyDescent="0.3"/>
  <cols>
    <col min="1" max="1" width="1.6640625" customWidth="1"/>
    <col min="2" max="2" width="5.88671875" customWidth="1"/>
    <col min="3" max="3" width="7" bestFit="1" customWidth="1"/>
    <col min="4" max="4" width="35.21875" customWidth="1"/>
    <col min="5" max="5" width="16.44140625" bestFit="1" customWidth="1"/>
    <col min="6" max="6" width="63.33203125" bestFit="1" customWidth="1"/>
    <col min="7" max="7" width="14.44140625" bestFit="1" customWidth="1"/>
    <col min="8" max="8" width="15.44140625" bestFit="1" customWidth="1"/>
    <col min="9" max="9" width="9.6640625" bestFit="1" customWidth="1"/>
    <col min="10" max="10" width="14.109375" bestFit="1" customWidth="1"/>
    <col min="11" max="11" width="10.5546875" bestFit="1" customWidth="1"/>
    <col min="12" max="12" width="10.6640625" bestFit="1" customWidth="1"/>
    <col min="13" max="13" width="9.6640625" bestFit="1" customWidth="1"/>
  </cols>
  <sheetData>
    <row r="2" spans="2:13" x14ac:dyDescent="0.3">
      <c r="B2" s="79" t="s">
        <v>2344</v>
      </c>
      <c r="C2" s="79"/>
    </row>
    <row r="4" spans="2:13" x14ac:dyDescent="0.3">
      <c r="B4" s="80" t="s">
        <v>2345</v>
      </c>
      <c r="C4" s="80" t="s">
        <v>1176</v>
      </c>
      <c r="D4" s="80" t="s">
        <v>2346</v>
      </c>
      <c r="E4" s="80" t="s">
        <v>2347</v>
      </c>
      <c r="F4" s="80" t="s">
        <v>2348</v>
      </c>
      <c r="G4" s="80" t="s">
        <v>2349</v>
      </c>
      <c r="H4" s="80" t="s">
        <v>2350</v>
      </c>
      <c r="I4" s="80" t="s">
        <v>2351</v>
      </c>
      <c r="J4" s="80" t="s">
        <v>2352</v>
      </c>
      <c r="K4" s="80" t="s">
        <v>2353</v>
      </c>
      <c r="L4" s="80" t="s">
        <v>2354</v>
      </c>
      <c r="M4" s="80" t="s">
        <v>2355</v>
      </c>
    </row>
    <row r="5" spans="2:13" s="65" customFormat="1" x14ac:dyDescent="0.3">
      <c r="B5" s="78">
        <v>1</v>
      </c>
      <c r="C5" s="78">
        <v>120001</v>
      </c>
      <c r="D5" s="62" t="s">
        <v>57</v>
      </c>
      <c r="E5" s="62" t="s">
        <v>2356</v>
      </c>
      <c r="F5" s="63" t="s">
        <v>2357</v>
      </c>
      <c r="G5" s="78" t="s">
        <v>2358</v>
      </c>
      <c r="H5" s="62"/>
      <c r="I5" s="62" t="s">
        <v>2359</v>
      </c>
      <c r="J5" s="62" t="s">
        <v>2360</v>
      </c>
      <c r="K5" s="62" t="s">
        <v>2361</v>
      </c>
      <c r="L5" s="62" t="s">
        <v>2362</v>
      </c>
      <c r="M5" s="62"/>
    </row>
    <row r="6" spans="2:13" s="65" customFormat="1" x14ac:dyDescent="0.3">
      <c r="B6" s="78">
        <f>B5+1</f>
        <v>2</v>
      </c>
      <c r="C6" s="78">
        <v>120002</v>
      </c>
      <c r="D6" s="62" t="s">
        <v>55</v>
      </c>
      <c r="E6" s="62" t="s">
        <v>2356</v>
      </c>
      <c r="F6" s="102" t="s">
        <v>2363</v>
      </c>
      <c r="G6" s="78" t="s">
        <v>2364</v>
      </c>
      <c r="H6" s="62"/>
      <c r="I6" s="103" t="s">
        <v>2365</v>
      </c>
      <c r="J6" s="104" t="s">
        <v>2366</v>
      </c>
      <c r="K6" s="105"/>
      <c r="L6" s="62"/>
      <c r="M6" s="62"/>
    </row>
    <row r="7" spans="2:13" s="65" customFormat="1" ht="28.8" x14ac:dyDescent="0.3">
      <c r="B7" s="78">
        <f t="shared" ref="B7:B70" si="0">B6+1</f>
        <v>3</v>
      </c>
      <c r="C7" s="78">
        <v>120003</v>
      </c>
      <c r="D7" s="62" t="s">
        <v>56</v>
      </c>
      <c r="E7" s="62" t="s">
        <v>2356</v>
      </c>
      <c r="F7" s="63" t="s">
        <v>2367</v>
      </c>
      <c r="G7" s="78" t="s">
        <v>2368</v>
      </c>
      <c r="H7" s="62"/>
      <c r="I7" s="62" t="s">
        <v>2369</v>
      </c>
      <c r="J7" s="106" t="s">
        <v>2370</v>
      </c>
      <c r="K7" s="62" t="s">
        <v>2371</v>
      </c>
      <c r="L7" s="62" t="s">
        <v>2372</v>
      </c>
      <c r="M7" s="62"/>
    </row>
    <row r="8" spans="2:13" s="65" customFormat="1" x14ac:dyDescent="0.3">
      <c r="B8" s="78">
        <f t="shared" si="0"/>
        <v>4</v>
      </c>
      <c r="C8" s="78">
        <v>120004</v>
      </c>
      <c r="D8" s="62" t="s">
        <v>59</v>
      </c>
      <c r="E8" s="62" t="s">
        <v>2356</v>
      </c>
      <c r="F8" s="63" t="s">
        <v>2373</v>
      </c>
      <c r="G8" s="78" t="s">
        <v>2374</v>
      </c>
      <c r="H8" s="62"/>
      <c r="I8" s="62" t="s">
        <v>2375</v>
      </c>
      <c r="J8" s="62" t="s">
        <v>2360</v>
      </c>
      <c r="K8" s="62" t="s">
        <v>2376</v>
      </c>
      <c r="L8" s="62"/>
      <c r="M8" s="62"/>
    </row>
    <row r="9" spans="2:13" s="65" customFormat="1" x14ac:dyDescent="0.3">
      <c r="B9" s="78">
        <f t="shared" si="0"/>
        <v>5</v>
      </c>
      <c r="C9" s="78">
        <v>120005</v>
      </c>
      <c r="D9" s="62" t="s">
        <v>63</v>
      </c>
      <c r="E9" s="62" t="s">
        <v>2356</v>
      </c>
      <c r="F9" s="63" t="s">
        <v>2377</v>
      </c>
      <c r="G9" s="78" t="s">
        <v>2378</v>
      </c>
      <c r="H9" s="62"/>
      <c r="I9" s="65" t="s">
        <v>2379</v>
      </c>
      <c r="J9" s="62" t="s">
        <v>2360</v>
      </c>
      <c r="K9" s="65" t="s">
        <v>2380</v>
      </c>
      <c r="L9" s="65" t="s">
        <v>2381</v>
      </c>
      <c r="M9" s="62"/>
    </row>
    <row r="10" spans="2:13" s="65" customFormat="1" x14ac:dyDescent="0.3">
      <c r="B10" s="78">
        <f t="shared" si="0"/>
        <v>6</v>
      </c>
      <c r="C10" s="78">
        <v>120006</v>
      </c>
      <c r="D10" s="62" t="s">
        <v>64</v>
      </c>
      <c r="E10" s="62" t="s">
        <v>2356</v>
      </c>
      <c r="F10" s="63" t="s">
        <v>2382</v>
      </c>
      <c r="G10" s="78" t="s">
        <v>2383</v>
      </c>
      <c r="H10" s="62" t="s">
        <v>2384</v>
      </c>
      <c r="I10" s="62" t="s">
        <v>2385</v>
      </c>
      <c r="J10" s="62" t="s">
        <v>2360</v>
      </c>
      <c r="K10" s="105"/>
      <c r="L10" s="105"/>
      <c r="M10" s="62"/>
    </row>
    <row r="11" spans="2:13" s="65" customFormat="1" x14ac:dyDescent="0.3">
      <c r="B11" s="78">
        <f t="shared" si="0"/>
        <v>7</v>
      </c>
      <c r="C11" s="78">
        <v>120007</v>
      </c>
      <c r="D11" s="62" t="s">
        <v>52</v>
      </c>
      <c r="E11" s="62" t="s">
        <v>2356</v>
      </c>
      <c r="F11" s="63" t="s">
        <v>2386</v>
      </c>
      <c r="G11" s="78" t="s">
        <v>2387</v>
      </c>
      <c r="H11" s="62" t="s">
        <v>2388</v>
      </c>
      <c r="I11" s="62" t="s">
        <v>2389</v>
      </c>
      <c r="J11" s="105"/>
      <c r="K11" s="105"/>
      <c r="L11" s="105"/>
      <c r="M11" s="62"/>
    </row>
    <row r="12" spans="2:13" s="65" customFormat="1" ht="28.8" x14ac:dyDescent="0.3">
      <c r="B12" s="78">
        <f t="shared" si="0"/>
        <v>8</v>
      </c>
      <c r="C12" s="78">
        <v>120008</v>
      </c>
      <c r="D12" s="62" t="s">
        <v>48</v>
      </c>
      <c r="E12" s="62" t="s">
        <v>2356</v>
      </c>
      <c r="F12" s="63" t="s">
        <v>2390</v>
      </c>
      <c r="G12" s="78" t="s">
        <v>2391</v>
      </c>
      <c r="H12" s="62" t="s">
        <v>2392</v>
      </c>
      <c r="I12" s="62" t="s">
        <v>2393</v>
      </c>
      <c r="J12" s="105"/>
      <c r="K12" s="62" t="s">
        <v>2394</v>
      </c>
      <c r="L12" s="105"/>
      <c r="M12" s="62"/>
    </row>
    <row r="13" spans="2:13" s="65" customFormat="1" ht="28.8" x14ac:dyDescent="0.3">
      <c r="B13" s="78">
        <f t="shared" si="0"/>
        <v>9</v>
      </c>
      <c r="C13" s="78">
        <v>120009</v>
      </c>
      <c r="D13" s="62" t="s">
        <v>60</v>
      </c>
      <c r="E13" s="62" t="s">
        <v>2395</v>
      </c>
      <c r="F13" s="63" t="s">
        <v>2396</v>
      </c>
      <c r="G13" s="78" t="s">
        <v>2397</v>
      </c>
      <c r="H13" s="62" t="s">
        <v>2398</v>
      </c>
      <c r="I13" s="62" t="s">
        <v>2399</v>
      </c>
      <c r="J13" s="105"/>
      <c r="K13" s="105"/>
      <c r="L13" s="105"/>
      <c r="M13" s="62"/>
    </row>
    <row r="14" spans="2:13" s="65" customFormat="1" x14ac:dyDescent="0.3">
      <c r="B14" s="78">
        <f t="shared" si="0"/>
        <v>10</v>
      </c>
      <c r="C14" s="78">
        <v>120010</v>
      </c>
      <c r="D14" s="62" t="s">
        <v>50</v>
      </c>
      <c r="E14" s="62" t="s">
        <v>2356</v>
      </c>
      <c r="F14" s="63" t="s">
        <v>2400</v>
      </c>
      <c r="G14" s="78" t="s">
        <v>2364</v>
      </c>
      <c r="H14" s="62"/>
      <c r="I14" s="62" t="s">
        <v>2401</v>
      </c>
      <c r="J14" s="105"/>
      <c r="K14" s="62" t="s">
        <v>2402</v>
      </c>
      <c r="L14" s="105"/>
      <c r="M14" s="62"/>
    </row>
    <row r="15" spans="2:13" s="65" customFormat="1" ht="28.8" x14ac:dyDescent="0.3">
      <c r="B15" s="78">
        <f t="shared" si="0"/>
        <v>11</v>
      </c>
      <c r="C15" s="78">
        <v>120011</v>
      </c>
      <c r="D15" s="62" t="s">
        <v>53</v>
      </c>
      <c r="E15" s="62" t="s">
        <v>2356</v>
      </c>
      <c r="F15" s="63" t="s">
        <v>2403</v>
      </c>
      <c r="G15" s="78" t="s">
        <v>2404</v>
      </c>
      <c r="H15" s="62"/>
      <c r="I15" s="62" t="s">
        <v>2405</v>
      </c>
      <c r="J15" s="62" t="s">
        <v>2406</v>
      </c>
      <c r="K15" s="62" t="s">
        <v>2407</v>
      </c>
      <c r="L15" s="62" t="s">
        <v>2408</v>
      </c>
      <c r="M15" s="62"/>
    </row>
    <row r="16" spans="2:13" s="65" customFormat="1" ht="28.8" x14ac:dyDescent="0.3">
      <c r="B16" s="78">
        <f t="shared" si="0"/>
        <v>12</v>
      </c>
      <c r="C16" s="78">
        <v>120012</v>
      </c>
      <c r="D16" s="62" t="s">
        <v>2333</v>
      </c>
      <c r="E16" s="62" t="s">
        <v>2409</v>
      </c>
      <c r="F16" s="63" t="s">
        <v>2410</v>
      </c>
      <c r="G16" s="78" t="s">
        <v>2411</v>
      </c>
      <c r="H16" s="62" t="s">
        <v>2412</v>
      </c>
      <c r="I16" s="62" t="s">
        <v>2413</v>
      </c>
      <c r="J16" s="105"/>
      <c r="K16" s="62" t="s">
        <v>2414</v>
      </c>
      <c r="L16" s="105"/>
      <c r="M16" s="62"/>
    </row>
    <row r="17" spans="2:13" s="65" customFormat="1" x14ac:dyDescent="0.3">
      <c r="B17" s="78">
        <f t="shared" si="0"/>
        <v>13</v>
      </c>
      <c r="C17" s="78">
        <v>120013</v>
      </c>
      <c r="D17" s="62" t="s">
        <v>49</v>
      </c>
      <c r="E17" s="62" t="s">
        <v>2356</v>
      </c>
      <c r="F17" s="63" t="s">
        <v>2415</v>
      </c>
      <c r="G17" s="78" t="s">
        <v>2416</v>
      </c>
      <c r="H17" s="62" t="s">
        <v>2417</v>
      </c>
      <c r="I17" s="62" t="s">
        <v>2418</v>
      </c>
      <c r="J17" s="105"/>
      <c r="K17" s="105"/>
      <c r="L17" s="105"/>
      <c r="M17" s="62"/>
    </row>
    <row r="18" spans="2:13" s="65" customFormat="1" x14ac:dyDescent="0.3">
      <c r="B18" s="78">
        <f t="shared" si="0"/>
        <v>14</v>
      </c>
      <c r="C18" s="78">
        <v>120014</v>
      </c>
      <c r="D18" s="62" t="s">
        <v>51</v>
      </c>
      <c r="E18" s="62" t="s">
        <v>2409</v>
      </c>
      <c r="F18" s="63" t="s">
        <v>2419</v>
      </c>
      <c r="G18" s="107" t="s">
        <v>2420</v>
      </c>
      <c r="H18" s="62"/>
      <c r="I18" s="62" t="s">
        <v>2421</v>
      </c>
      <c r="J18" s="62" t="s">
        <v>2422</v>
      </c>
      <c r="K18" s="62" t="s">
        <v>2423</v>
      </c>
      <c r="L18" s="105"/>
      <c r="M18" s="62"/>
    </row>
    <row r="19" spans="2:13" s="65" customFormat="1" ht="28.8" x14ac:dyDescent="0.3">
      <c r="B19" s="78">
        <f t="shared" si="0"/>
        <v>15</v>
      </c>
      <c r="C19" s="78">
        <v>120015</v>
      </c>
      <c r="D19" s="62" t="s">
        <v>61</v>
      </c>
      <c r="E19" s="62" t="s">
        <v>2356</v>
      </c>
      <c r="F19" s="63" t="s">
        <v>2424</v>
      </c>
      <c r="G19" s="108" t="s">
        <v>2425</v>
      </c>
      <c r="H19" s="62" t="s">
        <v>2426</v>
      </c>
      <c r="I19" s="62" t="s">
        <v>2427</v>
      </c>
      <c r="J19" s="105"/>
      <c r="K19" s="62" t="s">
        <v>2428</v>
      </c>
      <c r="L19" s="105"/>
      <c r="M19" s="62"/>
    </row>
    <row r="20" spans="2:13" s="65" customFormat="1" x14ac:dyDescent="0.3">
      <c r="B20" s="78">
        <f t="shared" si="0"/>
        <v>16</v>
      </c>
      <c r="C20" s="78">
        <v>120016</v>
      </c>
      <c r="D20" s="62" t="s">
        <v>62</v>
      </c>
      <c r="E20" s="62" t="s">
        <v>2356</v>
      </c>
      <c r="F20" s="63" t="s">
        <v>2429</v>
      </c>
      <c r="G20" s="78" t="s">
        <v>2430</v>
      </c>
      <c r="H20" s="62"/>
      <c r="I20" s="62" t="s">
        <v>2431</v>
      </c>
      <c r="J20" s="62" t="s">
        <v>2360</v>
      </c>
      <c r="K20" s="62" t="s">
        <v>2432</v>
      </c>
      <c r="L20" s="62" t="s">
        <v>2433</v>
      </c>
      <c r="M20" s="62"/>
    </row>
    <row r="21" spans="2:13" s="65" customFormat="1" x14ac:dyDescent="0.3">
      <c r="B21" s="78">
        <f t="shared" si="0"/>
        <v>17</v>
      </c>
      <c r="C21" s="78">
        <v>120017</v>
      </c>
      <c r="D21" s="62" t="s">
        <v>58</v>
      </c>
      <c r="E21" s="62" t="s">
        <v>2356</v>
      </c>
      <c r="F21" s="63" t="s">
        <v>2434</v>
      </c>
      <c r="G21" s="78" t="s">
        <v>2435</v>
      </c>
      <c r="H21" s="62"/>
      <c r="I21" s="62" t="s">
        <v>2436</v>
      </c>
      <c r="J21" s="62" t="s">
        <v>2360</v>
      </c>
      <c r="K21" s="62" t="s">
        <v>2437</v>
      </c>
      <c r="L21" s="62" t="s">
        <v>2438</v>
      </c>
      <c r="M21" s="62"/>
    </row>
    <row r="22" spans="2:13" s="65" customFormat="1" x14ac:dyDescent="0.3">
      <c r="B22" s="78">
        <f t="shared" si="0"/>
        <v>18</v>
      </c>
      <c r="C22" s="78">
        <v>120018</v>
      </c>
      <c r="D22" s="62" t="s">
        <v>2334</v>
      </c>
      <c r="E22" s="62" t="s">
        <v>2356</v>
      </c>
      <c r="F22" s="63" t="s">
        <v>2439</v>
      </c>
      <c r="G22" s="78" t="s">
        <v>2440</v>
      </c>
      <c r="H22" s="62"/>
      <c r="I22" s="62" t="s">
        <v>2441</v>
      </c>
      <c r="J22" s="62" t="s">
        <v>2442</v>
      </c>
      <c r="K22" s="62" t="s">
        <v>2443</v>
      </c>
      <c r="L22" s="62" t="s">
        <v>2444</v>
      </c>
      <c r="M22" s="62"/>
    </row>
    <row r="23" spans="2:13" s="65" customFormat="1" x14ac:dyDescent="0.3">
      <c r="B23" s="78">
        <f t="shared" si="0"/>
        <v>19</v>
      </c>
      <c r="C23" s="78">
        <v>120019</v>
      </c>
      <c r="D23" s="62" t="s">
        <v>2335</v>
      </c>
      <c r="E23" s="62" t="s">
        <v>2356</v>
      </c>
      <c r="F23" s="63" t="s">
        <v>2445</v>
      </c>
      <c r="G23" s="78" t="s">
        <v>2446</v>
      </c>
      <c r="H23" s="62"/>
      <c r="I23" s="62" t="s">
        <v>2447</v>
      </c>
      <c r="J23" s="105"/>
      <c r="K23" s="105"/>
      <c r="L23" s="105"/>
      <c r="M23" s="62"/>
    </row>
    <row r="24" spans="2:13" s="65" customFormat="1" ht="28.8" x14ac:dyDescent="0.3">
      <c r="B24" s="78">
        <f t="shared" si="0"/>
        <v>20</v>
      </c>
      <c r="C24" s="78">
        <v>120020</v>
      </c>
      <c r="D24" s="62" t="s">
        <v>75</v>
      </c>
      <c r="E24" s="62" t="s">
        <v>2409</v>
      </c>
      <c r="F24" s="63" t="s">
        <v>2448</v>
      </c>
      <c r="G24" s="78" t="s">
        <v>2449</v>
      </c>
      <c r="H24" s="62" t="s">
        <v>2450</v>
      </c>
      <c r="I24" s="62" t="s">
        <v>2451</v>
      </c>
      <c r="J24" s="105"/>
      <c r="K24" s="105"/>
      <c r="L24" s="105"/>
      <c r="M24" s="62"/>
    </row>
    <row r="25" spans="2:13" s="65" customFormat="1" x14ac:dyDescent="0.3">
      <c r="B25" s="78">
        <f t="shared" si="0"/>
        <v>21</v>
      </c>
      <c r="C25" s="78">
        <v>120021</v>
      </c>
      <c r="D25" s="62" t="s">
        <v>78</v>
      </c>
      <c r="E25" s="62" t="s">
        <v>2356</v>
      </c>
      <c r="F25" s="63" t="s">
        <v>2452</v>
      </c>
      <c r="G25" s="78" t="s">
        <v>2453</v>
      </c>
      <c r="H25" s="62"/>
      <c r="I25" s="62" t="s">
        <v>2454</v>
      </c>
      <c r="J25" s="105"/>
      <c r="K25" s="62" t="s">
        <v>2455</v>
      </c>
      <c r="L25" s="62"/>
      <c r="M25" s="62"/>
    </row>
    <row r="26" spans="2:13" s="65" customFormat="1" x14ac:dyDescent="0.3">
      <c r="B26" s="78">
        <f t="shared" si="0"/>
        <v>22</v>
      </c>
      <c r="C26" s="78">
        <v>120022</v>
      </c>
      <c r="D26" s="62" t="s">
        <v>79</v>
      </c>
      <c r="E26" s="62" t="s">
        <v>2356</v>
      </c>
      <c r="F26" s="102" t="s">
        <v>2456</v>
      </c>
      <c r="G26" s="78" t="s">
        <v>2457</v>
      </c>
      <c r="H26" s="62"/>
      <c r="I26" s="62"/>
      <c r="J26" s="62"/>
      <c r="K26" s="62"/>
      <c r="L26" s="62"/>
      <c r="M26" s="62"/>
    </row>
    <row r="27" spans="2:13" s="65" customFormat="1" x14ac:dyDescent="0.3">
      <c r="B27" s="78">
        <f t="shared" si="0"/>
        <v>23</v>
      </c>
      <c r="C27" s="78">
        <v>120023</v>
      </c>
      <c r="D27" s="62" t="s">
        <v>80</v>
      </c>
      <c r="E27" s="62" t="s">
        <v>2356</v>
      </c>
      <c r="F27" s="63" t="s">
        <v>2458</v>
      </c>
      <c r="G27" s="78" t="s">
        <v>2459</v>
      </c>
      <c r="H27" s="62" t="s">
        <v>2460</v>
      </c>
      <c r="I27" s="62" t="s">
        <v>2461</v>
      </c>
      <c r="J27" s="105"/>
      <c r="K27" s="105"/>
      <c r="L27" s="105"/>
      <c r="M27" s="62"/>
    </row>
    <row r="28" spans="2:13" s="65" customFormat="1" ht="28.8" x14ac:dyDescent="0.3">
      <c r="B28" s="78">
        <f t="shared" si="0"/>
        <v>24</v>
      </c>
      <c r="C28" s="78">
        <v>120024</v>
      </c>
      <c r="D28" s="62" t="s">
        <v>81</v>
      </c>
      <c r="E28" s="62" t="s">
        <v>2409</v>
      </c>
      <c r="F28" s="63" t="s">
        <v>2462</v>
      </c>
      <c r="G28" s="78" t="s">
        <v>2463</v>
      </c>
      <c r="H28" s="62" t="s">
        <v>2464</v>
      </c>
      <c r="I28" s="62" t="s">
        <v>2465</v>
      </c>
      <c r="J28" s="105"/>
      <c r="K28" s="62" t="s">
        <v>2466</v>
      </c>
      <c r="L28" s="105"/>
      <c r="M28" s="62"/>
    </row>
    <row r="29" spans="2:13" s="65" customFormat="1" ht="43.2" x14ac:dyDescent="0.3">
      <c r="B29" s="78">
        <f t="shared" si="0"/>
        <v>25</v>
      </c>
      <c r="C29" s="78">
        <v>120025</v>
      </c>
      <c r="D29" s="62" t="s">
        <v>82</v>
      </c>
      <c r="E29" s="62" t="s">
        <v>2409</v>
      </c>
      <c r="F29" s="63" t="s">
        <v>2467</v>
      </c>
      <c r="G29" s="78" t="s">
        <v>2468</v>
      </c>
      <c r="H29" s="62"/>
      <c r="I29" s="62" t="s">
        <v>2469</v>
      </c>
      <c r="J29" s="62" t="s">
        <v>2360</v>
      </c>
      <c r="K29" s="62" t="s">
        <v>2470</v>
      </c>
      <c r="L29" s="105"/>
      <c r="M29" s="62"/>
    </row>
    <row r="30" spans="2:13" s="65" customFormat="1" x14ac:dyDescent="0.3">
      <c r="B30" s="78">
        <f t="shared" si="0"/>
        <v>26</v>
      </c>
      <c r="C30" s="78">
        <v>120026</v>
      </c>
      <c r="D30" s="62" t="s">
        <v>83</v>
      </c>
      <c r="E30" s="62" t="s">
        <v>2395</v>
      </c>
      <c r="F30" s="63" t="s">
        <v>2471</v>
      </c>
      <c r="G30" s="78" t="s">
        <v>2472</v>
      </c>
      <c r="H30" s="62"/>
      <c r="I30" s="62" t="s">
        <v>2473</v>
      </c>
      <c r="J30" s="62" t="s">
        <v>2474</v>
      </c>
      <c r="K30" s="62" t="s">
        <v>2475</v>
      </c>
      <c r="L30" s="105"/>
      <c r="M30" s="62"/>
    </row>
    <row r="31" spans="2:13" s="65" customFormat="1" x14ac:dyDescent="0.3">
      <c r="B31" s="78">
        <f t="shared" si="0"/>
        <v>27</v>
      </c>
      <c r="C31" s="78">
        <v>120027</v>
      </c>
      <c r="D31" s="62" t="s">
        <v>84</v>
      </c>
      <c r="E31" s="62" t="s">
        <v>2356</v>
      </c>
      <c r="F31" s="63" t="s">
        <v>2476</v>
      </c>
      <c r="G31" s="78" t="s">
        <v>2477</v>
      </c>
      <c r="H31" s="62"/>
      <c r="I31" s="62" t="s">
        <v>2478</v>
      </c>
      <c r="J31" s="105"/>
      <c r="K31" s="105"/>
      <c r="L31" s="105"/>
      <c r="M31" s="62"/>
    </row>
    <row r="32" spans="2:13" s="65" customFormat="1" x14ac:dyDescent="0.3">
      <c r="B32" s="78">
        <f t="shared" si="0"/>
        <v>28</v>
      </c>
      <c r="C32" s="78">
        <v>120028</v>
      </c>
      <c r="D32" s="62" t="s">
        <v>85</v>
      </c>
      <c r="E32" s="62" t="s">
        <v>2356</v>
      </c>
      <c r="F32" s="63" t="s">
        <v>2479</v>
      </c>
      <c r="G32" s="78" t="s">
        <v>2480</v>
      </c>
      <c r="H32" s="62"/>
      <c r="I32" s="62" t="s">
        <v>2481</v>
      </c>
      <c r="J32" s="105"/>
      <c r="K32" s="62" t="s">
        <v>2482</v>
      </c>
      <c r="L32" s="62" t="s">
        <v>2483</v>
      </c>
      <c r="M32" s="62"/>
    </row>
    <row r="33" spans="2:13" s="65" customFormat="1" ht="28.8" x14ac:dyDescent="0.3">
      <c r="B33" s="78">
        <f t="shared" si="0"/>
        <v>29</v>
      </c>
      <c r="C33" s="78">
        <v>120029</v>
      </c>
      <c r="D33" s="62" t="s">
        <v>86</v>
      </c>
      <c r="E33" s="62" t="s">
        <v>2356</v>
      </c>
      <c r="F33" s="63" t="s">
        <v>2484</v>
      </c>
      <c r="G33" s="78" t="s">
        <v>2485</v>
      </c>
      <c r="H33" s="62"/>
      <c r="I33" s="62" t="s">
        <v>2486</v>
      </c>
      <c r="J33" s="62" t="s">
        <v>2487</v>
      </c>
      <c r="K33" s="62" t="s">
        <v>2488</v>
      </c>
      <c r="L33" s="62" t="s">
        <v>2489</v>
      </c>
      <c r="M33" s="62"/>
    </row>
    <row r="34" spans="2:13" s="65" customFormat="1" x14ac:dyDescent="0.3">
      <c r="B34" s="78">
        <f t="shared" si="0"/>
        <v>30</v>
      </c>
      <c r="C34" s="78">
        <v>120030</v>
      </c>
      <c r="D34" s="62" t="s">
        <v>87</v>
      </c>
      <c r="E34" s="62" t="s">
        <v>2356</v>
      </c>
      <c r="F34" s="63" t="s">
        <v>2490</v>
      </c>
      <c r="G34" s="78" t="s">
        <v>2491</v>
      </c>
      <c r="H34" s="62"/>
      <c r="I34" s="62" t="s">
        <v>2492</v>
      </c>
      <c r="J34" s="105"/>
      <c r="K34" s="105"/>
      <c r="L34" s="62" t="s">
        <v>2493</v>
      </c>
      <c r="M34" s="62"/>
    </row>
    <row r="35" spans="2:13" s="65" customFormat="1" x14ac:dyDescent="0.3">
      <c r="B35" s="78">
        <f t="shared" si="0"/>
        <v>31</v>
      </c>
      <c r="C35" s="78">
        <v>120031</v>
      </c>
      <c r="D35" s="62" t="s">
        <v>88</v>
      </c>
      <c r="E35" s="62" t="s">
        <v>2356</v>
      </c>
      <c r="F35" s="63" t="s">
        <v>2494</v>
      </c>
      <c r="G35" s="78" t="s">
        <v>2495</v>
      </c>
      <c r="H35" s="62"/>
      <c r="I35" s="62" t="s">
        <v>2496</v>
      </c>
      <c r="J35" s="62" t="s">
        <v>2360</v>
      </c>
      <c r="K35" s="62" t="s">
        <v>2497</v>
      </c>
      <c r="L35" s="105"/>
      <c r="M35" s="62"/>
    </row>
    <row r="36" spans="2:13" s="65" customFormat="1" x14ac:dyDescent="0.3">
      <c r="B36" s="78">
        <f t="shared" si="0"/>
        <v>32</v>
      </c>
      <c r="C36" s="78">
        <v>120032</v>
      </c>
      <c r="D36" s="62" t="s">
        <v>89</v>
      </c>
      <c r="E36" s="62" t="s">
        <v>2498</v>
      </c>
      <c r="F36" s="63" t="s">
        <v>2499</v>
      </c>
      <c r="G36" s="78" t="s">
        <v>2500</v>
      </c>
      <c r="H36" s="62"/>
      <c r="I36" s="62" t="s">
        <v>2501</v>
      </c>
      <c r="J36" s="105"/>
      <c r="K36" s="105"/>
      <c r="L36" s="105"/>
      <c r="M36" s="62"/>
    </row>
    <row r="37" spans="2:13" s="65" customFormat="1" ht="28.8" x14ac:dyDescent="0.3">
      <c r="B37" s="78">
        <f t="shared" si="0"/>
        <v>33</v>
      </c>
      <c r="C37" s="78">
        <v>120033</v>
      </c>
      <c r="D37" s="62" t="s">
        <v>90</v>
      </c>
      <c r="E37" s="62" t="s">
        <v>2356</v>
      </c>
      <c r="F37" s="63" t="s">
        <v>2502</v>
      </c>
      <c r="G37" s="78" t="s">
        <v>2503</v>
      </c>
      <c r="H37" s="62"/>
      <c r="I37" s="62" t="s">
        <v>2504</v>
      </c>
      <c r="J37" s="62" t="s">
        <v>2360</v>
      </c>
      <c r="K37" s="62" t="s">
        <v>2505</v>
      </c>
      <c r="L37" s="62" t="s">
        <v>2506</v>
      </c>
      <c r="M37" s="62"/>
    </row>
    <row r="38" spans="2:13" s="65" customFormat="1" x14ac:dyDescent="0.3">
      <c r="B38" s="78">
        <f t="shared" si="0"/>
        <v>34</v>
      </c>
      <c r="C38" s="78">
        <v>120034</v>
      </c>
      <c r="D38" s="62" t="s">
        <v>2336</v>
      </c>
      <c r="E38" s="62" t="s">
        <v>2356</v>
      </c>
      <c r="F38" s="102" t="s">
        <v>2507</v>
      </c>
      <c r="G38" s="78" t="s">
        <v>2508</v>
      </c>
      <c r="H38" s="62"/>
      <c r="I38" s="62"/>
      <c r="J38" s="62"/>
      <c r="K38" s="62"/>
      <c r="L38" s="62"/>
      <c r="M38" s="62"/>
    </row>
    <row r="39" spans="2:13" s="65" customFormat="1" ht="28.8" x14ac:dyDescent="0.3">
      <c r="B39" s="78">
        <f t="shared" si="0"/>
        <v>35</v>
      </c>
      <c r="C39" s="78">
        <v>120035</v>
      </c>
      <c r="D39" s="62" t="s">
        <v>92</v>
      </c>
      <c r="E39" s="62" t="s">
        <v>2356</v>
      </c>
      <c r="F39" s="63" t="s">
        <v>2509</v>
      </c>
      <c r="G39" s="78" t="s">
        <v>2510</v>
      </c>
      <c r="H39" s="62"/>
      <c r="I39" s="62" t="s">
        <v>2511</v>
      </c>
      <c r="J39" s="62" t="s">
        <v>2512</v>
      </c>
      <c r="K39" s="105"/>
      <c r="L39" s="105"/>
      <c r="M39" s="62"/>
    </row>
    <row r="40" spans="2:13" s="65" customFormat="1" x14ac:dyDescent="0.3">
      <c r="B40" s="78">
        <f t="shared" si="0"/>
        <v>36</v>
      </c>
      <c r="C40" s="78">
        <v>120036</v>
      </c>
      <c r="D40" s="62" t="s">
        <v>93</v>
      </c>
      <c r="E40" s="62" t="s">
        <v>2409</v>
      </c>
      <c r="F40" s="63" t="s">
        <v>2513</v>
      </c>
      <c r="G40" s="78" t="s">
        <v>2514</v>
      </c>
      <c r="H40" s="62"/>
      <c r="I40" s="62"/>
      <c r="J40" s="62"/>
      <c r="K40" s="105"/>
      <c r="L40" s="105"/>
      <c r="M40" s="62"/>
    </row>
    <row r="41" spans="2:13" s="65" customFormat="1" x14ac:dyDescent="0.3">
      <c r="B41" s="78">
        <f t="shared" si="0"/>
        <v>37</v>
      </c>
      <c r="C41" s="78">
        <v>120037</v>
      </c>
      <c r="D41" s="62" t="s">
        <v>94</v>
      </c>
      <c r="E41" s="62" t="s">
        <v>2409</v>
      </c>
      <c r="F41" s="63" t="s">
        <v>2515</v>
      </c>
      <c r="G41" s="78" t="s">
        <v>2516</v>
      </c>
      <c r="H41" s="62" t="s">
        <v>2517</v>
      </c>
      <c r="I41" s="62" t="s">
        <v>2518</v>
      </c>
      <c r="J41" s="105"/>
      <c r="K41" s="105"/>
      <c r="L41" s="105"/>
      <c r="M41" s="62"/>
    </row>
    <row r="42" spans="2:13" s="65" customFormat="1" x14ac:dyDescent="0.3">
      <c r="B42" s="78">
        <f t="shared" si="0"/>
        <v>38</v>
      </c>
      <c r="C42" s="78">
        <v>120038</v>
      </c>
      <c r="D42" s="62" t="s">
        <v>95</v>
      </c>
      <c r="E42" s="62" t="s">
        <v>2409</v>
      </c>
      <c r="F42" s="63" t="s">
        <v>2519</v>
      </c>
      <c r="G42" s="78"/>
      <c r="H42" s="62" t="s">
        <v>2520</v>
      </c>
      <c r="I42" s="62" t="s">
        <v>2521</v>
      </c>
      <c r="J42" s="105"/>
      <c r="K42" s="105"/>
      <c r="L42" s="105"/>
      <c r="M42" s="62"/>
    </row>
    <row r="43" spans="2:13" s="65" customFormat="1" x14ac:dyDescent="0.3">
      <c r="B43" s="78">
        <f t="shared" si="0"/>
        <v>39</v>
      </c>
      <c r="C43" s="78">
        <v>120039</v>
      </c>
      <c r="D43" s="62" t="s">
        <v>96</v>
      </c>
      <c r="E43" s="62" t="s">
        <v>2409</v>
      </c>
      <c r="F43" s="63" t="s">
        <v>2522</v>
      </c>
      <c r="G43" s="78" t="s">
        <v>2523</v>
      </c>
      <c r="H43" s="62"/>
      <c r="I43" s="62" t="s">
        <v>2524</v>
      </c>
      <c r="J43" s="62" t="s">
        <v>2525</v>
      </c>
      <c r="K43" s="105"/>
      <c r="L43" s="105"/>
      <c r="M43" s="62"/>
    </row>
    <row r="44" spans="2:13" s="65" customFormat="1" x14ac:dyDescent="0.3">
      <c r="B44" s="78">
        <f t="shared" si="0"/>
        <v>40</v>
      </c>
      <c r="C44" s="78">
        <v>120040</v>
      </c>
      <c r="D44" s="62" t="s">
        <v>97</v>
      </c>
      <c r="E44" s="62" t="s">
        <v>2356</v>
      </c>
      <c r="F44" s="63" t="s">
        <v>2526</v>
      </c>
      <c r="G44" s="78" t="s">
        <v>2527</v>
      </c>
      <c r="H44" s="62"/>
      <c r="I44" s="62"/>
      <c r="J44" s="62"/>
      <c r="K44" s="62"/>
      <c r="L44" s="62"/>
      <c r="M44" s="62"/>
    </row>
    <row r="45" spans="2:13" s="65" customFormat="1" ht="28.8" x14ac:dyDescent="0.3">
      <c r="B45" s="78">
        <f t="shared" si="0"/>
        <v>41</v>
      </c>
      <c r="C45" s="78">
        <v>120041</v>
      </c>
      <c r="D45" s="62" t="s">
        <v>98</v>
      </c>
      <c r="E45" s="62" t="s">
        <v>2356</v>
      </c>
      <c r="F45" s="63" t="s">
        <v>2528</v>
      </c>
      <c r="G45" s="78" t="s">
        <v>2529</v>
      </c>
      <c r="H45" s="62"/>
      <c r="I45" s="62" t="s">
        <v>2530</v>
      </c>
      <c r="J45" s="62" t="s">
        <v>2531</v>
      </c>
      <c r="K45" s="105"/>
      <c r="L45" s="105"/>
      <c r="M45" s="62"/>
    </row>
    <row r="46" spans="2:13" s="65" customFormat="1" x14ac:dyDescent="0.3">
      <c r="B46" s="78">
        <f t="shared" si="0"/>
        <v>42</v>
      </c>
      <c r="C46" s="78">
        <v>120042</v>
      </c>
      <c r="D46" s="62" t="s">
        <v>99</v>
      </c>
      <c r="E46" s="62" t="s">
        <v>2356</v>
      </c>
      <c r="F46" s="63" t="s">
        <v>2532</v>
      </c>
      <c r="G46" s="78" t="s">
        <v>2533</v>
      </c>
      <c r="H46" s="62" t="s">
        <v>2534</v>
      </c>
      <c r="I46" s="62" t="s">
        <v>2535</v>
      </c>
      <c r="J46" s="105"/>
      <c r="K46" s="62" t="s">
        <v>2536</v>
      </c>
      <c r="L46" s="105"/>
      <c r="M46" s="62"/>
    </row>
    <row r="47" spans="2:13" s="65" customFormat="1" x14ac:dyDescent="0.3">
      <c r="B47" s="78">
        <f t="shared" si="0"/>
        <v>43</v>
      </c>
      <c r="C47" s="78">
        <v>120043</v>
      </c>
      <c r="D47" s="62" t="s">
        <v>101</v>
      </c>
      <c r="E47" s="62" t="s">
        <v>2356</v>
      </c>
      <c r="F47" s="63" t="s">
        <v>2537</v>
      </c>
      <c r="G47" s="78" t="s">
        <v>2538</v>
      </c>
      <c r="H47" s="62" t="s">
        <v>2539</v>
      </c>
      <c r="I47" s="62" t="s">
        <v>2540</v>
      </c>
      <c r="J47" s="105"/>
      <c r="K47" s="62" t="s">
        <v>2541</v>
      </c>
      <c r="L47" s="105"/>
      <c r="M47" s="62"/>
    </row>
    <row r="48" spans="2:13" s="65" customFormat="1" x14ac:dyDescent="0.3">
      <c r="B48" s="78">
        <f t="shared" si="0"/>
        <v>44</v>
      </c>
      <c r="C48" s="78">
        <v>120044</v>
      </c>
      <c r="D48" s="62" t="s">
        <v>102</v>
      </c>
      <c r="E48" s="62" t="s">
        <v>2395</v>
      </c>
      <c r="F48" s="63" t="s">
        <v>2542</v>
      </c>
      <c r="G48" s="78"/>
      <c r="H48" s="62"/>
      <c r="I48" s="62" t="s">
        <v>2543</v>
      </c>
      <c r="J48" s="62" t="s">
        <v>2544</v>
      </c>
      <c r="K48" s="62" t="s">
        <v>2545</v>
      </c>
      <c r="L48" s="62" t="s">
        <v>2546</v>
      </c>
      <c r="M48" s="62"/>
    </row>
    <row r="49" spans="2:13" s="65" customFormat="1" x14ac:dyDescent="0.3">
      <c r="B49" s="78">
        <f t="shared" si="0"/>
        <v>45</v>
      </c>
      <c r="C49" s="78">
        <v>120045</v>
      </c>
      <c r="D49" s="62" t="s">
        <v>103</v>
      </c>
      <c r="E49" s="62" t="s">
        <v>2356</v>
      </c>
      <c r="F49" s="63" t="s">
        <v>2547</v>
      </c>
      <c r="G49" s="78" t="s">
        <v>2548</v>
      </c>
      <c r="H49" s="62"/>
      <c r="I49" s="62" t="s">
        <v>2549</v>
      </c>
      <c r="J49" s="62" t="s">
        <v>2360</v>
      </c>
      <c r="K49" s="62"/>
      <c r="L49" s="62"/>
      <c r="M49" s="62" t="s">
        <v>2549</v>
      </c>
    </row>
    <row r="50" spans="2:13" s="65" customFormat="1" x14ac:dyDescent="0.3">
      <c r="B50" s="78">
        <f t="shared" si="0"/>
        <v>46</v>
      </c>
      <c r="C50" s="78">
        <v>120046</v>
      </c>
      <c r="D50" s="62" t="s">
        <v>104</v>
      </c>
      <c r="E50" s="62" t="s">
        <v>2498</v>
      </c>
      <c r="F50" s="63" t="s">
        <v>2550</v>
      </c>
      <c r="G50" s="78" t="s">
        <v>2551</v>
      </c>
      <c r="H50" s="62"/>
      <c r="I50" s="62" t="s">
        <v>2552</v>
      </c>
      <c r="J50" s="62"/>
      <c r="K50" s="62"/>
      <c r="L50" s="62"/>
      <c r="M50" s="62"/>
    </row>
    <row r="51" spans="2:13" s="65" customFormat="1" x14ac:dyDescent="0.3">
      <c r="B51" s="78">
        <f t="shared" si="0"/>
        <v>47</v>
      </c>
      <c r="C51" s="78">
        <v>120047</v>
      </c>
      <c r="D51" s="62" t="s">
        <v>106</v>
      </c>
      <c r="E51" s="62" t="s">
        <v>2356</v>
      </c>
      <c r="F51" s="63" t="s">
        <v>2553</v>
      </c>
      <c r="G51" s="78" t="s">
        <v>2551</v>
      </c>
      <c r="H51" s="62" t="s">
        <v>2554</v>
      </c>
      <c r="I51" s="62" t="s">
        <v>2555</v>
      </c>
      <c r="J51" s="62"/>
      <c r="K51" s="62"/>
      <c r="L51" s="62"/>
      <c r="M51" s="62"/>
    </row>
    <row r="52" spans="2:13" s="65" customFormat="1" x14ac:dyDescent="0.3">
      <c r="B52" s="78">
        <f t="shared" si="0"/>
        <v>48</v>
      </c>
      <c r="C52" s="78">
        <v>120048</v>
      </c>
      <c r="D52" s="62" t="s">
        <v>108</v>
      </c>
      <c r="E52" s="62" t="s">
        <v>2556</v>
      </c>
      <c r="F52" s="63" t="s">
        <v>2557</v>
      </c>
      <c r="G52" s="78" t="s">
        <v>2558</v>
      </c>
      <c r="H52" s="62"/>
      <c r="I52" s="62" t="s">
        <v>2559</v>
      </c>
      <c r="J52" s="62" t="s">
        <v>2560</v>
      </c>
      <c r="K52" s="62"/>
      <c r="L52" s="62" t="s">
        <v>2561</v>
      </c>
      <c r="M52" s="62"/>
    </row>
    <row r="53" spans="2:13" s="65" customFormat="1" ht="28.8" x14ac:dyDescent="0.3">
      <c r="B53" s="78">
        <f t="shared" si="0"/>
        <v>49</v>
      </c>
      <c r="C53" s="78">
        <v>120049</v>
      </c>
      <c r="D53" s="62" t="s">
        <v>109</v>
      </c>
      <c r="E53" s="62" t="s">
        <v>2356</v>
      </c>
      <c r="F53" s="63" t="s">
        <v>2562</v>
      </c>
      <c r="G53" s="78" t="s">
        <v>2563</v>
      </c>
      <c r="H53" s="62"/>
      <c r="I53" s="62" t="s">
        <v>2564</v>
      </c>
      <c r="J53" s="62" t="s">
        <v>2565</v>
      </c>
      <c r="K53" s="62"/>
      <c r="L53" s="62"/>
      <c r="M53" s="62"/>
    </row>
    <row r="54" spans="2:13" s="65" customFormat="1" x14ac:dyDescent="0.3">
      <c r="B54" s="78">
        <f t="shared" si="0"/>
        <v>50</v>
      </c>
      <c r="C54" s="78">
        <v>120050</v>
      </c>
      <c r="D54" s="62" t="s">
        <v>110</v>
      </c>
      <c r="E54" s="62" t="s">
        <v>2409</v>
      </c>
      <c r="F54" s="63" t="s">
        <v>2566</v>
      </c>
      <c r="G54" s="78" t="s">
        <v>2567</v>
      </c>
      <c r="H54" s="62" t="s">
        <v>2568</v>
      </c>
      <c r="I54" s="62" t="s">
        <v>2569</v>
      </c>
      <c r="J54" s="62"/>
      <c r="K54" s="62"/>
      <c r="L54" s="62"/>
      <c r="M54" s="62"/>
    </row>
    <row r="55" spans="2:13" s="65" customFormat="1" x14ac:dyDescent="0.3">
      <c r="B55" s="78">
        <f t="shared" si="0"/>
        <v>51</v>
      </c>
      <c r="C55" s="78">
        <v>120051</v>
      </c>
      <c r="D55" s="62" t="s">
        <v>111</v>
      </c>
      <c r="E55" s="62" t="s">
        <v>2356</v>
      </c>
      <c r="F55" s="63" t="s">
        <v>2570</v>
      </c>
      <c r="G55" s="78" t="s">
        <v>2571</v>
      </c>
      <c r="H55" s="62"/>
      <c r="I55" s="62"/>
      <c r="J55" s="62"/>
      <c r="K55" s="62"/>
      <c r="L55" s="62"/>
      <c r="M55" s="62"/>
    </row>
    <row r="56" spans="2:13" s="65" customFormat="1" x14ac:dyDescent="0.3">
      <c r="B56" s="78">
        <f t="shared" si="0"/>
        <v>52</v>
      </c>
      <c r="C56" s="78">
        <v>120052</v>
      </c>
      <c r="D56" s="62" t="s">
        <v>112</v>
      </c>
      <c r="E56" s="62" t="s">
        <v>2356</v>
      </c>
      <c r="F56" s="63" t="s">
        <v>2572</v>
      </c>
      <c r="G56" s="78" t="s">
        <v>2573</v>
      </c>
      <c r="H56" s="62"/>
      <c r="I56" s="62" t="s">
        <v>2574</v>
      </c>
      <c r="J56" s="62"/>
      <c r="K56" s="62" t="s">
        <v>2575</v>
      </c>
      <c r="L56" s="62"/>
      <c r="M56" s="62"/>
    </row>
    <row r="57" spans="2:13" s="65" customFormat="1" ht="28.8" x14ac:dyDescent="0.3">
      <c r="B57" s="78">
        <f t="shared" si="0"/>
        <v>53</v>
      </c>
      <c r="C57" s="78">
        <v>120053</v>
      </c>
      <c r="D57" s="62" t="s">
        <v>114</v>
      </c>
      <c r="E57" s="62" t="s">
        <v>2356</v>
      </c>
      <c r="F57" s="63" t="s">
        <v>2576</v>
      </c>
      <c r="G57" s="78" t="s">
        <v>2577</v>
      </c>
      <c r="H57" s="62"/>
      <c r="I57" s="62" t="s">
        <v>2578</v>
      </c>
      <c r="J57" s="62" t="s">
        <v>2360</v>
      </c>
      <c r="K57" s="62" t="s">
        <v>2579</v>
      </c>
      <c r="L57" s="62" t="s">
        <v>2580</v>
      </c>
      <c r="M57" s="62"/>
    </row>
    <row r="58" spans="2:13" s="65" customFormat="1" x14ac:dyDescent="0.3">
      <c r="B58" s="78">
        <f t="shared" si="0"/>
        <v>54</v>
      </c>
      <c r="C58" s="78">
        <v>120054</v>
      </c>
      <c r="D58" s="62" t="s">
        <v>115</v>
      </c>
      <c r="E58" s="62" t="s">
        <v>2498</v>
      </c>
      <c r="F58" s="63" t="s">
        <v>2581</v>
      </c>
      <c r="G58" s="78" t="s">
        <v>2582</v>
      </c>
      <c r="H58" s="62"/>
      <c r="I58" s="62" t="s">
        <v>2583</v>
      </c>
      <c r="J58" s="62" t="s">
        <v>2360</v>
      </c>
      <c r="K58" s="62" t="s">
        <v>2584</v>
      </c>
      <c r="L58" s="62"/>
      <c r="M58" s="62"/>
    </row>
    <row r="59" spans="2:13" s="65" customFormat="1" ht="28.8" x14ac:dyDescent="0.3">
      <c r="B59" s="78">
        <f t="shared" si="0"/>
        <v>55</v>
      </c>
      <c r="C59" s="78">
        <v>120055</v>
      </c>
      <c r="D59" s="62" t="s">
        <v>116</v>
      </c>
      <c r="E59" s="62" t="s">
        <v>2409</v>
      </c>
      <c r="F59" s="63" t="s">
        <v>2585</v>
      </c>
      <c r="G59" s="78" t="s">
        <v>2586</v>
      </c>
      <c r="H59" s="62"/>
      <c r="I59" s="62" t="s">
        <v>2587</v>
      </c>
      <c r="J59" s="62" t="s">
        <v>2588</v>
      </c>
      <c r="K59" s="62" t="s">
        <v>2589</v>
      </c>
      <c r="L59" s="62"/>
      <c r="M59" s="62"/>
    </row>
    <row r="60" spans="2:13" s="65" customFormat="1" x14ac:dyDescent="0.3">
      <c r="B60" s="78">
        <f t="shared" si="0"/>
        <v>56</v>
      </c>
      <c r="C60" s="78">
        <v>120056</v>
      </c>
      <c r="D60" s="62" t="s">
        <v>117</v>
      </c>
      <c r="E60" s="62" t="s">
        <v>2395</v>
      </c>
      <c r="F60" s="63" t="s">
        <v>2590</v>
      </c>
      <c r="G60" s="78" t="s">
        <v>2591</v>
      </c>
      <c r="H60" s="62" t="s">
        <v>2592</v>
      </c>
      <c r="I60" s="62" t="s">
        <v>2593</v>
      </c>
      <c r="J60" s="62" t="s">
        <v>2594</v>
      </c>
      <c r="K60" s="62" t="s">
        <v>2595</v>
      </c>
      <c r="L60" s="62"/>
      <c r="M60" s="62"/>
    </row>
    <row r="61" spans="2:13" s="65" customFormat="1" ht="28.8" x14ac:dyDescent="0.3">
      <c r="B61" s="78">
        <f t="shared" si="0"/>
        <v>57</v>
      </c>
      <c r="C61" s="78">
        <v>120057</v>
      </c>
      <c r="D61" s="62" t="s">
        <v>118</v>
      </c>
      <c r="E61" s="62" t="s">
        <v>2356</v>
      </c>
      <c r="F61" s="63" t="s">
        <v>2596</v>
      </c>
      <c r="G61" s="78" t="s">
        <v>2597</v>
      </c>
      <c r="H61" s="62"/>
      <c r="I61" s="62" t="s">
        <v>2598</v>
      </c>
      <c r="J61" s="62"/>
      <c r="K61" s="62"/>
      <c r="L61" s="62"/>
      <c r="M61" s="62"/>
    </row>
    <row r="62" spans="2:13" s="65" customFormat="1" x14ac:dyDescent="0.3">
      <c r="B62" s="78">
        <f t="shared" si="0"/>
        <v>58</v>
      </c>
      <c r="C62" s="78">
        <v>120058</v>
      </c>
      <c r="D62" s="62" t="s">
        <v>119</v>
      </c>
      <c r="E62" s="62" t="s">
        <v>2498</v>
      </c>
      <c r="F62" s="63" t="s">
        <v>2599</v>
      </c>
      <c r="G62" s="78" t="s">
        <v>2600</v>
      </c>
      <c r="H62" s="62"/>
      <c r="I62" s="62" t="s">
        <v>2601</v>
      </c>
      <c r="J62" s="62" t="s">
        <v>2602</v>
      </c>
      <c r="K62" s="62" t="s">
        <v>2603</v>
      </c>
      <c r="L62" s="62" t="s">
        <v>2604</v>
      </c>
      <c r="M62" s="62"/>
    </row>
    <row r="63" spans="2:13" s="65" customFormat="1" x14ac:dyDescent="0.3">
      <c r="B63" s="78">
        <f t="shared" si="0"/>
        <v>59</v>
      </c>
      <c r="C63" s="78">
        <v>120059</v>
      </c>
      <c r="D63" s="62" t="s">
        <v>120</v>
      </c>
      <c r="E63" s="62" t="s">
        <v>2356</v>
      </c>
      <c r="F63" s="63" t="s">
        <v>2605</v>
      </c>
      <c r="G63" s="78" t="s">
        <v>2358</v>
      </c>
      <c r="H63" s="62"/>
      <c r="I63" s="62"/>
      <c r="J63" s="62"/>
      <c r="K63" s="62"/>
      <c r="L63" s="62"/>
      <c r="M63" s="62"/>
    </row>
    <row r="64" spans="2:13" s="65" customFormat="1" x14ac:dyDescent="0.3">
      <c r="B64" s="78">
        <f t="shared" si="0"/>
        <v>60</v>
      </c>
      <c r="C64" s="78">
        <v>120060</v>
      </c>
      <c r="D64" s="62" t="s">
        <v>121</v>
      </c>
      <c r="E64" s="62" t="s">
        <v>2395</v>
      </c>
      <c r="F64" s="63" t="s">
        <v>2606</v>
      </c>
      <c r="G64" s="109" t="s">
        <v>2607</v>
      </c>
      <c r="H64" s="62"/>
      <c r="I64" s="62" t="s">
        <v>2608</v>
      </c>
      <c r="J64" s="62" t="s">
        <v>2609</v>
      </c>
      <c r="K64" s="62" t="s">
        <v>2610</v>
      </c>
      <c r="L64" s="62"/>
      <c r="M64" s="62"/>
    </row>
    <row r="65" spans="2:13" s="65" customFormat="1" x14ac:dyDescent="0.3">
      <c r="B65" s="78">
        <f t="shared" si="0"/>
        <v>61</v>
      </c>
      <c r="C65" s="78">
        <v>120061</v>
      </c>
      <c r="D65" s="62" t="s">
        <v>122</v>
      </c>
      <c r="E65" s="62" t="s">
        <v>2356</v>
      </c>
      <c r="F65" s="63" t="s">
        <v>2611</v>
      </c>
      <c r="G65" s="109" t="s">
        <v>2612</v>
      </c>
      <c r="H65" s="62"/>
      <c r="I65" s="62"/>
      <c r="J65" s="62"/>
      <c r="K65" s="62"/>
      <c r="L65" s="62"/>
      <c r="M65" s="62"/>
    </row>
    <row r="66" spans="2:13" s="65" customFormat="1" x14ac:dyDescent="0.3">
      <c r="B66" s="78">
        <f t="shared" si="0"/>
        <v>62</v>
      </c>
      <c r="C66" s="78">
        <v>120062</v>
      </c>
      <c r="D66" s="62" t="s">
        <v>124</v>
      </c>
      <c r="E66" s="62" t="s">
        <v>2356</v>
      </c>
      <c r="F66" s="63" t="s">
        <v>2613</v>
      </c>
      <c r="G66" s="78" t="s">
        <v>2614</v>
      </c>
      <c r="H66" s="62"/>
      <c r="I66" s="62" t="s">
        <v>2615</v>
      </c>
      <c r="J66" s="62" t="s">
        <v>2360</v>
      </c>
      <c r="K66" s="62" t="s">
        <v>2616</v>
      </c>
      <c r="L66" s="62"/>
      <c r="M66" s="62"/>
    </row>
    <row r="67" spans="2:13" s="65" customFormat="1" x14ac:dyDescent="0.3">
      <c r="B67" s="78">
        <f t="shared" si="0"/>
        <v>63</v>
      </c>
      <c r="C67" s="78">
        <v>120063</v>
      </c>
      <c r="D67" s="62" t="s">
        <v>125</v>
      </c>
      <c r="E67" s="62" t="s">
        <v>2356</v>
      </c>
      <c r="F67" s="63" t="s">
        <v>2617</v>
      </c>
      <c r="G67" s="78" t="s">
        <v>2618</v>
      </c>
      <c r="H67" s="62"/>
      <c r="I67" s="62" t="s">
        <v>2619</v>
      </c>
      <c r="J67" s="62" t="s">
        <v>2620</v>
      </c>
      <c r="K67" s="62" t="s">
        <v>2621</v>
      </c>
      <c r="L67" s="62" t="s">
        <v>2622</v>
      </c>
      <c r="M67" s="62"/>
    </row>
    <row r="68" spans="2:13" s="65" customFormat="1" x14ac:dyDescent="0.3">
      <c r="B68" s="78">
        <f t="shared" si="0"/>
        <v>64</v>
      </c>
      <c r="C68" s="78">
        <v>120064</v>
      </c>
      <c r="D68" s="62" t="s">
        <v>126</v>
      </c>
      <c r="E68" s="62" t="s">
        <v>2395</v>
      </c>
      <c r="F68" s="63" t="s">
        <v>2623</v>
      </c>
      <c r="G68" s="78" t="s">
        <v>2397</v>
      </c>
      <c r="H68" s="62" t="s">
        <v>2624</v>
      </c>
      <c r="I68" s="62" t="s">
        <v>2625</v>
      </c>
      <c r="J68" s="62" t="s">
        <v>2626</v>
      </c>
      <c r="K68" s="62" t="s">
        <v>2627</v>
      </c>
      <c r="L68" s="62"/>
      <c r="M68" s="62"/>
    </row>
    <row r="69" spans="2:13" s="65" customFormat="1" ht="28.8" x14ac:dyDescent="0.3">
      <c r="B69" s="78">
        <f t="shared" si="0"/>
        <v>65</v>
      </c>
      <c r="C69" s="78">
        <v>120065</v>
      </c>
      <c r="D69" s="62" t="s">
        <v>127</v>
      </c>
      <c r="E69" s="62" t="s">
        <v>2356</v>
      </c>
      <c r="F69" s="63" t="s">
        <v>2628</v>
      </c>
      <c r="G69" s="78" t="s">
        <v>2629</v>
      </c>
      <c r="H69" s="62"/>
      <c r="I69" s="62" t="s">
        <v>2630</v>
      </c>
      <c r="J69" s="62"/>
      <c r="K69" s="62" t="s">
        <v>2631</v>
      </c>
      <c r="L69" s="62"/>
      <c r="M69" s="62"/>
    </row>
    <row r="70" spans="2:13" s="65" customFormat="1" x14ac:dyDescent="0.3">
      <c r="B70" s="78">
        <f t="shared" si="0"/>
        <v>66</v>
      </c>
      <c r="C70" s="78">
        <v>120066</v>
      </c>
      <c r="D70" s="62" t="s">
        <v>128</v>
      </c>
      <c r="E70" s="62" t="s">
        <v>2556</v>
      </c>
      <c r="F70" s="63" t="s">
        <v>2632</v>
      </c>
      <c r="G70" s="78" t="s">
        <v>2633</v>
      </c>
      <c r="H70" s="62"/>
      <c r="I70" s="62" t="s">
        <v>2634</v>
      </c>
      <c r="J70" s="62" t="s">
        <v>2635</v>
      </c>
      <c r="K70" s="62" t="s">
        <v>2636</v>
      </c>
      <c r="L70" s="62"/>
      <c r="M70" s="62"/>
    </row>
    <row r="71" spans="2:13" s="65" customFormat="1" x14ac:dyDescent="0.3">
      <c r="B71" s="78">
        <f t="shared" ref="B71:B134" si="1">B70+1</f>
        <v>67</v>
      </c>
      <c r="C71" s="78">
        <v>120067</v>
      </c>
      <c r="D71" s="62" t="s">
        <v>129</v>
      </c>
      <c r="E71" s="62" t="s">
        <v>2356</v>
      </c>
      <c r="F71" s="63" t="s">
        <v>2637</v>
      </c>
      <c r="G71" s="78" t="s">
        <v>2600</v>
      </c>
      <c r="H71" s="62"/>
      <c r="I71" s="62" t="s">
        <v>2638</v>
      </c>
      <c r="J71" s="62" t="s">
        <v>2639</v>
      </c>
      <c r="K71" s="62"/>
      <c r="L71" s="62"/>
      <c r="M71" s="62"/>
    </row>
    <row r="72" spans="2:13" s="65" customFormat="1" ht="28.8" x14ac:dyDescent="0.3">
      <c r="B72" s="78">
        <f t="shared" si="1"/>
        <v>68</v>
      </c>
      <c r="C72" s="78">
        <v>120068</v>
      </c>
      <c r="D72" s="62" t="s">
        <v>130</v>
      </c>
      <c r="E72" s="62" t="s">
        <v>2395</v>
      </c>
      <c r="F72" s="63" t="s">
        <v>2640</v>
      </c>
      <c r="G72" s="78"/>
      <c r="H72" s="62" t="s">
        <v>2641</v>
      </c>
      <c r="I72" s="62" t="s">
        <v>2642</v>
      </c>
      <c r="J72" s="62" t="s">
        <v>2643</v>
      </c>
      <c r="K72" s="62" t="s">
        <v>2644</v>
      </c>
      <c r="L72" s="62"/>
      <c r="M72" s="62"/>
    </row>
    <row r="73" spans="2:13" s="65" customFormat="1" x14ac:dyDescent="0.3">
      <c r="B73" s="78">
        <f t="shared" si="1"/>
        <v>69</v>
      </c>
      <c r="C73" s="78">
        <v>120069</v>
      </c>
      <c r="D73" s="62" t="s">
        <v>131</v>
      </c>
      <c r="E73" s="62" t="s">
        <v>2409</v>
      </c>
      <c r="F73" s="63" t="s">
        <v>2645</v>
      </c>
      <c r="G73" s="78" t="s">
        <v>2646</v>
      </c>
      <c r="H73" s="62"/>
      <c r="I73" s="62" t="s">
        <v>2647</v>
      </c>
      <c r="J73" s="62" t="s">
        <v>2648</v>
      </c>
      <c r="K73" s="62"/>
      <c r="L73" s="62"/>
      <c r="M73" s="62"/>
    </row>
    <row r="74" spans="2:13" s="65" customFormat="1" ht="28.8" x14ac:dyDescent="0.3">
      <c r="B74" s="78">
        <f t="shared" si="1"/>
        <v>70</v>
      </c>
      <c r="C74" s="78">
        <v>120070</v>
      </c>
      <c r="D74" s="62" t="s">
        <v>132</v>
      </c>
      <c r="E74" s="62" t="s">
        <v>2409</v>
      </c>
      <c r="F74" s="63" t="s">
        <v>2649</v>
      </c>
      <c r="G74" s="78"/>
      <c r="H74" s="62"/>
      <c r="I74" s="62" t="s">
        <v>2650</v>
      </c>
      <c r="J74" s="62" t="s">
        <v>2651</v>
      </c>
      <c r="K74" s="62" t="s">
        <v>2652</v>
      </c>
      <c r="L74" s="62"/>
      <c r="M74" s="62"/>
    </row>
    <row r="75" spans="2:13" s="65" customFormat="1" ht="28.8" x14ac:dyDescent="0.3">
      <c r="B75" s="78">
        <f t="shared" si="1"/>
        <v>71</v>
      </c>
      <c r="C75" s="78">
        <v>120071</v>
      </c>
      <c r="D75" s="62" t="s">
        <v>133</v>
      </c>
      <c r="E75" s="62" t="s">
        <v>2409</v>
      </c>
      <c r="F75" s="63" t="s">
        <v>2653</v>
      </c>
      <c r="G75" s="78" t="s">
        <v>2654</v>
      </c>
      <c r="H75" s="62" t="s">
        <v>2655</v>
      </c>
      <c r="I75" s="62" t="s">
        <v>2656</v>
      </c>
      <c r="J75" s="62" t="s">
        <v>2657</v>
      </c>
      <c r="K75" s="62"/>
      <c r="L75" s="62" t="s">
        <v>2658</v>
      </c>
      <c r="M75" s="62"/>
    </row>
    <row r="76" spans="2:13" s="65" customFormat="1" x14ac:dyDescent="0.3">
      <c r="B76" s="78">
        <f t="shared" si="1"/>
        <v>72</v>
      </c>
      <c r="C76" s="78">
        <v>120072</v>
      </c>
      <c r="D76" s="62" t="s">
        <v>134</v>
      </c>
      <c r="E76" s="62" t="s">
        <v>2356</v>
      </c>
      <c r="F76" s="63" t="s">
        <v>2659</v>
      </c>
      <c r="G76" s="78" t="s">
        <v>2660</v>
      </c>
      <c r="H76" s="62"/>
      <c r="I76" s="62" t="s">
        <v>2661</v>
      </c>
      <c r="J76" s="62" t="s">
        <v>2662</v>
      </c>
      <c r="K76" s="62" t="s">
        <v>2663</v>
      </c>
      <c r="L76" s="62" t="s">
        <v>2664</v>
      </c>
      <c r="M76" s="62"/>
    </row>
    <row r="77" spans="2:13" s="65" customFormat="1" x14ac:dyDescent="0.3">
      <c r="B77" s="78">
        <f t="shared" si="1"/>
        <v>73</v>
      </c>
      <c r="C77" s="78">
        <v>120073</v>
      </c>
      <c r="D77" s="62" t="s">
        <v>136</v>
      </c>
      <c r="E77" s="62" t="s">
        <v>2356</v>
      </c>
      <c r="F77" s="63" t="s">
        <v>2665</v>
      </c>
      <c r="G77" s="78" t="s">
        <v>2666</v>
      </c>
      <c r="H77" s="62" t="s">
        <v>2667</v>
      </c>
      <c r="I77" s="62" t="s">
        <v>2668</v>
      </c>
      <c r="J77" s="62"/>
      <c r="K77" s="62"/>
      <c r="L77" s="62"/>
      <c r="M77" s="62"/>
    </row>
    <row r="78" spans="2:13" s="65" customFormat="1" ht="28.8" x14ac:dyDescent="0.3">
      <c r="B78" s="78">
        <f t="shared" si="1"/>
        <v>74</v>
      </c>
      <c r="C78" s="78">
        <v>120074</v>
      </c>
      <c r="D78" s="62" t="s">
        <v>137</v>
      </c>
      <c r="E78" s="62" t="s">
        <v>2409</v>
      </c>
      <c r="F78" s="63" t="s">
        <v>2669</v>
      </c>
      <c r="G78" s="78" t="s">
        <v>2670</v>
      </c>
      <c r="H78" s="62"/>
      <c r="I78" s="62" t="s">
        <v>2671</v>
      </c>
      <c r="J78" s="62"/>
      <c r="K78" s="62"/>
      <c r="L78" s="62"/>
      <c r="M78" s="62"/>
    </row>
    <row r="79" spans="2:13" s="65" customFormat="1" ht="28.8" x14ac:dyDescent="0.3">
      <c r="B79" s="78">
        <f t="shared" si="1"/>
        <v>75</v>
      </c>
      <c r="C79" s="78">
        <v>120075</v>
      </c>
      <c r="D79" s="62" t="s">
        <v>138</v>
      </c>
      <c r="E79" s="62" t="s">
        <v>2556</v>
      </c>
      <c r="F79" s="63" t="s">
        <v>2672</v>
      </c>
      <c r="G79" s="78" t="s">
        <v>2673</v>
      </c>
      <c r="H79" s="62"/>
      <c r="I79" s="62" t="s">
        <v>2674</v>
      </c>
      <c r="J79" s="62" t="s">
        <v>2360</v>
      </c>
      <c r="K79" s="62"/>
      <c r="L79" s="62" t="s">
        <v>2675</v>
      </c>
      <c r="M79" s="62"/>
    </row>
    <row r="80" spans="2:13" s="65" customFormat="1" x14ac:dyDescent="0.3">
      <c r="B80" s="78">
        <f t="shared" si="1"/>
        <v>76</v>
      </c>
      <c r="C80" s="78">
        <v>120076</v>
      </c>
      <c r="D80" s="62" t="s">
        <v>139</v>
      </c>
      <c r="E80" s="62" t="s">
        <v>2556</v>
      </c>
      <c r="F80" s="63" t="s">
        <v>2676</v>
      </c>
      <c r="G80" s="78" t="s">
        <v>2677</v>
      </c>
      <c r="H80" s="62" t="s">
        <v>2678</v>
      </c>
      <c r="I80" s="62" t="s">
        <v>2679</v>
      </c>
      <c r="J80" s="62" t="s">
        <v>2360</v>
      </c>
      <c r="K80" s="62"/>
      <c r="L80" s="62" t="s">
        <v>2680</v>
      </c>
      <c r="M80" s="62"/>
    </row>
    <row r="81" spans="2:13" s="65" customFormat="1" x14ac:dyDescent="0.3">
      <c r="B81" s="78">
        <f t="shared" si="1"/>
        <v>77</v>
      </c>
      <c r="C81" s="78">
        <v>120077</v>
      </c>
      <c r="D81" s="62" t="s">
        <v>2337</v>
      </c>
      <c r="E81" s="62" t="s">
        <v>2356</v>
      </c>
      <c r="F81" s="63" t="s">
        <v>2681</v>
      </c>
      <c r="G81" s="78" t="s">
        <v>2682</v>
      </c>
      <c r="H81" s="62"/>
      <c r="I81" s="62" t="s">
        <v>2683</v>
      </c>
      <c r="J81" s="62" t="s">
        <v>2360</v>
      </c>
      <c r="K81" s="62"/>
      <c r="L81" s="62"/>
      <c r="M81" s="62"/>
    </row>
    <row r="82" spans="2:13" s="65" customFormat="1" ht="28.8" x14ac:dyDescent="0.3">
      <c r="B82" s="78">
        <f t="shared" si="1"/>
        <v>78</v>
      </c>
      <c r="C82" s="78">
        <v>120078</v>
      </c>
      <c r="D82" s="62" t="s">
        <v>140</v>
      </c>
      <c r="E82" s="62" t="s">
        <v>2356</v>
      </c>
      <c r="F82" s="63" t="s">
        <v>2684</v>
      </c>
      <c r="G82" s="78" t="s">
        <v>2685</v>
      </c>
      <c r="H82" s="62" t="s">
        <v>2686</v>
      </c>
      <c r="I82" s="62" t="s">
        <v>2687</v>
      </c>
      <c r="J82" s="62"/>
      <c r="K82" s="62" t="s">
        <v>2688</v>
      </c>
      <c r="L82" s="62"/>
      <c r="M82" s="62"/>
    </row>
    <row r="83" spans="2:13" s="65" customFormat="1" x14ac:dyDescent="0.3">
      <c r="B83" s="78">
        <f t="shared" si="1"/>
        <v>79</v>
      </c>
      <c r="C83" s="78">
        <v>120079</v>
      </c>
      <c r="D83" s="62" t="s">
        <v>141</v>
      </c>
      <c r="E83" s="62"/>
      <c r="F83" s="63" t="s">
        <v>2689</v>
      </c>
      <c r="G83" s="78" t="s">
        <v>2690</v>
      </c>
      <c r="H83" s="62"/>
      <c r="I83" s="62"/>
      <c r="J83" s="62"/>
      <c r="K83" s="62"/>
      <c r="L83" s="62"/>
      <c r="M83" s="62"/>
    </row>
    <row r="84" spans="2:13" s="65" customFormat="1" x14ac:dyDescent="0.3">
      <c r="B84" s="78">
        <f t="shared" si="1"/>
        <v>80</v>
      </c>
      <c r="C84" s="78">
        <v>120080</v>
      </c>
      <c r="D84" s="62" t="s">
        <v>142</v>
      </c>
      <c r="E84" s="62" t="s">
        <v>2356</v>
      </c>
      <c r="F84" s="63" t="s">
        <v>2691</v>
      </c>
      <c r="G84" s="78" t="s">
        <v>2692</v>
      </c>
      <c r="H84" s="62"/>
      <c r="I84" s="62" t="s">
        <v>2693</v>
      </c>
      <c r="J84" s="62" t="s">
        <v>2694</v>
      </c>
      <c r="K84" s="62" t="s">
        <v>2695</v>
      </c>
      <c r="L84" s="62" t="s">
        <v>2696</v>
      </c>
      <c r="M84" s="62"/>
    </row>
    <row r="85" spans="2:13" s="65" customFormat="1" ht="28.8" x14ac:dyDescent="0.3">
      <c r="B85" s="78">
        <f t="shared" si="1"/>
        <v>81</v>
      </c>
      <c r="C85" s="78">
        <v>120081</v>
      </c>
      <c r="D85" s="62" t="s">
        <v>143</v>
      </c>
      <c r="E85" s="62" t="s">
        <v>2556</v>
      </c>
      <c r="F85" s="63" t="s">
        <v>2697</v>
      </c>
      <c r="G85" s="78" t="s">
        <v>2698</v>
      </c>
      <c r="H85" s="62"/>
      <c r="I85" s="62" t="s">
        <v>2699</v>
      </c>
      <c r="J85" s="62" t="s">
        <v>2700</v>
      </c>
      <c r="K85" s="62" t="s">
        <v>2701</v>
      </c>
      <c r="L85" s="62" t="s">
        <v>2702</v>
      </c>
      <c r="M85" s="62"/>
    </row>
    <row r="86" spans="2:13" s="65" customFormat="1" x14ac:dyDescent="0.3">
      <c r="B86" s="78">
        <f t="shared" si="1"/>
        <v>82</v>
      </c>
      <c r="C86" s="78">
        <v>120082</v>
      </c>
      <c r="D86" s="62" t="s">
        <v>144</v>
      </c>
      <c r="E86" s="62" t="s">
        <v>2498</v>
      </c>
      <c r="F86" s="63" t="s">
        <v>2703</v>
      </c>
      <c r="G86" s="78" t="s">
        <v>2600</v>
      </c>
      <c r="H86" s="62" t="s">
        <v>2704</v>
      </c>
      <c r="I86" s="62" t="s">
        <v>2705</v>
      </c>
      <c r="J86" s="62"/>
      <c r="K86" s="62"/>
      <c r="L86" s="62"/>
      <c r="M86" s="62"/>
    </row>
    <row r="87" spans="2:13" s="65" customFormat="1" x14ac:dyDescent="0.3">
      <c r="B87" s="78">
        <f t="shared" si="1"/>
        <v>83</v>
      </c>
      <c r="C87" s="78">
        <v>120083</v>
      </c>
      <c r="D87" s="62" t="s">
        <v>145</v>
      </c>
      <c r="E87" s="62" t="s">
        <v>2356</v>
      </c>
      <c r="F87" s="63" t="s">
        <v>2400</v>
      </c>
      <c r="G87" s="78" t="s">
        <v>2364</v>
      </c>
      <c r="H87" s="62"/>
      <c r="I87" s="62" t="s">
        <v>2401</v>
      </c>
      <c r="J87" s="62"/>
      <c r="K87" s="62" t="s">
        <v>2402</v>
      </c>
      <c r="L87" s="62"/>
      <c r="M87" s="62"/>
    </row>
    <row r="88" spans="2:13" s="65" customFormat="1" x14ac:dyDescent="0.3">
      <c r="B88" s="78">
        <f t="shared" si="1"/>
        <v>84</v>
      </c>
      <c r="C88" s="78">
        <v>120084</v>
      </c>
      <c r="D88" s="62" t="s">
        <v>2338</v>
      </c>
      <c r="E88" s="62" t="s">
        <v>2409</v>
      </c>
      <c r="F88" s="63" t="s">
        <v>2706</v>
      </c>
      <c r="G88" s="78" t="s">
        <v>2707</v>
      </c>
      <c r="H88" s="62"/>
      <c r="I88" s="62" t="s">
        <v>2708</v>
      </c>
      <c r="J88" s="62" t="s">
        <v>2709</v>
      </c>
      <c r="K88" s="62"/>
      <c r="L88" s="62"/>
      <c r="M88" s="62"/>
    </row>
    <row r="89" spans="2:13" s="65" customFormat="1" ht="28.8" x14ac:dyDescent="0.3">
      <c r="B89" s="78">
        <f t="shared" si="1"/>
        <v>85</v>
      </c>
      <c r="C89" s="78">
        <v>120085</v>
      </c>
      <c r="D89" s="62" t="s">
        <v>146</v>
      </c>
      <c r="E89" s="62" t="s">
        <v>2409</v>
      </c>
      <c r="F89" s="63" t="s">
        <v>2710</v>
      </c>
      <c r="G89" s="78" t="s">
        <v>2711</v>
      </c>
      <c r="H89" s="62" t="s">
        <v>2712</v>
      </c>
      <c r="I89" s="62" t="s">
        <v>2713</v>
      </c>
      <c r="J89" s="62"/>
      <c r="K89" s="62"/>
      <c r="L89" s="62"/>
      <c r="M89" s="62"/>
    </row>
    <row r="90" spans="2:13" s="65" customFormat="1" x14ac:dyDescent="0.3">
      <c r="B90" s="78">
        <f t="shared" si="1"/>
        <v>86</v>
      </c>
      <c r="C90" s="78">
        <v>120086</v>
      </c>
      <c r="D90" s="62" t="s">
        <v>147</v>
      </c>
      <c r="E90" s="62" t="s">
        <v>2356</v>
      </c>
      <c r="F90" s="63" t="s">
        <v>2714</v>
      </c>
      <c r="G90" s="78" t="s">
        <v>2715</v>
      </c>
      <c r="H90" s="62"/>
      <c r="I90" s="62"/>
      <c r="J90" s="62"/>
      <c r="K90" s="62"/>
      <c r="L90" s="62"/>
      <c r="M90" s="62"/>
    </row>
    <row r="91" spans="2:13" s="65" customFormat="1" ht="28.8" x14ac:dyDescent="0.3">
      <c r="B91" s="78">
        <f t="shared" si="1"/>
        <v>87</v>
      </c>
      <c r="C91" s="78">
        <v>120087</v>
      </c>
      <c r="D91" s="62" t="s">
        <v>148</v>
      </c>
      <c r="E91" s="62" t="s">
        <v>2356</v>
      </c>
      <c r="F91" s="63" t="s">
        <v>2716</v>
      </c>
      <c r="G91" s="78" t="s">
        <v>2717</v>
      </c>
      <c r="H91" s="62"/>
      <c r="I91" s="62"/>
      <c r="J91" s="62"/>
      <c r="K91" s="62"/>
      <c r="L91" s="62"/>
      <c r="M91" s="62"/>
    </row>
    <row r="92" spans="2:13" s="65" customFormat="1" ht="28.8" x14ac:dyDescent="0.3">
      <c r="B92" s="78">
        <f t="shared" si="1"/>
        <v>88</v>
      </c>
      <c r="C92" s="78">
        <v>120088</v>
      </c>
      <c r="D92" s="62" t="s">
        <v>149</v>
      </c>
      <c r="E92" s="62" t="s">
        <v>2356</v>
      </c>
      <c r="F92" s="63" t="s">
        <v>2718</v>
      </c>
      <c r="G92" s="78" t="s">
        <v>2719</v>
      </c>
      <c r="H92" s="62" t="s">
        <v>2720</v>
      </c>
      <c r="I92" s="62" t="s">
        <v>2721</v>
      </c>
      <c r="J92" s="62"/>
      <c r="K92" s="62" t="s">
        <v>2722</v>
      </c>
      <c r="L92" s="62"/>
      <c r="M92" s="62"/>
    </row>
    <row r="93" spans="2:13" s="65" customFormat="1" x14ac:dyDescent="0.3">
      <c r="B93" s="78">
        <f t="shared" si="1"/>
        <v>89</v>
      </c>
      <c r="C93" s="78">
        <v>120089</v>
      </c>
      <c r="D93" s="62" t="s">
        <v>150</v>
      </c>
      <c r="E93" s="62" t="s">
        <v>2409</v>
      </c>
      <c r="F93" s="63" t="s">
        <v>2723</v>
      </c>
      <c r="G93" s="78" t="s">
        <v>2724</v>
      </c>
      <c r="H93" s="62" t="s">
        <v>2725</v>
      </c>
      <c r="I93" s="62" t="s">
        <v>2726</v>
      </c>
      <c r="J93" s="62"/>
      <c r="K93" s="62"/>
      <c r="L93" s="62"/>
      <c r="M93" s="62"/>
    </row>
    <row r="94" spans="2:13" s="65" customFormat="1" x14ac:dyDescent="0.3">
      <c r="B94" s="78">
        <f t="shared" si="1"/>
        <v>90</v>
      </c>
      <c r="C94" s="78">
        <v>120090</v>
      </c>
      <c r="D94" s="62" t="s">
        <v>151</v>
      </c>
      <c r="E94" s="62" t="s">
        <v>2409</v>
      </c>
      <c r="F94" s="63" t="s">
        <v>2727</v>
      </c>
      <c r="G94" s="78" t="s">
        <v>2728</v>
      </c>
      <c r="H94" s="62" t="s">
        <v>2729</v>
      </c>
      <c r="I94" s="62"/>
      <c r="J94" s="62"/>
      <c r="K94" s="62"/>
      <c r="L94" s="62"/>
      <c r="M94" s="62"/>
    </row>
    <row r="95" spans="2:13" s="65" customFormat="1" x14ac:dyDescent="0.3">
      <c r="B95" s="78">
        <f t="shared" si="1"/>
        <v>91</v>
      </c>
      <c r="C95" s="78">
        <v>120091</v>
      </c>
      <c r="D95" s="62" t="s">
        <v>152</v>
      </c>
      <c r="E95" s="62" t="s">
        <v>2356</v>
      </c>
      <c r="F95" s="63" t="s">
        <v>2665</v>
      </c>
      <c r="G95" s="78" t="s">
        <v>2730</v>
      </c>
      <c r="H95" s="62" t="s">
        <v>2667</v>
      </c>
      <c r="I95" s="62" t="s">
        <v>2668</v>
      </c>
      <c r="J95" s="62"/>
      <c r="K95" s="62"/>
      <c r="L95" s="62"/>
      <c r="M95" s="62"/>
    </row>
    <row r="96" spans="2:13" s="65" customFormat="1" ht="28.8" x14ac:dyDescent="0.3">
      <c r="B96" s="78">
        <f t="shared" si="1"/>
        <v>92</v>
      </c>
      <c r="C96" s="78">
        <v>120092</v>
      </c>
      <c r="D96" s="62" t="s">
        <v>153</v>
      </c>
      <c r="E96" s="62" t="s">
        <v>2409</v>
      </c>
      <c r="F96" s="63" t="s">
        <v>2731</v>
      </c>
      <c r="G96" s="78" t="s">
        <v>2732</v>
      </c>
      <c r="H96" s="62" t="s">
        <v>2733</v>
      </c>
      <c r="I96" s="62" t="s">
        <v>2734</v>
      </c>
      <c r="J96" s="62" t="s">
        <v>2360</v>
      </c>
      <c r="K96" s="62"/>
      <c r="L96" s="62"/>
      <c r="M96" s="62"/>
    </row>
    <row r="97" spans="2:13" s="65" customFormat="1" x14ac:dyDescent="0.3">
      <c r="B97" s="78">
        <f t="shared" si="1"/>
        <v>93</v>
      </c>
      <c r="C97" s="78">
        <v>120093</v>
      </c>
      <c r="D97" s="62" t="s">
        <v>154</v>
      </c>
      <c r="E97" s="62" t="s">
        <v>2409</v>
      </c>
      <c r="F97" s="63" t="s">
        <v>2735</v>
      </c>
      <c r="G97" s="78"/>
      <c r="H97" s="62" t="s">
        <v>2736</v>
      </c>
      <c r="I97" s="62" t="s">
        <v>2737</v>
      </c>
      <c r="J97" s="62" t="s">
        <v>2738</v>
      </c>
      <c r="K97" s="62" t="s">
        <v>2739</v>
      </c>
      <c r="L97" s="62"/>
      <c r="M97" s="62"/>
    </row>
    <row r="98" spans="2:13" s="65" customFormat="1" ht="28.8" x14ac:dyDescent="0.3">
      <c r="B98" s="78">
        <f t="shared" si="1"/>
        <v>94</v>
      </c>
      <c r="C98" s="78">
        <v>120094</v>
      </c>
      <c r="D98" s="62" t="s">
        <v>155</v>
      </c>
      <c r="E98" s="62" t="s">
        <v>2409</v>
      </c>
      <c r="F98" s="63" t="s">
        <v>2740</v>
      </c>
      <c r="G98" s="78" t="s">
        <v>2741</v>
      </c>
      <c r="H98" s="62"/>
      <c r="I98" s="62" t="s">
        <v>2742</v>
      </c>
      <c r="J98" s="62" t="s">
        <v>2743</v>
      </c>
      <c r="K98" s="62"/>
      <c r="L98" s="62"/>
      <c r="M98" s="62"/>
    </row>
    <row r="99" spans="2:13" s="65" customFormat="1" ht="28.8" x14ac:dyDescent="0.3">
      <c r="B99" s="78">
        <f t="shared" si="1"/>
        <v>95</v>
      </c>
      <c r="C99" s="78">
        <v>120095</v>
      </c>
      <c r="D99" s="62" t="s">
        <v>156</v>
      </c>
      <c r="E99" s="62" t="s">
        <v>2409</v>
      </c>
      <c r="F99" s="63" t="s">
        <v>2744</v>
      </c>
      <c r="G99" s="78" t="s">
        <v>2745</v>
      </c>
      <c r="H99" s="62"/>
      <c r="I99" s="62" t="s">
        <v>2746</v>
      </c>
      <c r="J99" s="62" t="s">
        <v>2747</v>
      </c>
      <c r="K99" s="62"/>
      <c r="L99" s="62"/>
      <c r="M99" s="62"/>
    </row>
    <row r="100" spans="2:13" s="65" customFormat="1" ht="28.8" x14ac:dyDescent="0.3">
      <c r="B100" s="78">
        <f t="shared" si="1"/>
        <v>96</v>
      </c>
      <c r="C100" s="78">
        <v>120096</v>
      </c>
      <c r="D100" s="62" t="s">
        <v>157</v>
      </c>
      <c r="E100" s="62" t="s">
        <v>2356</v>
      </c>
      <c r="F100" s="63" t="s">
        <v>2748</v>
      </c>
      <c r="G100" s="78" t="s">
        <v>2749</v>
      </c>
      <c r="H100" s="62"/>
      <c r="I100" s="62" t="s">
        <v>2750</v>
      </c>
      <c r="J100" s="62"/>
      <c r="K100" s="62" t="s">
        <v>2751</v>
      </c>
      <c r="L100" s="62"/>
      <c r="M100" s="62"/>
    </row>
    <row r="101" spans="2:13" s="65" customFormat="1" x14ac:dyDescent="0.3">
      <c r="B101" s="78">
        <f t="shared" si="1"/>
        <v>97</v>
      </c>
      <c r="C101" s="78">
        <v>120097</v>
      </c>
      <c r="D101" s="62" t="s">
        <v>158</v>
      </c>
      <c r="E101" s="62" t="s">
        <v>2498</v>
      </c>
      <c r="F101" s="63" t="s">
        <v>2752</v>
      </c>
      <c r="G101" s="78" t="s">
        <v>2753</v>
      </c>
      <c r="H101" s="62" t="s">
        <v>2754</v>
      </c>
      <c r="I101" s="62" t="s">
        <v>2755</v>
      </c>
      <c r="J101" s="62"/>
      <c r="K101" s="62"/>
      <c r="L101" s="62"/>
      <c r="M101" s="62"/>
    </row>
    <row r="102" spans="2:13" s="65" customFormat="1" ht="28.8" x14ac:dyDescent="0.3">
      <c r="B102" s="78">
        <f t="shared" si="1"/>
        <v>98</v>
      </c>
      <c r="C102" s="78">
        <v>120098</v>
      </c>
      <c r="D102" s="62" t="s">
        <v>159</v>
      </c>
      <c r="E102" s="62" t="s">
        <v>2498</v>
      </c>
      <c r="F102" s="63" t="s">
        <v>2756</v>
      </c>
      <c r="G102" s="78" t="s">
        <v>2753</v>
      </c>
      <c r="H102" s="62" t="s">
        <v>2757</v>
      </c>
      <c r="I102" s="62" t="s">
        <v>2758</v>
      </c>
      <c r="J102" s="62"/>
      <c r="K102" s="62"/>
      <c r="L102" s="62"/>
      <c r="M102" s="62"/>
    </row>
    <row r="103" spans="2:13" s="65" customFormat="1" x14ac:dyDescent="0.3">
      <c r="B103" s="78">
        <f t="shared" si="1"/>
        <v>99</v>
      </c>
      <c r="C103" s="78">
        <v>120099</v>
      </c>
      <c r="D103" s="62" t="s">
        <v>160</v>
      </c>
      <c r="E103" s="62" t="s">
        <v>2556</v>
      </c>
      <c r="F103" s="63" t="s">
        <v>2759</v>
      </c>
      <c r="G103" s="78" t="s">
        <v>2760</v>
      </c>
      <c r="H103" s="62" t="s">
        <v>2761</v>
      </c>
      <c r="I103" s="62" t="s">
        <v>2762</v>
      </c>
      <c r="J103" s="62" t="s">
        <v>2360</v>
      </c>
      <c r="K103" s="62"/>
      <c r="L103" s="62"/>
      <c r="M103" s="62"/>
    </row>
    <row r="104" spans="2:13" s="65" customFormat="1" ht="28.8" x14ac:dyDescent="0.3">
      <c r="B104" s="78">
        <f t="shared" si="1"/>
        <v>100</v>
      </c>
      <c r="C104" s="78">
        <v>120100</v>
      </c>
      <c r="D104" s="62" t="s">
        <v>161</v>
      </c>
      <c r="E104" s="62" t="s">
        <v>2356</v>
      </c>
      <c r="F104" s="63" t="s">
        <v>2763</v>
      </c>
      <c r="G104" s="78" t="s">
        <v>2764</v>
      </c>
      <c r="H104" s="62"/>
      <c r="I104" s="62" t="s">
        <v>2765</v>
      </c>
      <c r="J104" s="62" t="s">
        <v>2766</v>
      </c>
      <c r="K104" s="62" t="s">
        <v>2767</v>
      </c>
      <c r="L104" s="62" t="s">
        <v>2768</v>
      </c>
      <c r="M104" s="62"/>
    </row>
    <row r="105" spans="2:13" s="65" customFormat="1" ht="28.8" x14ac:dyDescent="0.3">
      <c r="B105" s="78">
        <f t="shared" si="1"/>
        <v>101</v>
      </c>
      <c r="C105" s="78">
        <v>120101</v>
      </c>
      <c r="D105" s="62" t="s">
        <v>162</v>
      </c>
      <c r="E105" s="62" t="s">
        <v>2498</v>
      </c>
      <c r="F105" s="63" t="s">
        <v>2769</v>
      </c>
      <c r="G105" s="78"/>
      <c r="H105" s="62"/>
      <c r="I105" s="62" t="s">
        <v>2770</v>
      </c>
      <c r="J105" s="62" t="s">
        <v>2360</v>
      </c>
      <c r="K105" s="62"/>
      <c r="L105" s="62"/>
      <c r="M105" s="62"/>
    </row>
    <row r="106" spans="2:13" s="65" customFormat="1" x14ac:dyDescent="0.3">
      <c r="B106" s="78">
        <f t="shared" si="1"/>
        <v>102</v>
      </c>
      <c r="C106" s="78">
        <v>120102</v>
      </c>
      <c r="D106" s="62" t="s">
        <v>163</v>
      </c>
      <c r="E106" s="62" t="s">
        <v>2409</v>
      </c>
      <c r="F106" s="63" t="s">
        <v>2771</v>
      </c>
      <c r="G106" s="78" t="s">
        <v>2772</v>
      </c>
      <c r="H106" s="62" t="s">
        <v>2773</v>
      </c>
      <c r="I106" s="62" t="s">
        <v>2774</v>
      </c>
      <c r="J106" s="62" t="s">
        <v>2775</v>
      </c>
      <c r="K106" s="62"/>
      <c r="L106" s="62"/>
      <c r="M106" s="62"/>
    </row>
    <row r="107" spans="2:13" s="65" customFormat="1" x14ac:dyDescent="0.3">
      <c r="B107" s="78">
        <f t="shared" si="1"/>
        <v>103</v>
      </c>
      <c r="C107" s="78">
        <v>120103</v>
      </c>
      <c r="D107" s="62" t="s">
        <v>164</v>
      </c>
      <c r="E107" s="62" t="s">
        <v>2498</v>
      </c>
      <c r="F107" s="63" t="s">
        <v>2776</v>
      </c>
      <c r="G107" s="78" t="s">
        <v>2753</v>
      </c>
      <c r="H107" s="62" t="s">
        <v>2777</v>
      </c>
      <c r="I107" s="62" t="s">
        <v>2778</v>
      </c>
      <c r="J107" s="62"/>
      <c r="K107" s="62"/>
      <c r="L107" s="62"/>
      <c r="M107" s="62"/>
    </row>
    <row r="108" spans="2:13" s="65" customFormat="1" x14ac:dyDescent="0.3">
      <c r="B108" s="78">
        <f t="shared" si="1"/>
        <v>104</v>
      </c>
      <c r="C108" s="78">
        <v>120104</v>
      </c>
      <c r="D108" s="62" t="s">
        <v>165</v>
      </c>
      <c r="E108" s="62" t="s">
        <v>2498</v>
      </c>
      <c r="F108" s="63" t="s">
        <v>2779</v>
      </c>
      <c r="G108" s="78"/>
      <c r="H108" s="62" t="s">
        <v>2780</v>
      </c>
      <c r="I108" s="62" t="s">
        <v>2781</v>
      </c>
      <c r="J108" s="62"/>
      <c r="K108" s="62"/>
      <c r="L108" s="62"/>
      <c r="M108" s="62"/>
    </row>
    <row r="109" spans="2:13" s="65" customFormat="1" x14ac:dyDescent="0.3">
      <c r="B109" s="78">
        <f t="shared" si="1"/>
        <v>105</v>
      </c>
      <c r="C109" s="78">
        <v>120105</v>
      </c>
      <c r="D109" s="62" t="s">
        <v>166</v>
      </c>
      <c r="E109" s="62" t="s">
        <v>2409</v>
      </c>
      <c r="F109" s="63" t="s">
        <v>2782</v>
      </c>
      <c r="G109" s="78" t="s">
        <v>2783</v>
      </c>
      <c r="H109" s="62" t="s">
        <v>2784</v>
      </c>
      <c r="I109" s="62" t="s">
        <v>2785</v>
      </c>
      <c r="J109" s="62"/>
      <c r="K109" s="62"/>
      <c r="L109" s="62"/>
      <c r="M109" s="62"/>
    </row>
    <row r="110" spans="2:13" s="65" customFormat="1" x14ac:dyDescent="0.3">
      <c r="B110" s="78">
        <f t="shared" si="1"/>
        <v>106</v>
      </c>
      <c r="C110" s="78">
        <v>120106</v>
      </c>
      <c r="D110" s="62" t="s">
        <v>167</v>
      </c>
      <c r="E110" s="62" t="s">
        <v>2409</v>
      </c>
      <c r="F110" s="63" t="s">
        <v>2786</v>
      </c>
      <c r="G110" s="78" t="s">
        <v>2787</v>
      </c>
      <c r="H110" s="62" t="s">
        <v>2761</v>
      </c>
      <c r="I110" s="62" t="s">
        <v>2762</v>
      </c>
      <c r="J110" s="62" t="s">
        <v>2360</v>
      </c>
      <c r="K110" s="62"/>
      <c r="L110" s="62"/>
      <c r="M110" s="62"/>
    </row>
    <row r="111" spans="2:13" s="65" customFormat="1" x14ac:dyDescent="0.3">
      <c r="B111" s="78">
        <f t="shared" si="1"/>
        <v>107</v>
      </c>
      <c r="C111" s="78">
        <v>120107</v>
      </c>
      <c r="D111" s="62" t="s">
        <v>168</v>
      </c>
      <c r="E111" s="62" t="s">
        <v>2409</v>
      </c>
      <c r="F111" s="63" t="s">
        <v>2788</v>
      </c>
      <c r="G111" s="78" t="s">
        <v>2789</v>
      </c>
      <c r="H111" s="62"/>
      <c r="I111" s="62" t="s">
        <v>2790</v>
      </c>
      <c r="J111" s="62" t="s">
        <v>2360</v>
      </c>
      <c r="K111" s="62"/>
      <c r="L111" s="62"/>
      <c r="M111" s="62"/>
    </row>
    <row r="112" spans="2:13" s="65" customFormat="1" ht="28.8" x14ac:dyDescent="0.3">
      <c r="B112" s="78">
        <f t="shared" si="1"/>
        <v>108</v>
      </c>
      <c r="C112" s="78">
        <v>120108</v>
      </c>
      <c r="D112" s="62" t="s">
        <v>76</v>
      </c>
      <c r="E112" s="62" t="s">
        <v>2409</v>
      </c>
      <c r="F112" s="63" t="s">
        <v>2791</v>
      </c>
      <c r="G112" s="78"/>
      <c r="H112" s="62"/>
      <c r="I112" s="62" t="s">
        <v>2792</v>
      </c>
      <c r="J112" s="62" t="s">
        <v>2793</v>
      </c>
      <c r="K112" s="62"/>
      <c r="L112" s="62"/>
      <c r="M112" s="62"/>
    </row>
    <row r="113" spans="2:13" s="65" customFormat="1" x14ac:dyDescent="0.3">
      <c r="B113" s="78">
        <f t="shared" si="1"/>
        <v>109</v>
      </c>
      <c r="C113" s="78">
        <v>120109</v>
      </c>
      <c r="D113" s="62" t="s">
        <v>170</v>
      </c>
      <c r="E113" s="62" t="s">
        <v>2356</v>
      </c>
      <c r="F113" s="63" t="s">
        <v>2794</v>
      </c>
      <c r="G113" s="78" t="s">
        <v>2795</v>
      </c>
      <c r="H113" s="62"/>
      <c r="I113" s="62" t="s">
        <v>2796</v>
      </c>
      <c r="J113" s="62" t="s">
        <v>2797</v>
      </c>
      <c r="K113" s="62"/>
      <c r="L113" s="62" t="s">
        <v>2798</v>
      </c>
      <c r="M113" s="62"/>
    </row>
    <row r="114" spans="2:13" s="65" customFormat="1" ht="28.8" x14ac:dyDescent="0.3">
      <c r="B114" s="78">
        <f t="shared" si="1"/>
        <v>110</v>
      </c>
      <c r="C114" s="78">
        <v>120110</v>
      </c>
      <c r="D114" s="62" t="s">
        <v>171</v>
      </c>
      <c r="E114" s="62" t="s">
        <v>2395</v>
      </c>
      <c r="F114" s="63" t="s">
        <v>2799</v>
      </c>
      <c r="G114" s="78" t="s">
        <v>2800</v>
      </c>
      <c r="H114" s="62" t="s">
        <v>2801</v>
      </c>
      <c r="I114" s="62" t="s">
        <v>2802</v>
      </c>
      <c r="J114" s="62"/>
      <c r="K114" s="62" t="s">
        <v>2803</v>
      </c>
      <c r="L114" s="62"/>
      <c r="M114" s="62"/>
    </row>
    <row r="115" spans="2:13" s="65" customFormat="1" x14ac:dyDescent="0.3">
      <c r="B115" s="78">
        <f t="shared" si="1"/>
        <v>111</v>
      </c>
      <c r="C115" s="78">
        <v>120111</v>
      </c>
      <c r="D115" s="62" t="s">
        <v>172</v>
      </c>
      <c r="E115" s="62" t="s">
        <v>2409</v>
      </c>
      <c r="F115" s="63" t="s">
        <v>2804</v>
      </c>
      <c r="G115" s="78" t="s">
        <v>2805</v>
      </c>
      <c r="H115" s="62"/>
      <c r="I115" s="62" t="s">
        <v>2806</v>
      </c>
      <c r="J115" s="62" t="s">
        <v>2807</v>
      </c>
      <c r="K115" s="62"/>
      <c r="L115" s="62"/>
      <c r="M115" s="62"/>
    </row>
    <row r="116" spans="2:13" s="65" customFormat="1" x14ac:dyDescent="0.3">
      <c r="B116" s="78">
        <f t="shared" si="1"/>
        <v>112</v>
      </c>
      <c r="C116" s="78">
        <v>120112</v>
      </c>
      <c r="D116" s="62" t="s">
        <v>173</v>
      </c>
      <c r="E116" s="62" t="s">
        <v>2409</v>
      </c>
      <c r="F116" s="63" t="s">
        <v>2808</v>
      </c>
      <c r="G116" s="78"/>
      <c r="H116" s="62" t="s">
        <v>2809</v>
      </c>
      <c r="I116" s="62" t="s">
        <v>2810</v>
      </c>
      <c r="J116" s="62" t="s">
        <v>2811</v>
      </c>
      <c r="K116" s="62" t="s">
        <v>2812</v>
      </c>
      <c r="L116" s="62"/>
      <c r="M116" s="62"/>
    </row>
    <row r="117" spans="2:13" s="65" customFormat="1" x14ac:dyDescent="0.3">
      <c r="B117" s="78">
        <f t="shared" si="1"/>
        <v>113</v>
      </c>
      <c r="C117" s="78">
        <v>120113</v>
      </c>
      <c r="D117" s="62" t="s">
        <v>174</v>
      </c>
      <c r="E117" s="62" t="s">
        <v>2409</v>
      </c>
      <c r="F117" s="63" t="s">
        <v>2813</v>
      </c>
      <c r="G117" s="78" t="s">
        <v>2814</v>
      </c>
      <c r="H117" s="62" t="s">
        <v>2815</v>
      </c>
      <c r="I117" s="62" t="s">
        <v>2816</v>
      </c>
      <c r="J117" s="62"/>
      <c r="K117" s="62"/>
      <c r="L117" s="62"/>
      <c r="M117" s="62"/>
    </row>
    <row r="118" spans="2:13" s="65" customFormat="1" ht="28.8" x14ac:dyDescent="0.3">
      <c r="B118" s="78">
        <f t="shared" si="1"/>
        <v>114</v>
      </c>
      <c r="C118" s="78">
        <v>120114</v>
      </c>
      <c r="D118" s="62" t="s">
        <v>176</v>
      </c>
      <c r="E118" s="62" t="s">
        <v>2395</v>
      </c>
      <c r="F118" s="63" t="s">
        <v>2817</v>
      </c>
      <c r="G118" s="78"/>
      <c r="H118" s="62"/>
      <c r="I118" s="62" t="s">
        <v>2818</v>
      </c>
      <c r="J118" s="62" t="s">
        <v>2360</v>
      </c>
      <c r="K118" s="62" t="s">
        <v>2819</v>
      </c>
      <c r="L118" s="62" t="s">
        <v>2820</v>
      </c>
      <c r="M118" s="62"/>
    </row>
    <row r="119" spans="2:13" s="65" customFormat="1" x14ac:dyDescent="0.3">
      <c r="B119" s="78">
        <f t="shared" si="1"/>
        <v>115</v>
      </c>
      <c r="C119" s="78">
        <v>120115</v>
      </c>
      <c r="D119" s="62" t="s">
        <v>177</v>
      </c>
      <c r="E119" s="62" t="s">
        <v>2395</v>
      </c>
      <c r="F119" s="63" t="s">
        <v>2821</v>
      </c>
      <c r="G119" s="78"/>
      <c r="H119" s="62" t="s">
        <v>2822</v>
      </c>
      <c r="I119" s="62" t="s">
        <v>2823</v>
      </c>
      <c r="J119" s="62" t="s">
        <v>2360</v>
      </c>
      <c r="K119" s="62" t="s">
        <v>2824</v>
      </c>
      <c r="L119" s="62" t="s">
        <v>2825</v>
      </c>
      <c r="M119" s="62"/>
    </row>
    <row r="120" spans="2:13" s="65" customFormat="1" x14ac:dyDescent="0.3">
      <c r="B120" s="78">
        <f t="shared" si="1"/>
        <v>116</v>
      </c>
      <c r="C120" s="78">
        <v>120116</v>
      </c>
      <c r="D120" s="62" t="s">
        <v>178</v>
      </c>
      <c r="E120" s="62" t="s">
        <v>2409</v>
      </c>
      <c r="F120" s="63" t="s">
        <v>2826</v>
      </c>
      <c r="G120" s="78"/>
      <c r="H120" s="62" t="s">
        <v>2827</v>
      </c>
      <c r="I120" s="62" t="s">
        <v>2828</v>
      </c>
      <c r="J120" s="62" t="s">
        <v>2360</v>
      </c>
      <c r="K120" s="62"/>
      <c r="L120" s="62"/>
      <c r="M120" s="62"/>
    </row>
    <row r="121" spans="2:13" s="65" customFormat="1" ht="28.8" x14ac:dyDescent="0.3">
      <c r="B121" s="78">
        <f t="shared" si="1"/>
        <v>117</v>
      </c>
      <c r="C121" s="78">
        <v>120117</v>
      </c>
      <c r="D121" s="62" t="s">
        <v>179</v>
      </c>
      <c r="E121" s="62" t="s">
        <v>2356</v>
      </c>
      <c r="F121" s="63" t="s">
        <v>2829</v>
      </c>
      <c r="G121" s="78" t="s">
        <v>2830</v>
      </c>
      <c r="H121" s="62"/>
      <c r="I121" s="62" t="s">
        <v>2831</v>
      </c>
      <c r="J121" s="62"/>
      <c r="K121" s="62" t="s">
        <v>2832</v>
      </c>
      <c r="L121" s="62"/>
      <c r="M121" s="62"/>
    </row>
    <row r="122" spans="2:13" s="65" customFormat="1" x14ac:dyDescent="0.3">
      <c r="B122" s="78">
        <f t="shared" si="1"/>
        <v>118</v>
      </c>
      <c r="C122" s="78">
        <v>120118</v>
      </c>
      <c r="D122" s="62" t="s">
        <v>180</v>
      </c>
      <c r="E122" s="62" t="s">
        <v>2395</v>
      </c>
      <c r="F122" s="63" t="s">
        <v>2833</v>
      </c>
      <c r="G122" s="78" t="s">
        <v>2834</v>
      </c>
      <c r="H122" s="62" t="s">
        <v>2835</v>
      </c>
      <c r="I122" s="62" t="s">
        <v>2836</v>
      </c>
      <c r="J122" s="62" t="s">
        <v>2360</v>
      </c>
      <c r="K122" s="62" t="s">
        <v>2837</v>
      </c>
      <c r="L122" s="62"/>
      <c r="M122" s="62"/>
    </row>
    <row r="123" spans="2:13" s="65" customFormat="1" x14ac:dyDescent="0.3">
      <c r="B123" s="78">
        <f t="shared" si="1"/>
        <v>119</v>
      </c>
      <c r="C123" s="78">
        <v>120119</v>
      </c>
      <c r="D123" s="62" t="s">
        <v>182</v>
      </c>
      <c r="E123" s="62" t="s">
        <v>2395</v>
      </c>
      <c r="F123" s="63" t="s">
        <v>2838</v>
      </c>
      <c r="G123" s="78" t="s">
        <v>2839</v>
      </c>
      <c r="H123" s="62"/>
      <c r="I123" s="62" t="s">
        <v>2840</v>
      </c>
      <c r="J123" s="62" t="s">
        <v>2841</v>
      </c>
      <c r="K123" s="62" t="s">
        <v>2842</v>
      </c>
      <c r="L123" s="62"/>
      <c r="M123" s="62"/>
    </row>
    <row r="124" spans="2:13" s="65" customFormat="1" x14ac:dyDescent="0.3">
      <c r="B124" s="78">
        <f t="shared" si="1"/>
        <v>120</v>
      </c>
      <c r="C124" s="78">
        <v>120120</v>
      </c>
      <c r="D124" s="62" t="s">
        <v>184</v>
      </c>
      <c r="E124" s="62" t="s">
        <v>2498</v>
      </c>
      <c r="F124" s="63" t="s">
        <v>2843</v>
      </c>
      <c r="G124" s="78" t="s">
        <v>2844</v>
      </c>
      <c r="H124" s="62"/>
      <c r="I124" s="62" t="s">
        <v>2845</v>
      </c>
      <c r="J124" s="62" t="s">
        <v>2360</v>
      </c>
      <c r="K124" s="62"/>
      <c r="L124" s="62" t="s">
        <v>2846</v>
      </c>
      <c r="M124" s="62"/>
    </row>
    <row r="125" spans="2:13" s="65" customFormat="1" x14ac:dyDescent="0.3">
      <c r="B125" s="78">
        <f t="shared" si="1"/>
        <v>121</v>
      </c>
      <c r="C125" s="78">
        <v>120121</v>
      </c>
      <c r="D125" s="62" t="s">
        <v>185</v>
      </c>
      <c r="E125" s="62" t="s">
        <v>2356</v>
      </c>
      <c r="F125" s="63" t="s">
        <v>2847</v>
      </c>
      <c r="G125" s="78"/>
      <c r="H125" s="62"/>
      <c r="I125" s="62" t="s">
        <v>2848</v>
      </c>
      <c r="J125" s="62" t="s">
        <v>2360</v>
      </c>
      <c r="K125" s="62" t="s">
        <v>2849</v>
      </c>
      <c r="L125" s="62" t="s">
        <v>2850</v>
      </c>
      <c r="M125" s="62"/>
    </row>
    <row r="126" spans="2:13" s="65" customFormat="1" x14ac:dyDescent="0.3">
      <c r="B126" s="78">
        <f t="shared" si="1"/>
        <v>122</v>
      </c>
      <c r="C126" s="78">
        <v>120122</v>
      </c>
      <c r="D126" s="62" t="s">
        <v>186</v>
      </c>
      <c r="E126" s="62" t="s">
        <v>2356</v>
      </c>
      <c r="F126" s="63" t="s">
        <v>2851</v>
      </c>
      <c r="G126" s="78" t="s">
        <v>2852</v>
      </c>
      <c r="H126" s="62"/>
      <c r="I126" s="62"/>
      <c r="J126" s="62"/>
      <c r="K126" s="62"/>
      <c r="L126" s="62"/>
      <c r="M126" s="62"/>
    </row>
    <row r="127" spans="2:13" s="65" customFormat="1" x14ac:dyDescent="0.3">
      <c r="B127" s="78">
        <f t="shared" si="1"/>
        <v>123</v>
      </c>
      <c r="C127" s="78">
        <v>120123</v>
      </c>
      <c r="D127" s="62" t="s">
        <v>187</v>
      </c>
      <c r="E127" s="62" t="s">
        <v>2356</v>
      </c>
      <c r="F127" s="63" t="s">
        <v>2853</v>
      </c>
      <c r="G127" s="78" t="s">
        <v>2854</v>
      </c>
      <c r="H127" s="62"/>
      <c r="I127" s="62"/>
      <c r="J127" s="62"/>
      <c r="K127" s="62"/>
      <c r="L127" s="62"/>
      <c r="M127" s="62"/>
    </row>
    <row r="128" spans="2:13" s="65" customFormat="1" x14ac:dyDescent="0.3">
      <c r="B128" s="78">
        <f t="shared" si="1"/>
        <v>124</v>
      </c>
      <c r="C128" s="78">
        <v>120124</v>
      </c>
      <c r="D128" s="62" t="s">
        <v>188</v>
      </c>
      <c r="E128" s="62" t="s">
        <v>2356</v>
      </c>
      <c r="F128" s="63" t="s">
        <v>2855</v>
      </c>
      <c r="G128" s="78" t="s">
        <v>2856</v>
      </c>
      <c r="H128" s="62"/>
      <c r="I128" s="62" t="s">
        <v>2857</v>
      </c>
      <c r="J128" s="62" t="s">
        <v>2360</v>
      </c>
      <c r="K128" s="62" t="s">
        <v>2858</v>
      </c>
      <c r="L128" s="62" t="s">
        <v>2859</v>
      </c>
      <c r="M128" s="62"/>
    </row>
    <row r="129" spans="2:13" s="65" customFormat="1" x14ac:dyDescent="0.3">
      <c r="B129" s="78">
        <f t="shared" si="1"/>
        <v>125</v>
      </c>
      <c r="C129" s="78">
        <v>120125</v>
      </c>
      <c r="D129" s="62" t="s">
        <v>189</v>
      </c>
      <c r="E129" s="62" t="s">
        <v>2498</v>
      </c>
      <c r="F129" s="63" t="s">
        <v>2860</v>
      </c>
      <c r="G129" s="78"/>
      <c r="H129" s="62" t="s">
        <v>2861</v>
      </c>
      <c r="I129" s="62" t="s">
        <v>2862</v>
      </c>
      <c r="J129" s="62" t="s">
        <v>2360</v>
      </c>
      <c r="K129" s="62"/>
      <c r="L129" s="62"/>
      <c r="M129" s="62"/>
    </row>
    <row r="130" spans="2:13" s="65" customFormat="1" x14ac:dyDescent="0.3">
      <c r="B130" s="78">
        <f t="shared" si="1"/>
        <v>126</v>
      </c>
      <c r="C130" s="78">
        <v>120126</v>
      </c>
      <c r="D130" s="62" t="s">
        <v>190</v>
      </c>
      <c r="E130" s="62" t="s">
        <v>2498</v>
      </c>
      <c r="F130" s="63" t="s">
        <v>2863</v>
      </c>
      <c r="G130" s="78" t="s">
        <v>2753</v>
      </c>
      <c r="H130" s="62" t="s">
        <v>2864</v>
      </c>
      <c r="I130" s="62" t="s">
        <v>2865</v>
      </c>
      <c r="J130" s="62" t="s">
        <v>2360</v>
      </c>
      <c r="K130" s="62"/>
      <c r="L130" s="62"/>
      <c r="M130" s="62"/>
    </row>
    <row r="131" spans="2:13" s="65" customFormat="1" ht="28.8" x14ac:dyDescent="0.3">
      <c r="B131" s="78">
        <f t="shared" si="1"/>
        <v>127</v>
      </c>
      <c r="C131" s="78">
        <v>120127</v>
      </c>
      <c r="D131" s="62" t="s">
        <v>863</v>
      </c>
      <c r="E131" s="62" t="s">
        <v>2356</v>
      </c>
      <c r="F131" s="63" t="s">
        <v>2403</v>
      </c>
      <c r="G131" s="78" t="s">
        <v>2866</v>
      </c>
      <c r="H131" s="62"/>
      <c r="I131" s="62" t="s">
        <v>2405</v>
      </c>
      <c r="J131" s="62" t="s">
        <v>2406</v>
      </c>
      <c r="K131" s="62" t="s">
        <v>2407</v>
      </c>
      <c r="L131" s="62" t="s">
        <v>2408</v>
      </c>
      <c r="M131" s="62"/>
    </row>
    <row r="132" spans="2:13" s="65" customFormat="1" x14ac:dyDescent="0.3">
      <c r="B132" s="78">
        <f t="shared" si="1"/>
        <v>128</v>
      </c>
      <c r="C132" s="78">
        <v>120128</v>
      </c>
      <c r="D132" s="62" t="s">
        <v>854</v>
      </c>
      <c r="E132" s="62" t="s">
        <v>2556</v>
      </c>
      <c r="F132" s="102" t="s">
        <v>2867</v>
      </c>
      <c r="G132" s="62" t="s">
        <v>2868</v>
      </c>
      <c r="H132" s="62"/>
      <c r="I132" s="62"/>
      <c r="J132" s="62"/>
      <c r="K132" s="62"/>
      <c r="L132" s="62"/>
      <c r="M132" s="62"/>
    </row>
    <row r="133" spans="2:13" s="65" customFormat="1" x14ac:dyDescent="0.3">
      <c r="B133" s="78">
        <f t="shared" si="1"/>
        <v>129</v>
      </c>
      <c r="C133" s="78">
        <v>120129</v>
      </c>
      <c r="D133" s="62" t="s">
        <v>191</v>
      </c>
      <c r="E133" s="62" t="s">
        <v>2498</v>
      </c>
      <c r="F133" s="63" t="s">
        <v>2869</v>
      </c>
      <c r="G133" s="78"/>
      <c r="H133" s="62" t="s">
        <v>2870</v>
      </c>
      <c r="I133" s="62" t="s">
        <v>2871</v>
      </c>
      <c r="J133" s="62"/>
      <c r="K133" s="62"/>
      <c r="L133" s="62"/>
      <c r="M133" s="62"/>
    </row>
    <row r="134" spans="2:13" s="65" customFormat="1" x14ac:dyDescent="0.3">
      <c r="B134" s="78">
        <f t="shared" si="1"/>
        <v>130</v>
      </c>
      <c r="C134" s="78">
        <v>120130</v>
      </c>
      <c r="D134" s="62" t="s">
        <v>192</v>
      </c>
      <c r="E134" s="62" t="s">
        <v>2498</v>
      </c>
      <c r="F134" s="63" t="s">
        <v>2872</v>
      </c>
      <c r="G134" s="78"/>
      <c r="H134" s="62" t="s">
        <v>2873</v>
      </c>
      <c r="I134" s="62" t="s">
        <v>2874</v>
      </c>
      <c r="J134" s="62"/>
      <c r="K134" s="62"/>
      <c r="L134" s="62"/>
      <c r="M134" s="62"/>
    </row>
    <row r="135" spans="2:13" s="65" customFormat="1" x14ac:dyDescent="0.3">
      <c r="B135" s="78">
        <f t="shared" ref="B135:B165" si="2">B134+1</f>
        <v>131</v>
      </c>
      <c r="C135" s="78">
        <v>120131</v>
      </c>
      <c r="D135" s="62" t="s">
        <v>193</v>
      </c>
      <c r="E135" s="62" t="s">
        <v>2498</v>
      </c>
      <c r="F135" s="63" t="s">
        <v>2875</v>
      </c>
      <c r="G135" s="78"/>
      <c r="H135" s="62" t="s">
        <v>2876</v>
      </c>
      <c r="I135" s="62" t="s">
        <v>2877</v>
      </c>
      <c r="J135" s="62"/>
      <c r="K135" s="62"/>
      <c r="L135" s="62"/>
      <c r="M135" s="62"/>
    </row>
    <row r="136" spans="2:13" s="65" customFormat="1" ht="28.8" x14ac:dyDescent="0.3">
      <c r="B136" s="78">
        <f t="shared" si="2"/>
        <v>132</v>
      </c>
      <c r="C136" s="78">
        <v>120132</v>
      </c>
      <c r="D136" s="62" t="s">
        <v>1911</v>
      </c>
      <c r="E136" s="62" t="s">
        <v>2356</v>
      </c>
      <c r="F136" s="63" t="s">
        <v>2878</v>
      </c>
      <c r="G136" s="78" t="s">
        <v>2879</v>
      </c>
      <c r="H136" s="62"/>
      <c r="I136" s="62" t="s">
        <v>2880</v>
      </c>
      <c r="J136" s="62" t="s">
        <v>2360</v>
      </c>
      <c r="K136" s="62" t="s">
        <v>2881</v>
      </c>
      <c r="L136" s="62" t="s">
        <v>2882</v>
      </c>
      <c r="M136" s="62"/>
    </row>
    <row r="137" spans="2:13" s="65" customFormat="1" x14ac:dyDescent="0.3">
      <c r="B137" s="78">
        <f t="shared" si="2"/>
        <v>133</v>
      </c>
      <c r="C137" s="78">
        <v>120133</v>
      </c>
      <c r="D137" s="62" t="s">
        <v>1912</v>
      </c>
      <c r="E137" s="62" t="s">
        <v>2356</v>
      </c>
      <c r="F137" s="63" t="s">
        <v>2883</v>
      </c>
      <c r="G137" s="78" t="s">
        <v>2884</v>
      </c>
      <c r="H137" s="62"/>
      <c r="I137" s="62" t="s">
        <v>2885</v>
      </c>
      <c r="J137" s="62" t="s">
        <v>2360</v>
      </c>
      <c r="K137" s="62"/>
      <c r="L137" s="62"/>
      <c r="M137" s="62"/>
    </row>
    <row r="138" spans="2:13" s="65" customFormat="1" x14ac:dyDescent="0.3">
      <c r="B138" s="78">
        <f t="shared" si="2"/>
        <v>134</v>
      </c>
      <c r="C138" s="78">
        <v>120134</v>
      </c>
      <c r="D138" s="62" t="s">
        <v>1913</v>
      </c>
      <c r="E138" s="62" t="s">
        <v>2409</v>
      </c>
      <c r="F138" s="63" t="s">
        <v>2886</v>
      </c>
      <c r="G138" s="78" t="s">
        <v>2887</v>
      </c>
      <c r="H138" s="62" t="s">
        <v>2888</v>
      </c>
      <c r="I138" s="62" t="s">
        <v>2889</v>
      </c>
      <c r="J138" s="62" t="s">
        <v>2360</v>
      </c>
      <c r="K138" s="62" t="s">
        <v>2890</v>
      </c>
      <c r="L138" s="62"/>
      <c r="M138" s="62"/>
    </row>
    <row r="139" spans="2:13" s="65" customFormat="1" x14ac:dyDescent="0.3">
      <c r="B139" s="78">
        <f t="shared" si="2"/>
        <v>135</v>
      </c>
      <c r="C139" s="78">
        <v>120135</v>
      </c>
      <c r="D139" s="62" t="s">
        <v>1914</v>
      </c>
      <c r="E139" s="62" t="s">
        <v>2409</v>
      </c>
      <c r="F139" s="63" t="s">
        <v>2891</v>
      </c>
      <c r="G139" s="78" t="s">
        <v>2892</v>
      </c>
      <c r="H139" s="62"/>
      <c r="I139" s="62" t="s">
        <v>2893</v>
      </c>
      <c r="J139" s="62" t="s">
        <v>2360</v>
      </c>
      <c r="K139" s="62" t="s">
        <v>2894</v>
      </c>
      <c r="L139" s="62"/>
      <c r="M139" s="62"/>
    </row>
    <row r="140" spans="2:13" s="65" customFormat="1" ht="28.8" x14ac:dyDescent="0.3">
      <c r="B140" s="78">
        <f t="shared" si="2"/>
        <v>136</v>
      </c>
      <c r="C140" s="78">
        <v>120136</v>
      </c>
      <c r="D140" s="62" t="s">
        <v>1915</v>
      </c>
      <c r="E140" s="62" t="s">
        <v>2409</v>
      </c>
      <c r="F140" s="63" t="s">
        <v>2895</v>
      </c>
      <c r="G140" s="78" t="s">
        <v>2896</v>
      </c>
      <c r="H140" s="62"/>
      <c r="I140" s="62" t="s">
        <v>2897</v>
      </c>
      <c r="J140" s="62" t="s">
        <v>2898</v>
      </c>
      <c r="K140" s="62" t="s">
        <v>2899</v>
      </c>
      <c r="L140" s="62" t="s">
        <v>2900</v>
      </c>
      <c r="M140" s="62"/>
    </row>
    <row r="141" spans="2:13" s="65" customFormat="1" x14ac:dyDescent="0.3">
      <c r="B141" s="78">
        <f t="shared" si="2"/>
        <v>137</v>
      </c>
      <c r="C141" s="78">
        <v>120137</v>
      </c>
      <c r="D141" s="62" t="s">
        <v>1916</v>
      </c>
      <c r="E141" s="62" t="s">
        <v>2409</v>
      </c>
      <c r="F141" s="63" t="s">
        <v>2901</v>
      </c>
      <c r="G141" s="78" t="s">
        <v>2902</v>
      </c>
      <c r="H141" s="62" t="s">
        <v>2903</v>
      </c>
      <c r="I141" s="62" t="s">
        <v>2904</v>
      </c>
      <c r="J141" s="62"/>
      <c r="K141" s="62"/>
      <c r="L141" s="62"/>
      <c r="M141" s="62"/>
    </row>
    <row r="142" spans="2:13" s="65" customFormat="1" x14ac:dyDescent="0.3">
      <c r="B142" s="78">
        <f t="shared" si="2"/>
        <v>138</v>
      </c>
      <c r="C142" s="78">
        <v>120138</v>
      </c>
      <c r="D142" s="62" t="s">
        <v>1917</v>
      </c>
      <c r="E142" s="62" t="s">
        <v>2409</v>
      </c>
      <c r="F142" s="63" t="s">
        <v>2905</v>
      </c>
      <c r="G142" s="78" t="s">
        <v>2906</v>
      </c>
      <c r="H142" s="62" t="s">
        <v>2907</v>
      </c>
      <c r="I142" s="62" t="s">
        <v>2908</v>
      </c>
      <c r="J142" s="62"/>
      <c r="K142" s="62"/>
      <c r="L142" s="62"/>
      <c r="M142" s="62"/>
    </row>
    <row r="143" spans="2:13" s="65" customFormat="1" x14ac:dyDescent="0.3">
      <c r="B143" s="78">
        <f t="shared" si="2"/>
        <v>139</v>
      </c>
      <c r="C143" s="78">
        <v>120139</v>
      </c>
      <c r="D143" s="62" t="s">
        <v>1918</v>
      </c>
      <c r="E143" s="62" t="s">
        <v>2356</v>
      </c>
      <c r="F143" s="63" t="s">
        <v>2909</v>
      </c>
      <c r="G143" s="78" t="s">
        <v>2910</v>
      </c>
      <c r="H143" s="62" t="s">
        <v>2911</v>
      </c>
      <c r="I143" s="62" t="s">
        <v>2912</v>
      </c>
      <c r="J143" s="62"/>
      <c r="K143" s="62"/>
      <c r="L143" s="62"/>
      <c r="M143" s="62"/>
    </row>
    <row r="144" spans="2:13" s="65" customFormat="1" ht="28.8" x14ac:dyDescent="0.3">
      <c r="B144" s="78">
        <f t="shared" si="2"/>
        <v>140</v>
      </c>
      <c r="C144" s="78">
        <v>120140</v>
      </c>
      <c r="D144" s="62" t="s">
        <v>1919</v>
      </c>
      <c r="E144" s="62" t="s">
        <v>2409</v>
      </c>
      <c r="F144" s="63" t="s">
        <v>2913</v>
      </c>
      <c r="G144" s="78" t="s">
        <v>2914</v>
      </c>
      <c r="H144" s="62" t="s">
        <v>2915</v>
      </c>
      <c r="I144" s="62" t="s">
        <v>2916</v>
      </c>
      <c r="J144" s="62" t="s">
        <v>2360</v>
      </c>
      <c r="K144" s="62" t="s">
        <v>2917</v>
      </c>
      <c r="L144" s="62" t="s">
        <v>2918</v>
      </c>
      <c r="M144" s="62"/>
    </row>
    <row r="145" spans="2:13" s="65" customFormat="1" x14ac:dyDescent="0.3">
      <c r="B145" s="78">
        <f t="shared" si="2"/>
        <v>141</v>
      </c>
      <c r="C145" s="78">
        <v>120141</v>
      </c>
      <c r="D145" s="62" t="s">
        <v>1920</v>
      </c>
      <c r="E145" s="62"/>
      <c r="F145" s="63" t="s">
        <v>2919</v>
      </c>
      <c r="G145" s="62" t="s">
        <v>2920</v>
      </c>
      <c r="H145" s="62"/>
      <c r="I145" s="62"/>
      <c r="J145" s="62"/>
      <c r="K145" s="62"/>
      <c r="L145" s="62"/>
      <c r="M145" s="62"/>
    </row>
    <row r="146" spans="2:13" s="65" customFormat="1" x14ac:dyDescent="0.3">
      <c r="B146" s="78">
        <f t="shared" si="2"/>
        <v>142</v>
      </c>
      <c r="C146" s="78">
        <v>120142</v>
      </c>
      <c r="D146" s="62" t="s">
        <v>1921</v>
      </c>
      <c r="E146" s="62"/>
      <c r="F146" s="63" t="s">
        <v>2921</v>
      </c>
      <c r="G146" s="62" t="s">
        <v>2922</v>
      </c>
      <c r="H146" s="62"/>
      <c r="I146" s="62"/>
      <c r="J146" s="62"/>
      <c r="K146" s="62"/>
      <c r="L146" s="62"/>
      <c r="M146" s="62"/>
    </row>
    <row r="147" spans="2:13" s="65" customFormat="1" x14ac:dyDescent="0.3">
      <c r="B147" s="78">
        <f t="shared" si="2"/>
        <v>143</v>
      </c>
      <c r="C147" s="78">
        <v>120143</v>
      </c>
      <c r="D147" s="62" t="s">
        <v>1922</v>
      </c>
      <c r="E147" s="62" t="s">
        <v>2498</v>
      </c>
      <c r="F147" s="63" t="s">
        <v>2923</v>
      </c>
      <c r="G147" s="78" t="s">
        <v>2924</v>
      </c>
      <c r="H147" s="62"/>
      <c r="I147" s="62" t="s">
        <v>2925</v>
      </c>
      <c r="J147" s="62" t="s">
        <v>2360</v>
      </c>
      <c r="K147" s="62"/>
      <c r="L147" s="62" t="s">
        <v>2926</v>
      </c>
      <c r="M147" s="62"/>
    </row>
    <row r="148" spans="2:13" s="65" customFormat="1" ht="28.8" x14ac:dyDescent="0.3">
      <c r="B148" s="78">
        <f t="shared" si="2"/>
        <v>144</v>
      </c>
      <c r="C148" s="78">
        <v>120144</v>
      </c>
      <c r="D148" s="62" t="s">
        <v>1923</v>
      </c>
      <c r="E148" s="62" t="s">
        <v>2498</v>
      </c>
      <c r="F148" s="63" t="s">
        <v>2927</v>
      </c>
      <c r="G148" s="78" t="s">
        <v>2928</v>
      </c>
      <c r="H148" s="62"/>
      <c r="I148" s="62" t="s">
        <v>2929</v>
      </c>
      <c r="J148" s="62"/>
      <c r="K148" s="62"/>
      <c r="L148" s="62"/>
      <c r="M148" s="62"/>
    </row>
    <row r="149" spans="2:13" s="65" customFormat="1" x14ac:dyDescent="0.3">
      <c r="B149" s="78">
        <f t="shared" si="2"/>
        <v>145</v>
      </c>
      <c r="C149" s="78">
        <v>120145</v>
      </c>
      <c r="D149" s="62" t="s">
        <v>1924</v>
      </c>
      <c r="E149" s="62" t="s">
        <v>2498</v>
      </c>
      <c r="F149" s="63" t="s">
        <v>2930</v>
      </c>
      <c r="G149" s="78"/>
      <c r="H149" s="62" t="s">
        <v>2931</v>
      </c>
      <c r="I149" s="62" t="s">
        <v>2932</v>
      </c>
      <c r="J149" s="62"/>
      <c r="K149" s="62"/>
      <c r="L149" s="62"/>
      <c r="M149" s="62"/>
    </row>
    <row r="150" spans="2:13" s="65" customFormat="1" x14ac:dyDescent="0.3">
      <c r="B150" s="78">
        <f t="shared" si="2"/>
        <v>146</v>
      </c>
      <c r="C150" s="78">
        <v>120146</v>
      </c>
      <c r="D150" s="62" t="s">
        <v>1925</v>
      </c>
      <c r="E150" s="62" t="s">
        <v>2498</v>
      </c>
      <c r="F150" s="63" t="s">
        <v>2933</v>
      </c>
      <c r="G150" s="78"/>
      <c r="H150" s="62" t="s">
        <v>2934</v>
      </c>
      <c r="I150" s="62" t="s">
        <v>2935</v>
      </c>
      <c r="J150" s="62"/>
      <c r="K150" s="62"/>
      <c r="L150" s="62"/>
      <c r="M150" s="62"/>
    </row>
    <row r="151" spans="2:13" s="65" customFormat="1" ht="28.8" x14ac:dyDescent="0.3">
      <c r="B151" s="78">
        <f t="shared" si="2"/>
        <v>147</v>
      </c>
      <c r="C151" s="78">
        <v>120147</v>
      </c>
      <c r="D151" s="62" t="s">
        <v>1926</v>
      </c>
      <c r="E151" s="62" t="s">
        <v>2356</v>
      </c>
      <c r="F151" s="63" t="s">
        <v>2936</v>
      </c>
      <c r="G151" s="78" t="s">
        <v>2937</v>
      </c>
      <c r="H151" s="62"/>
      <c r="I151" s="62" t="s">
        <v>2938</v>
      </c>
      <c r="J151" s="62"/>
      <c r="K151" s="62" t="s">
        <v>2939</v>
      </c>
      <c r="L151" s="62"/>
      <c r="M151" s="62"/>
    </row>
    <row r="152" spans="2:13" s="65" customFormat="1" x14ac:dyDescent="0.3">
      <c r="B152" s="78">
        <f t="shared" si="2"/>
        <v>148</v>
      </c>
      <c r="C152" s="78">
        <v>120148</v>
      </c>
      <c r="D152" s="62" t="s">
        <v>1927</v>
      </c>
      <c r="E152" s="62" t="s">
        <v>2356</v>
      </c>
      <c r="F152" s="63" t="s">
        <v>2940</v>
      </c>
      <c r="G152" s="78" t="s">
        <v>2941</v>
      </c>
      <c r="H152" s="62"/>
      <c r="I152" s="62" t="s">
        <v>2942</v>
      </c>
      <c r="J152" s="62"/>
      <c r="K152" s="62" t="s">
        <v>2943</v>
      </c>
      <c r="L152" s="62"/>
      <c r="M152" s="62"/>
    </row>
    <row r="153" spans="2:13" s="65" customFormat="1" x14ac:dyDescent="0.3">
      <c r="B153" s="78">
        <f t="shared" si="2"/>
        <v>149</v>
      </c>
      <c r="C153" s="78">
        <v>120149</v>
      </c>
      <c r="D153" s="62" t="s">
        <v>1928</v>
      </c>
      <c r="E153" s="62" t="s">
        <v>2356</v>
      </c>
      <c r="F153" s="63" t="s">
        <v>2944</v>
      </c>
      <c r="G153" s="78" t="s">
        <v>2945</v>
      </c>
      <c r="H153" s="62"/>
      <c r="I153" s="62" t="s">
        <v>2946</v>
      </c>
      <c r="J153" s="62" t="s">
        <v>2360</v>
      </c>
      <c r="K153" s="62" t="s">
        <v>2947</v>
      </c>
      <c r="L153" s="62"/>
      <c r="M153" s="62"/>
    </row>
    <row r="154" spans="2:13" s="65" customFormat="1" ht="17.399999999999999" customHeight="1" x14ac:dyDescent="0.3">
      <c r="B154" s="78">
        <f t="shared" si="2"/>
        <v>150</v>
      </c>
      <c r="C154" s="78">
        <v>120150</v>
      </c>
      <c r="D154" s="62" t="s">
        <v>2237</v>
      </c>
      <c r="E154" s="62" t="s">
        <v>2948</v>
      </c>
      <c r="F154" s="63" t="s">
        <v>2949</v>
      </c>
      <c r="G154" s="78" t="s">
        <v>2950</v>
      </c>
      <c r="H154" s="62"/>
      <c r="I154" s="62"/>
      <c r="J154" s="62"/>
      <c r="K154" s="62"/>
      <c r="L154" s="62"/>
      <c r="M154" s="62"/>
    </row>
    <row r="155" spans="2:13" s="65" customFormat="1" ht="17.399999999999999" customHeight="1" x14ac:dyDescent="0.3">
      <c r="B155" s="78">
        <f t="shared" si="2"/>
        <v>151</v>
      </c>
      <c r="C155" s="78">
        <v>120151</v>
      </c>
      <c r="D155" s="62" t="s">
        <v>3259</v>
      </c>
      <c r="E155" s="62" t="s">
        <v>2498</v>
      </c>
      <c r="F155" s="63" t="s">
        <v>2949</v>
      </c>
      <c r="G155" s="78" t="s">
        <v>2950</v>
      </c>
      <c r="H155" s="62"/>
      <c r="I155" s="62"/>
      <c r="J155" s="62"/>
      <c r="K155" s="62"/>
      <c r="L155" s="62"/>
      <c r="M155" s="62"/>
    </row>
    <row r="156" spans="2:13" s="65" customFormat="1" ht="17.399999999999999" customHeight="1" x14ac:dyDescent="0.3">
      <c r="B156" s="78">
        <f t="shared" si="2"/>
        <v>152</v>
      </c>
      <c r="C156" s="78">
        <v>120152</v>
      </c>
      <c r="D156" s="62" t="s">
        <v>3261</v>
      </c>
      <c r="E156" s="62" t="s">
        <v>2498</v>
      </c>
      <c r="F156" s="63" t="s">
        <v>3340</v>
      </c>
      <c r="G156" s="78"/>
      <c r="H156" s="62"/>
      <c r="I156" s="62" t="s">
        <v>3341</v>
      </c>
      <c r="J156" s="62"/>
      <c r="K156" s="62"/>
      <c r="L156" s="62"/>
      <c r="M156" s="62"/>
    </row>
    <row r="157" spans="2:13" s="65" customFormat="1" ht="17.399999999999999" customHeight="1" x14ac:dyDescent="0.3">
      <c r="B157" s="78">
        <f t="shared" si="2"/>
        <v>153</v>
      </c>
      <c r="C157" s="78">
        <v>120153</v>
      </c>
      <c r="D157" s="62" t="s">
        <v>3262</v>
      </c>
      <c r="E157" s="62" t="s">
        <v>2498</v>
      </c>
      <c r="F157" s="63" t="s">
        <v>3342</v>
      </c>
      <c r="G157" s="78"/>
      <c r="H157" s="62"/>
      <c r="I157" s="62" t="s">
        <v>3343</v>
      </c>
      <c r="J157" s="62"/>
      <c r="K157" s="62"/>
      <c r="L157" s="62"/>
      <c r="M157" s="62"/>
    </row>
    <row r="158" spans="2:13" s="65" customFormat="1" ht="17.399999999999999" customHeight="1" x14ac:dyDescent="0.3">
      <c r="B158" s="78">
        <f t="shared" si="2"/>
        <v>154</v>
      </c>
      <c r="C158" s="78">
        <v>120154</v>
      </c>
      <c r="D158" s="62" t="s">
        <v>3344</v>
      </c>
      <c r="E158" s="62" t="s">
        <v>2356</v>
      </c>
      <c r="F158" s="63" t="s">
        <v>3345</v>
      </c>
      <c r="G158" s="78" t="s">
        <v>3346</v>
      </c>
      <c r="H158" s="62"/>
      <c r="I158" s="62" t="s">
        <v>3347</v>
      </c>
      <c r="J158" s="62"/>
      <c r="K158" s="62"/>
      <c r="L158" s="62"/>
      <c r="M158" s="62"/>
    </row>
    <row r="159" spans="2:13" s="65" customFormat="1" ht="17.399999999999999" customHeight="1" x14ac:dyDescent="0.3">
      <c r="B159" s="78">
        <f t="shared" si="2"/>
        <v>155</v>
      </c>
      <c r="C159" s="78">
        <v>120155</v>
      </c>
      <c r="D159" s="62" t="s">
        <v>3264</v>
      </c>
      <c r="E159" s="62" t="s">
        <v>2356</v>
      </c>
      <c r="F159" s="63" t="s">
        <v>3348</v>
      </c>
      <c r="G159" s="78" t="s">
        <v>3349</v>
      </c>
      <c r="H159" s="62"/>
      <c r="I159" s="62" t="s">
        <v>3350</v>
      </c>
      <c r="J159" s="62" t="s">
        <v>2360</v>
      </c>
      <c r="K159" s="62"/>
      <c r="L159" s="62" t="s">
        <v>3351</v>
      </c>
      <c r="M159" s="62"/>
    </row>
    <row r="160" spans="2:13" s="65" customFormat="1" ht="17.399999999999999" customHeight="1" x14ac:dyDescent="0.3">
      <c r="B160" s="78">
        <f t="shared" si="2"/>
        <v>156</v>
      </c>
      <c r="C160" s="78">
        <v>120156</v>
      </c>
      <c r="D160" s="62" t="s">
        <v>3265</v>
      </c>
      <c r="E160" s="62" t="s">
        <v>2409</v>
      </c>
      <c r="F160" s="63" t="s">
        <v>3352</v>
      </c>
      <c r="G160" s="78"/>
      <c r="H160" s="62"/>
      <c r="I160" s="62" t="s">
        <v>3353</v>
      </c>
      <c r="J160" s="62"/>
      <c r="K160" s="62"/>
      <c r="L160" s="62"/>
      <c r="M160" s="62"/>
    </row>
    <row r="161" spans="2:13" s="65" customFormat="1" ht="17.399999999999999" customHeight="1" x14ac:dyDescent="0.3">
      <c r="B161" s="78">
        <f t="shared" si="2"/>
        <v>157</v>
      </c>
      <c r="C161" s="78">
        <v>120157</v>
      </c>
      <c r="D161" s="62" t="s">
        <v>3294</v>
      </c>
      <c r="E161" s="62" t="s">
        <v>2498</v>
      </c>
      <c r="F161" s="63" t="s">
        <v>3354</v>
      </c>
      <c r="G161" s="78"/>
      <c r="H161" s="62"/>
      <c r="I161" s="62" t="s">
        <v>3355</v>
      </c>
      <c r="J161" s="62"/>
      <c r="K161" s="62"/>
      <c r="L161" s="62"/>
      <c r="M161" s="62"/>
    </row>
    <row r="162" spans="2:13" s="65" customFormat="1" ht="17.399999999999999" customHeight="1" x14ac:dyDescent="0.3">
      <c r="B162" s="78">
        <f t="shared" si="2"/>
        <v>158</v>
      </c>
      <c r="C162" s="78">
        <v>120158</v>
      </c>
      <c r="D162" s="62" t="s">
        <v>3295</v>
      </c>
      <c r="E162" s="62" t="s">
        <v>2498</v>
      </c>
      <c r="F162" s="63" t="s">
        <v>3356</v>
      </c>
      <c r="G162" s="78"/>
      <c r="H162" s="62"/>
      <c r="I162" s="62"/>
      <c r="J162" s="62"/>
      <c r="K162" s="62"/>
      <c r="L162" s="62"/>
      <c r="M162" s="62"/>
    </row>
    <row r="163" spans="2:13" s="65" customFormat="1" ht="17.399999999999999" customHeight="1" x14ac:dyDescent="0.3">
      <c r="B163" s="78">
        <f t="shared" si="2"/>
        <v>159</v>
      </c>
      <c r="C163" s="78">
        <v>120159</v>
      </c>
      <c r="D163" s="62" t="s">
        <v>3298</v>
      </c>
      <c r="E163" s="62"/>
      <c r="F163" s="63" t="s">
        <v>2949</v>
      </c>
      <c r="G163" s="78"/>
      <c r="H163" s="62"/>
      <c r="I163" s="62"/>
      <c r="J163" s="62"/>
      <c r="K163" s="62"/>
      <c r="L163" s="62"/>
      <c r="M163" s="62"/>
    </row>
    <row r="164" spans="2:13" s="65" customFormat="1" ht="17.399999999999999" customHeight="1" x14ac:dyDescent="0.3">
      <c r="B164" s="78">
        <f t="shared" si="2"/>
        <v>160</v>
      </c>
      <c r="C164" s="78">
        <v>120160</v>
      </c>
      <c r="D164" s="62" t="s">
        <v>3299</v>
      </c>
      <c r="E164" s="62" t="s">
        <v>2356</v>
      </c>
      <c r="F164" s="63" t="s">
        <v>3357</v>
      </c>
      <c r="G164" s="78" t="s">
        <v>3358</v>
      </c>
      <c r="H164" s="62"/>
      <c r="I164" s="62" t="s">
        <v>3359</v>
      </c>
      <c r="J164" s="62"/>
      <c r="K164" s="62"/>
      <c r="L164" s="62"/>
      <c r="M164" s="62"/>
    </row>
    <row r="165" spans="2:13" s="65" customFormat="1" ht="17.399999999999999" customHeight="1" x14ac:dyDescent="0.3">
      <c r="B165" s="78">
        <f t="shared" si="2"/>
        <v>161</v>
      </c>
      <c r="C165" s="78">
        <v>120160</v>
      </c>
      <c r="D165" s="62" t="s">
        <v>3300</v>
      </c>
      <c r="E165" s="62" t="s">
        <v>2356</v>
      </c>
      <c r="F165" s="63" t="s">
        <v>3360</v>
      </c>
      <c r="G165" s="78" t="s">
        <v>3361</v>
      </c>
      <c r="H165" s="62"/>
      <c r="I165" s="62" t="s">
        <v>3362</v>
      </c>
      <c r="J165" s="62"/>
      <c r="K165" s="62"/>
      <c r="L165" s="62"/>
      <c r="M165" s="62"/>
    </row>
  </sheetData>
  <hyperlinks>
    <hyperlink ref="G38" r:id="rId1" display="tel:02134603452" xr:uid="{7B6506EB-6ABD-4C58-8251-400F09DC01B3}"/>
    <hyperlink ref="G55" r:id="rId2" display="tel:(+92) 021 111 597 200" xr:uid="{74449D54-4EEB-47C0-99A7-204BF13A5867}"/>
    <hyperlink ref="F83" r:id="rId3" display="https://maps.app.goo.gl/NCJKyXNg7dgHKmxv8" xr:uid="{5916E881-B936-4860-92B8-F1B19A8966A5}"/>
    <hyperlink ref="G83" r:id="rId4" display="tel: 0800 00100" xr:uid="{76B30CBA-A845-4B5F-BDDE-3816883D93A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3952-8E9D-4052-ABE1-1C2E955FD407}">
  <dimension ref="B2:M23"/>
  <sheetViews>
    <sheetView showGridLines="0" workbookViewId="0">
      <selection activeCell="E26" sqref="E26"/>
    </sheetView>
  </sheetViews>
  <sheetFormatPr defaultRowHeight="14.4" x14ac:dyDescent="0.3"/>
  <cols>
    <col min="1" max="1" width="1.88671875" customWidth="1"/>
    <col min="4" max="4" width="15.44140625" bestFit="1" customWidth="1"/>
    <col min="5" max="5" width="37" bestFit="1" customWidth="1"/>
    <col min="6" max="6" width="78.88671875" customWidth="1"/>
    <col min="7" max="7" width="17.44140625" bestFit="1" customWidth="1"/>
    <col min="8" max="8" width="9" bestFit="1" customWidth="1"/>
    <col min="9" max="9" width="8.5546875" bestFit="1" customWidth="1"/>
    <col min="10" max="10" width="9.33203125" bestFit="1" customWidth="1"/>
    <col min="11" max="11" width="8.109375" bestFit="1" customWidth="1"/>
    <col min="12" max="12" width="7.88671875" bestFit="1" customWidth="1"/>
    <col min="13" max="13" width="7.5546875" bestFit="1" customWidth="1"/>
  </cols>
  <sheetData>
    <row r="2" spans="2:13" x14ac:dyDescent="0.3">
      <c r="B2" s="79" t="s">
        <v>2344</v>
      </c>
      <c r="C2" s="79"/>
      <c r="D2" s="79"/>
    </row>
    <row r="4" spans="2:13" x14ac:dyDescent="0.3">
      <c r="B4" s="80" t="s">
        <v>2345</v>
      </c>
      <c r="C4" s="80" t="s">
        <v>1176</v>
      </c>
      <c r="D4" s="80" t="s">
        <v>2951</v>
      </c>
      <c r="E4" s="80" t="s">
        <v>2346</v>
      </c>
      <c r="F4" s="80" t="s">
        <v>2348</v>
      </c>
      <c r="G4" s="80" t="s">
        <v>2349</v>
      </c>
      <c r="H4" s="80" t="s">
        <v>2350</v>
      </c>
      <c r="I4" s="80" t="s">
        <v>2351</v>
      </c>
      <c r="J4" s="80" t="s">
        <v>2352</v>
      </c>
      <c r="K4" s="80" t="s">
        <v>2353</v>
      </c>
      <c r="L4" s="80" t="s">
        <v>2354</v>
      </c>
      <c r="M4" s="80" t="s">
        <v>2355</v>
      </c>
    </row>
    <row r="5" spans="2:13" s="65" customFormat="1" ht="28.8" x14ac:dyDescent="0.3">
      <c r="B5" s="78">
        <v>1</v>
      </c>
      <c r="C5" s="78" t="s">
        <v>1877</v>
      </c>
      <c r="D5" s="60" t="s">
        <v>859</v>
      </c>
      <c r="E5" s="62" t="s">
        <v>2952</v>
      </c>
      <c r="F5" s="63" t="s">
        <v>2953</v>
      </c>
      <c r="G5" s="62"/>
      <c r="H5" s="62"/>
      <c r="I5" s="62"/>
      <c r="J5" s="62"/>
      <c r="K5" s="62"/>
      <c r="L5" s="62"/>
      <c r="M5" s="62"/>
    </row>
    <row r="6" spans="2:13" s="65" customFormat="1" x14ac:dyDescent="0.3">
      <c r="B6" s="78">
        <v>2</v>
      </c>
      <c r="C6" s="78" t="s">
        <v>1878</v>
      </c>
      <c r="D6" s="60" t="s">
        <v>859</v>
      </c>
      <c r="E6" s="62" t="s">
        <v>2954</v>
      </c>
      <c r="F6" s="63" t="s">
        <v>2955</v>
      </c>
      <c r="G6" s="62"/>
      <c r="H6" s="62"/>
      <c r="I6" s="62"/>
      <c r="J6" s="62"/>
      <c r="K6" s="62"/>
      <c r="L6" s="62"/>
      <c r="M6" s="62"/>
    </row>
    <row r="7" spans="2:13" s="65" customFormat="1" ht="28.8" x14ac:dyDescent="0.3">
      <c r="B7" s="78">
        <v>3</v>
      </c>
      <c r="C7" s="78" t="s">
        <v>1879</v>
      </c>
      <c r="D7" s="60" t="s">
        <v>860</v>
      </c>
      <c r="E7" s="62" t="s">
        <v>2956</v>
      </c>
      <c r="F7" s="63" t="s">
        <v>2957</v>
      </c>
      <c r="G7" s="62" t="s">
        <v>2958</v>
      </c>
      <c r="H7" s="62"/>
      <c r="I7" s="62"/>
      <c r="J7" s="62"/>
      <c r="K7" s="62"/>
      <c r="L7" s="62"/>
      <c r="M7" s="62"/>
    </row>
    <row r="8" spans="2:13" s="65" customFormat="1" ht="28.8" x14ac:dyDescent="0.3">
      <c r="B8" s="78">
        <v>4</v>
      </c>
      <c r="C8" s="78" t="s">
        <v>1880</v>
      </c>
      <c r="D8" s="60" t="s">
        <v>864</v>
      </c>
      <c r="E8" s="62" t="s">
        <v>2959</v>
      </c>
      <c r="F8" s="63" t="s">
        <v>2960</v>
      </c>
      <c r="G8" s="62"/>
      <c r="H8" s="62"/>
      <c r="I8" s="62"/>
      <c r="J8" s="62"/>
      <c r="K8" s="62"/>
      <c r="L8" s="62"/>
      <c r="M8" s="62"/>
    </row>
    <row r="9" spans="2:13" s="65" customFormat="1" x14ac:dyDescent="0.3">
      <c r="B9" s="78">
        <v>5</v>
      </c>
      <c r="C9" s="78" t="s">
        <v>1881</v>
      </c>
      <c r="D9" s="60" t="s">
        <v>869</v>
      </c>
      <c r="E9" s="62" t="s">
        <v>169</v>
      </c>
      <c r="F9" s="63" t="s">
        <v>2961</v>
      </c>
      <c r="G9" s="62" t="s">
        <v>2962</v>
      </c>
      <c r="H9" s="62"/>
      <c r="I9" s="62"/>
      <c r="J9" s="62"/>
      <c r="K9" s="62"/>
      <c r="L9" s="62"/>
      <c r="M9" s="62"/>
    </row>
    <row r="10" spans="2:13" s="65" customFormat="1" x14ac:dyDescent="0.3">
      <c r="B10" s="78">
        <v>6</v>
      </c>
      <c r="C10" s="78" t="s">
        <v>1882</v>
      </c>
      <c r="D10" s="60" t="s">
        <v>866</v>
      </c>
      <c r="E10" s="62" t="s">
        <v>2963</v>
      </c>
      <c r="F10" s="63" t="s">
        <v>2964</v>
      </c>
      <c r="G10" s="62" t="s">
        <v>2965</v>
      </c>
      <c r="H10" s="62"/>
      <c r="I10" s="62"/>
      <c r="J10" s="62"/>
      <c r="K10" s="62"/>
      <c r="L10" s="62"/>
      <c r="M10" s="62"/>
    </row>
    <row r="11" spans="2:13" s="65" customFormat="1" x14ac:dyDescent="0.3">
      <c r="B11" s="78">
        <v>7</v>
      </c>
      <c r="C11" s="78" t="s">
        <v>1883</v>
      </c>
      <c r="D11" s="60" t="s">
        <v>861</v>
      </c>
      <c r="E11" s="62" t="s">
        <v>2966</v>
      </c>
      <c r="F11" s="63" t="s">
        <v>2967</v>
      </c>
      <c r="G11" s="62" t="s">
        <v>2968</v>
      </c>
      <c r="H11" s="62"/>
      <c r="I11" s="62"/>
      <c r="J11" s="62"/>
      <c r="K11" s="62"/>
      <c r="L11" s="62"/>
      <c r="M11" s="62"/>
    </row>
    <row r="12" spans="2:13" s="65" customFormat="1" x14ac:dyDescent="0.3">
      <c r="B12" s="78">
        <v>8</v>
      </c>
      <c r="C12" s="78" t="s">
        <v>1884</v>
      </c>
      <c r="D12" s="60" t="s">
        <v>867</v>
      </c>
      <c r="E12" s="62" t="s">
        <v>2969</v>
      </c>
      <c r="F12" s="63" t="s">
        <v>2970</v>
      </c>
      <c r="G12" s="62" t="s">
        <v>2971</v>
      </c>
      <c r="H12" s="62"/>
      <c r="I12" s="62"/>
      <c r="J12" s="62"/>
      <c r="K12" s="62"/>
      <c r="L12" s="62"/>
      <c r="M12" s="62"/>
    </row>
    <row r="13" spans="2:13" s="65" customFormat="1" x14ac:dyDescent="0.3">
      <c r="B13" s="78">
        <v>9</v>
      </c>
      <c r="C13" s="78" t="s">
        <v>1885</v>
      </c>
      <c r="D13" s="60" t="s">
        <v>18</v>
      </c>
      <c r="E13" s="62" t="s">
        <v>2969</v>
      </c>
      <c r="F13" s="63" t="s">
        <v>2970</v>
      </c>
      <c r="G13" s="62" t="s">
        <v>2971</v>
      </c>
      <c r="H13" s="62"/>
      <c r="I13" s="62"/>
      <c r="J13" s="62"/>
      <c r="K13" s="62"/>
      <c r="L13" s="62"/>
      <c r="M13" s="62"/>
    </row>
    <row r="14" spans="2:13" s="65" customFormat="1" ht="28.8" x14ac:dyDescent="0.3">
      <c r="B14" s="78">
        <v>10</v>
      </c>
      <c r="C14" s="78" t="s">
        <v>1886</v>
      </c>
      <c r="D14" s="60" t="s">
        <v>868</v>
      </c>
      <c r="E14" s="60" t="s">
        <v>868</v>
      </c>
      <c r="F14" s="63" t="s">
        <v>2972</v>
      </c>
      <c r="G14" s="62"/>
      <c r="H14" s="62"/>
      <c r="I14" s="62"/>
      <c r="J14" s="62"/>
      <c r="K14" s="62"/>
      <c r="L14" s="62"/>
      <c r="M14" s="62"/>
    </row>
    <row r="15" spans="2:13" s="65" customFormat="1" x14ac:dyDescent="0.3">
      <c r="B15" s="78">
        <v>11</v>
      </c>
      <c r="C15" s="78" t="s">
        <v>1887</v>
      </c>
      <c r="D15" s="60" t="s">
        <v>54</v>
      </c>
      <c r="E15" s="62" t="s">
        <v>2973</v>
      </c>
      <c r="F15" s="63" t="s">
        <v>2974</v>
      </c>
      <c r="G15" s="105" t="s">
        <v>2975</v>
      </c>
      <c r="H15" s="62"/>
      <c r="I15" s="62"/>
      <c r="J15" s="62"/>
      <c r="K15" s="62"/>
      <c r="L15" s="62"/>
      <c r="M15" s="62"/>
    </row>
    <row r="16" spans="2:13" s="65" customFormat="1" x14ac:dyDescent="0.3">
      <c r="B16" s="78">
        <v>12</v>
      </c>
      <c r="C16" s="78" t="s">
        <v>1888</v>
      </c>
      <c r="D16" s="60" t="s">
        <v>865</v>
      </c>
      <c r="E16" s="62" t="s">
        <v>194</v>
      </c>
      <c r="F16" s="63" t="s">
        <v>2976</v>
      </c>
      <c r="G16" s="62" t="s">
        <v>2977</v>
      </c>
      <c r="H16" s="62"/>
      <c r="I16" s="62"/>
      <c r="J16" s="62"/>
      <c r="K16" s="62"/>
      <c r="L16" s="62"/>
      <c r="M16" s="62"/>
    </row>
    <row r="17" spans="2:13" s="65" customFormat="1" x14ac:dyDescent="0.3">
      <c r="B17" s="78">
        <v>13</v>
      </c>
      <c r="C17" s="78" t="s">
        <v>1889</v>
      </c>
      <c r="D17" s="60" t="s">
        <v>870</v>
      </c>
      <c r="E17" s="62" t="s">
        <v>194</v>
      </c>
      <c r="F17" s="63" t="s">
        <v>2976</v>
      </c>
      <c r="G17" s="62" t="s">
        <v>2977</v>
      </c>
      <c r="H17" s="62"/>
      <c r="I17" s="62"/>
      <c r="J17" s="62"/>
      <c r="K17" s="62"/>
      <c r="L17" s="62"/>
      <c r="M17" s="62"/>
    </row>
    <row r="18" spans="2:13" s="65" customFormat="1" ht="28.8" x14ac:dyDescent="0.3">
      <c r="B18" s="78">
        <v>14</v>
      </c>
      <c r="C18" s="78" t="s">
        <v>1890</v>
      </c>
      <c r="D18" s="60" t="s">
        <v>2164</v>
      </c>
      <c r="E18" s="62" t="s">
        <v>2978</v>
      </c>
      <c r="F18" s="63" t="s">
        <v>2979</v>
      </c>
      <c r="G18" s="62" t="s">
        <v>2980</v>
      </c>
      <c r="H18" s="62"/>
      <c r="I18" s="62"/>
      <c r="J18" s="62"/>
      <c r="K18" s="62"/>
      <c r="L18" s="62"/>
      <c r="M18" s="62"/>
    </row>
    <row r="19" spans="2:13" s="65" customFormat="1" x14ac:dyDescent="0.3">
      <c r="B19" s="78">
        <v>15</v>
      </c>
      <c r="C19" s="78" t="s">
        <v>1891</v>
      </c>
      <c r="D19" s="60" t="s">
        <v>2167</v>
      </c>
      <c r="E19" s="62" t="s">
        <v>2981</v>
      </c>
      <c r="F19" s="63" t="s">
        <v>2982</v>
      </c>
      <c r="G19" s="62" t="s">
        <v>2983</v>
      </c>
      <c r="H19" s="62"/>
      <c r="I19" s="62"/>
      <c r="J19" s="62"/>
      <c r="K19" s="62"/>
      <c r="L19" s="62"/>
      <c r="M19" s="62"/>
    </row>
    <row r="20" spans="2:13" s="65" customFormat="1" x14ac:dyDescent="0.3">
      <c r="B20" s="78">
        <v>16</v>
      </c>
      <c r="C20" s="78" t="s">
        <v>2172</v>
      </c>
      <c r="D20" s="60" t="s">
        <v>2170</v>
      </c>
      <c r="E20" s="62" t="s">
        <v>2973</v>
      </c>
      <c r="F20" s="63" t="s">
        <v>2974</v>
      </c>
      <c r="G20" s="62"/>
      <c r="H20" s="62"/>
      <c r="I20" s="62"/>
      <c r="J20" s="62"/>
      <c r="K20" s="62"/>
      <c r="L20" s="62"/>
      <c r="M20" s="62"/>
    </row>
    <row r="21" spans="2:13" s="65" customFormat="1" x14ac:dyDescent="0.3">
      <c r="B21" s="78">
        <v>17</v>
      </c>
      <c r="C21" s="78" t="s">
        <v>2175</v>
      </c>
      <c r="D21" s="60" t="s">
        <v>2173</v>
      </c>
      <c r="E21" s="62" t="s">
        <v>156</v>
      </c>
      <c r="F21" s="63" t="s">
        <v>2984</v>
      </c>
      <c r="G21" s="62" t="s">
        <v>2985</v>
      </c>
      <c r="H21" s="62"/>
      <c r="I21" s="62"/>
      <c r="J21" s="62"/>
      <c r="K21" s="62"/>
      <c r="L21" s="62"/>
      <c r="M21" s="62"/>
    </row>
    <row r="22" spans="2:13" s="65" customFormat="1" x14ac:dyDescent="0.3">
      <c r="B22" s="78">
        <v>18</v>
      </c>
      <c r="C22" s="78" t="s">
        <v>2179</v>
      </c>
      <c r="D22" s="60" t="s">
        <v>2176</v>
      </c>
      <c r="E22" s="62" t="s">
        <v>156</v>
      </c>
      <c r="F22" s="63" t="s">
        <v>2984</v>
      </c>
      <c r="G22" s="62"/>
      <c r="H22" s="62"/>
      <c r="I22" s="62"/>
      <c r="J22" s="62"/>
      <c r="K22" s="62"/>
      <c r="L22" s="62"/>
      <c r="M22" s="62"/>
    </row>
    <row r="23" spans="2:13" s="65" customFormat="1" x14ac:dyDescent="0.3">
      <c r="B23" s="78">
        <v>19</v>
      </c>
      <c r="C23" s="78" t="s">
        <v>2339</v>
      </c>
      <c r="D23" s="60" t="s">
        <v>2180</v>
      </c>
      <c r="E23" s="62" t="s">
        <v>2986</v>
      </c>
      <c r="F23" s="63" t="s">
        <v>2987</v>
      </c>
      <c r="G23" s="62"/>
      <c r="H23" s="62"/>
      <c r="I23" s="62"/>
      <c r="J23" s="62"/>
      <c r="K23" s="62"/>
      <c r="L23" s="62"/>
      <c r="M23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D438-8422-4698-8D39-B1721FC28BC9}">
  <dimension ref="B2:J79"/>
  <sheetViews>
    <sheetView showGridLines="0" workbookViewId="0">
      <selection activeCell="F78" sqref="F78"/>
    </sheetView>
  </sheetViews>
  <sheetFormatPr defaultRowHeight="14.4" x14ac:dyDescent="0.3"/>
  <cols>
    <col min="1" max="1" width="3.21875" customWidth="1"/>
    <col min="4" max="4" width="25.5546875" customWidth="1"/>
    <col min="5" max="5" width="97" customWidth="1"/>
    <col min="6" max="6" width="16.44140625" customWidth="1"/>
    <col min="7" max="7" width="9" hidden="1" customWidth="1"/>
    <col min="8" max="8" width="9.6640625" hidden="1" customWidth="1"/>
    <col min="9" max="9" width="16.6640625" style="82" hidden="1" customWidth="1"/>
    <col min="10" max="10" width="16.6640625" style="86" hidden="1" customWidth="1"/>
    <col min="11" max="11" width="0" hidden="1" customWidth="1"/>
  </cols>
  <sheetData>
    <row r="2" spans="2:10" x14ac:dyDescent="0.3">
      <c r="B2" s="79" t="s">
        <v>2988</v>
      </c>
      <c r="C2" s="79"/>
    </row>
    <row r="4" spans="2:10" x14ac:dyDescent="0.3">
      <c r="B4" s="80" t="s">
        <v>2345</v>
      </c>
      <c r="C4" s="80" t="s">
        <v>1176</v>
      </c>
      <c r="D4" s="80" t="s">
        <v>2989</v>
      </c>
      <c r="E4" s="80" t="s">
        <v>2348</v>
      </c>
      <c r="F4" s="80" t="s">
        <v>2349</v>
      </c>
      <c r="G4" s="80" t="s">
        <v>2350</v>
      </c>
      <c r="H4" s="80" t="s">
        <v>2351</v>
      </c>
      <c r="I4" s="83" t="s">
        <v>2990</v>
      </c>
      <c r="J4" s="87" t="s">
        <v>2352</v>
      </c>
    </row>
    <row r="5" spans="2:10" x14ac:dyDescent="0.3">
      <c r="B5" s="81">
        <v>1</v>
      </c>
      <c r="C5" s="81">
        <v>310001</v>
      </c>
      <c r="D5" s="55" t="s">
        <v>68</v>
      </c>
      <c r="E5" s="55" t="s">
        <v>2991</v>
      </c>
      <c r="F5" s="100" t="s">
        <v>2992</v>
      </c>
      <c r="G5" s="55"/>
      <c r="H5" s="55" t="s">
        <v>2993</v>
      </c>
      <c r="I5" s="84">
        <v>6110118949725</v>
      </c>
      <c r="J5" s="88" t="s">
        <v>2994</v>
      </c>
    </row>
    <row r="6" spans="2:10" x14ac:dyDescent="0.3">
      <c r="B6" s="81">
        <v>2</v>
      </c>
      <c r="C6" s="81">
        <v>310003</v>
      </c>
      <c r="D6" s="55" t="s">
        <v>71</v>
      </c>
      <c r="E6" s="55" t="s">
        <v>2995</v>
      </c>
      <c r="F6" s="55" t="s">
        <v>2996</v>
      </c>
      <c r="G6" s="55" t="s">
        <v>2997</v>
      </c>
      <c r="H6" s="55" t="s">
        <v>2998</v>
      </c>
      <c r="I6" s="82">
        <v>3740534939055</v>
      </c>
      <c r="J6" s="88" t="s">
        <v>2999</v>
      </c>
    </row>
    <row r="7" spans="2:10" x14ac:dyDescent="0.3">
      <c r="B7" s="81">
        <f t="shared" ref="B7:B70" si="0">B6+1</f>
        <v>3</v>
      </c>
      <c r="C7" s="81">
        <v>310004</v>
      </c>
      <c r="D7" s="55" t="s">
        <v>72</v>
      </c>
      <c r="E7" s="55" t="s">
        <v>3000</v>
      </c>
      <c r="F7" s="55" t="s">
        <v>3001</v>
      </c>
      <c r="G7" s="55" t="s">
        <v>3002</v>
      </c>
      <c r="H7" s="55" t="s">
        <v>3003</v>
      </c>
      <c r="I7" s="84">
        <v>3740557842869</v>
      </c>
      <c r="J7" s="88" t="s">
        <v>3004</v>
      </c>
    </row>
    <row r="8" spans="2:10" x14ac:dyDescent="0.3">
      <c r="B8" s="81">
        <f t="shared" si="0"/>
        <v>4</v>
      </c>
      <c r="C8" s="81">
        <v>310005</v>
      </c>
      <c r="D8" s="55" t="s">
        <v>77</v>
      </c>
      <c r="E8" s="55" t="s">
        <v>3005</v>
      </c>
      <c r="F8" s="55" t="s">
        <v>2996</v>
      </c>
      <c r="G8" s="55"/>
      <c r="H8" s="55" t="s">
        <v>3006</v>
      </c>
      <c r="I8" s="84">
        <v>2194576</v>
      </c>
      <c r="J8" s="88" t="s">
        <v>3007</v>
      </c>
    </row>
    <row r="9" spans="2:10" x14ac:dyDescent="0.3">
      <c r="B9" s="81">
        <f t="shared" si="0"/>
        <v>5</v>
      </c>
      <c r="C9" s="81">
        <v>310006</v>
      </c>
      <c r="D9" s="55" t="s">
        <v>74</v>
      </c>
      <c r="E9" s="55" t="s">
        <v>2786</v>
      </c>
      <c r="F9" s="55" t="s">
        <v>3008</v>
      </c>
      <c r="G9" s="55" t="s">
        <v>2761</v>
      </c>
      <c r="H9" s="55" t="s">
        <v>2762</v>
      </c>
      <c r="I9" s="84">
        <v>4220105232740</v>
      </c>
      <c r="J9" s="88" t="s">
        <v>3009</v>
      </c>
    </row>
    <row r="10" spans="2:10" x14ac:dyDescent="0.3">
      <c r="B10" s="81">
        <f t="shared" si="0"/>
        <v>6</v>
      </c>
      <c r="C10" s="81">
        <v>310007</v>
      </c>
      <c r="D10" s="55" t="s">
        <v>70</v>
      </c>
      <c r="E10" s="55" t="s">
        <v>3010</v>
      </c>
      <c r="F10" s="55" t="s">
        <v>3011</v>
      </c>
      <c r="G10" s="55" t="s">
        <v>3012</v>
      </c>
      <c r="H10" s="55" t="s">
        <v>3013</v>
      </c>
      <c r="I10" s="84">
        <v>3740588573825</v>
      </c>
      <c r="J10" s="88" t="s">
        <v>3014</v>
      </c>
    </row>
    <row r="11" spans="2:10" x14ac:dyDescent="0.3">
      <c r="B11" s="81">
        <f t="shared" si="0"/>
        <v>7</v>
      </c>
      <c r="C11" s="81">
        <v>310008</v>
      </c>
      <c r="D11" s="55" t="s">
        <v>69</v>
      </c>
      <c r="E11" s="55" t="s">
        <v>3015</v>
      </c>
      <c r="F11" s="55" t="s">
        <v>3016</v>
      </c>
      <c r="G11" s="55" t="s">
        <v>3017</v>
      </c>
      <c r="H11" s="55" t="s">
        <v>3018</v>
      </c>
      <c r="I11" s="84">
        <v>4220103404212</v>
      </c>
      <c r="J11" s="88" t="s">
        <v>3019</v>
      </c>
    </row>
    <row r="12" spans="2:10" x14ac:dyDescent="0.3">
      <c r="B12" s="81">
        <f t="shared" si="0"/>
        <v>8</v>
      </c>
      <c r="C12" s="81">
        <v>310009</v>
      </c>
      <c r="D12" s="55" t="s">
        <v>73</v>
      </c>
      <c r="E12" s="85" t="s">
        <v>3020</v>
      </c>
      <c r="F12" s="55" t="s">
        <v>3021</v>
      </c>
      <c r="G12" s="55"/>
      <c r="H12" s="55" t="s">
        <v>3022</v>
      </c>
      <c r="I12" s="89" t="s">
        <v>3023</v>
      </c>
      <c r="J12" s="88">
        <v>1200210548755</v>
      </c>
    </row>
    <row r="13" spans="2:10" x14ac:dyDescent="0.3">
      <c r="B13" s="81">
        <f t="shared" si="0"/>
        <v>9</v>
      </c>
      <c r="C13" s="81">
        <v>310010</v>
      </c>
      <c r="D13" s="55" t="s">
        <v>91</v>
      </c>
      <c r="E13" s="55" t="s">
        <v>3024</v>
      </c>
      <c r="F13" s="55" t="s">
        <v>3025</v>
      </c>
      <c r="G13" s="55"/>
      <c r="H13" s="55"/>
      <c r="I13" s="84"/>
      <c r="J13" s="88"/>
    </row>
    <row r="14" spans="2:10" x14ac:dyDescent="0.3">
      <c r="B14" s="81">
        <f t="shared" si="0"/>
        <v>10</v>
      </c>
      <c r="C14" s="81">
        <v>310011</v>
      </c>
      <c r="D14" s="92" t="s">
        <v>65</v>
      </c>
      <c r="E14" s="55" t="s">
        <v>3026</v>
      </c>
      <c r="F14" s="55" t="s">
        <v>3027</v>
      </c>
      <c r="G14" s="55"/>
      <c r="H14" s="55"/>
      <c r="I14" s="84"/>
      <c r="J14" s="88"/>
    </row>
    <row r="15" spans="2:10" x14ac:dyDescent="0.3">
      <c r="B15" s="81">
        <f t="shared" si="0"/>
        <v>11</v>
      </c>
      <c r="C15" s="81">
        <v>310012</v>
      </c>
      <c r="D15" s="55" t="s">
        <v>836</v>
      </c>
      <c r="E15" s="55" t="s">
        <v>3028</v>
      </c>
      <c r="F15" s="55" t="s">
        <v>3029</v>
      </c>
      <c r="G15" s="55" t="s">
        <v>3030</v>
      </c>
      <c r="H15" s="55" t="s">
        <v>3031</v>
      </c>
      <c r="I15" s="94">
        <v>4230105285898</v>
      </c>
      <c r="J15" s="88" t="s">
        <v>3032</v>
      </c>
    </row>
    <row r="16" spans="2:10" x14ac:dyDescent="0.3">
      <c r="B16" s="81">
        <f t="shared" si="0"/>
        <v>12</v>
      </c>
      <c r="C16" s="81">
        <v>310013</v>
      </c>
      <c r="D16" s="55" t="s">
        <v>76</v>
      </c>
      <c r="E16" s="90" t="s">
        <v>3033</v>
      </c>
      <c r="F16" s="55" t="s">
        <v>2950</v>
      </c>
      <c r="G16" s="55"/>
      <c r="H16" s="55" t="s">
        <v>2792</v>
      </c>
      <c r="I16" s="95">
        <v>3037492</v>
      </c>
      <c r="J16" s="91" t="s">
        <v>2793</v>
      </c>
    </row>
    <row r="17" spans="2:10" x14ac:dyDescent="0.3">
      <c r="B17" s="81">
        <f t="shared" si="0"/>
        <v>13</v>
      </c>
      <c r="C17" s="81">
        <v>310014</v>
      </c>
      <c r="D17" s="55" t="s">
        <v>837</v>
      </c>
      <c r="E17" s="55" t="s">
        <v>3034</v>
      </c>
      <c r="F17" s="55" t="s">
        <v>3035</v>
      </c>
      <c r="G17" s="55"/>
      <c r="H17" s="55" t="s">
        <v>3036</v>
      </c>
      <c r="I17" s="94">
        <v>1954238</v>
      </c>
      <c r="J17" s="88" t="s">
        <v>3037</v>
      </c>
    </row>
    <row r="18" spans="2:10" x14ac:dyDescent="0.3">
      <c r="B18" s="81">
        <f t="shared" si="0"/>
        <v>14</v>
      </c>
      <c r="C18" s="81">
        <v>310015</v>
      </c>
      <c r="D18" s="55" t="s">
        <v>838</v>
      </c>
      <c r="E18" s="85" t="s">
        <v>3038</v>
      </c>
      <c r="F18" s="55" t="s">
        <v>3039</v>
      </c>
      <c r="G18" s="92" t="s">
        <v>3040</v>
      </c>
      <c r="H18" s="92" t="s">
        <v>3041</v>
      </c>
      <c r="I18" s="94">
        <v>3520208999721</v>
      </c>
      <c r="J18" s="88" t="s">
        <v>3037</v>
      </c>
    </row>
    <row r="19" spans="2:10" x14ac:dyDescent="0.3">
      <c r="B19" s="81">
        <f t="shared" si="0"/>
        <v>15</v>
      </c>
      <c r="C19" s="81">
        <v>310016</v>
      </c>
      <c r="D19" s="55" t="s">
        <v>839</v>
      </c>
      <c r="E19" s="85" t="s">
        <v>3042</v>
      </c>
      <c r="F19" s="55" t="s">
        <v>3011</v>
      </c>
      <c r="G19" s="55"/>
      <c r="H19" s="55" t="s">
        <v>3043</v>
      </c>
      <c r="I19" s="94">
        <v>3740543866217</v>
      </c>
      <c r="J19" s="88" t="s">
        <v>3037</v>
      </c>
    </row>
    <row r="20" spans="2:10" x14ac:dyDescent="0.3">
      <c r="B20" s="81">
        <f t="shared" si="0"/>
        <v>16</v>
      </c>
      <c r="C20" s="81">
        <v>310017</v>
      </c>
      <c r="D20" s="55" t="s">
        <v>125</v>
      </c>
      <c r="E20" s="55" t="s">
        <v>3044</v>
      </c>
      <c r="F20" s="55" t="s">
        <v>3045</v>
      </c>
      <c r="G20" s="55"/>
      <c r="H20" s="92" t="s">
        <v>2619</v>
      </c>
      <c r="I20" s="96" t="s">
        <v>3046</v>
      </c>
      <c r="J20" s="88" t="s">
        <v>3037</v>
      </c>
    </row>
    <row r="21" spans="2:10" x14ac:dyDescent="0.3">
      <c r="B21" s="81">
        <f t="shared" si="0"/>
        <v>17</v>
      </c>
      <c r="C21" s="81">
        <v>310018</v>
      </c>
      <c r="D21" s="55" t="s">
        <v>100</v>
      </c>
      <c r="E21" s="85" t="s">
        <v>3047</v>
      </c>
      <c r="F21" s="55" t="s">
        <v>3048</v>
      </c>
      <c r="G21" s="92" t="s">
        <v>3049</v>
      </c>
      <c r="H21" s="92" t="s">
        <v>3050</v>
      </c>
      <c r="I21" s="94">
        <v>3740563825495</v>
      </c>
      <c r="J21" s="88" t="s">
        <v>3037</v>
      </c>
    </row>
    <row r="22" spans="2:10" x14ac:dyDescent="0.3">
      <c r="B22" s="81">
        <f t="shared" si="0"/>
        <v>18</v>
      </c>
      <c r="C22" s="81">
        <v>310019</v>
      </c>
      <c r="D22" s="55" t="s">
        <v>840</v>
      </c>
      <c r="E22" s="85" t="s">
        <v>3051</v>
      </c>
      <c r="F22" s="55" t="s">
        <v>3052</v>
      </c>
      <c r="G22" s="55"/>
      <c r="H22" s="55" t="s">
        <v>3053</v>
      </c>
      <c r="I22" s="94">
        <v>2285414</v>
      </c>
      <c r="J22" s="88" t="s">
        <v>3037</v>
      </c>
    </row>
    <row r="23" spans="2:10" ht="28.8" x14ac:dyDescent="0.3">
      <c r="B23" s="81">
        <f t="shared" si="0"/>
        <v>19</v>
      </c>
      <c r="C23" s="81">
        <v>310020</v>
      </c>
      <c r="D23" s="55" t="s">
        <v>107</v>
      </c>
      <c r="E23" s="85" t="s">
        <v>3054</v>
      </c>
      <c r="F23" s="55" t="s">
        <v>3055</v>
      </c>
      <c r="G23" s="55"/>
      <c r="H23" s="55" t="s">
        <v>3056</v>
      </c>
      <c r="I23" s="96" t="s">
        <v>3057</v>
      </c>
      <c r="J23" s="88" t="s">
        <v>3037</v>
      </c>
    </row>
    <row r="24" spans="2:10" ht="28.8" x14ac:dyDescent="0.3">
      <c r="B24" s="81">
        <f t="shared" si="0"/>
        <v>20</v>
      </c>
      <c r="C24" s="81">
        <v>310021</v>
      </c>
      <c r="D24" s="55" t="s">
        <v>67</v>
      </c>
      <c r="E24" s="85" t="s">
        <v>3058</v>
      </c>
      <c r="F24" s="55" t="s">
        <v>3059</v>
      </c>
      <c r="G24" s="55"/>
      <c r="H24" s="55" t="s">
        <v>3060</v>
      </c>
      <c r="I24" s="96" t="s">
        <v>3061</v>
      </c>
      <c r="J24" s="88" t="s">
        <v>3037</v>
      </c>
    </row>
    <row r="25" spans="2:10" ht="28.8" x14ac:dyDescent="0.3">
      <c r="B25" s="81">
        <f t="shared" si="0"/>
        <v>21</v>
      </c>
      <c r="C25" s="81">
        <v>310022</v>
      </c>
      <c r="D25" s="55" t="s">
        <v>841</v>
      </c>
      <c r="E25" s="85" t="s">
        <v>3054</v>
      </c>
      <c r="F25" s="55" t="s">
        <v>3055</v>
      </c>
      <c r="G25" s="55"/>
      <c r="H25" s="55"/>
      <c r="I25" s="94"/>
      <c r="J25" s="88"/>
    </row>
    <row r="26" spans="2:10" ht="28.8" x14ac:dyDescent="0.3">
      <c r="B26" s="81">
        <f t="shared" si="0"/>
        <v>22</v>
      </c>
      <c r="C26" s="81">
        <v>310023</v>
      </c>
      <c r="D26" s="55" t="s">
        <v>123</v>
      </c>
      <c r="E26" s="85" t="s">
        <v>3054</v>
      </c>
      <c r="F26" s="55" t="s">
        <v>3055</v>
      </c>
      <c r="G26" s="55"/>
      <c r="H26" s="55"/>
      <c r="I26" s="94"/>
      <c r="J26" s="88"/>
    </row>
    <row r="27" spans="2:10" x14ac:dyDescent="0.3">
      <c r="B27" s="81">
        <f t="shared" si="0"/>
        <v>23</v>
      </c>
      <c r="C27" s="81">
        <v>310024</v>
      </c>
      <c r="D27" s="55" t="s">
        <v>88</v>
      </c>
      <c r="E27" s="55" t="s">
        <v>3062</v>
      </c>
      <c r="F27" s="55" t="s">
        <v>3063</v>
      </c>
      <c r="G27" s="55"/>
      <c r="H27" s="55" t="s">
        <v>2496</v>
      </c>
      <c r="I27" s="94" t="s">
        <v>3064</v>
      </c>
      <c r="J27" s="88" t="s">
        <v>3037</v>
      </c>
    </row>
    <row r="28" spans="2:10" x14ac:dyDescent="0.3">
      <c r="B28" s="81">
        <f t="shared" si="0"/>
        <v>24</v>
      </c>
      <c r="C28" s="81">
        <v>310025</v>
      </c>
      <c r="D28" s="55" t="s">
        <v>135</v>
      </c>
      <c r="E28" s="55" t="s">
        <v>3065</v>
      </c>
      <c r="F28" s="55" t="s">
        <v>3066</v>
      </c>
      <c r="G28" s="55"/>
      <c r="H28" s="55" t="s">
        <v>3067</v>
      </c>
      <c r="I28" s="94" t="s">
        <v>3068</v>
      </c>
      <c r="J28" s="88" t="s">
        <v>3037</v>
      </c>
    </row>
    <row r="29" spans="2:10" x14ac:dyDescent="0.3">
      <c r="B29" s="81">
        <f t="shared" si="0"/>
        <v>25</v>
      </c>
      <c r="C29" s="81">
        <v>310026</v>
      </c>
      <c r="D29" s="55" t="s">
        <v>842</v>
      </c>
      <c r="E29" s="55" t="s">
        <v>3069</v>
      </c>
      <c r="F29" s="55" t="s">
        <v>3052</v>
      </c>
      <c r="G29" s="55"/>
      <c r="H29" s="55" t="s">
        <v>3070</v>
      </c>
      <c r="I29" s="94">
        <v>1000710</v>
      </c>
      <c r="J29" s="88" t="s">
        <v>3037</v>
      </c>
    </row>
    <row r="30" spans="2:10" x14ac:dyDescent="0.3">
      <c r="B30" s="81">
        <f t="shared" si="0"/>
        <v>26</v>
      </c>
      <c r="C30" s="81">
        <v>310027</v>
      </c>
      <c r="D30" s="55" t="s">
        <v>843</v>
      </c>
      <c r="E30" s="55" t="s">
        <v>3071</v>
      </c>
      <c r="F30" s="55" t="s">
        <v>3072</v>
      </c>
      <c r="G30" s="55"/>
      <c r="H30" s="55" t="s">
        <v>3073</v>
      </c>
      <c r="I30" s="94">
        <v>7142468</v>
      </c>
      <c r="J30" s="88" t="s">
        <v>3037</v>
      </c>
    </row>
    <row r="31" spans="2:10" x14ac:dyDescent="0.3">
      <c r="B31" s="81">
        <f t="shared" si="0"/>
        <v>27</v>
      </c>
      <c r="C31" s="81">
        <v>310028</v>
      </c>
      <c r="D31" s="55" t="s">
        <v>844</v>
      </c>
      <c r="E31" s="55" t="s">
        <v>3074</v>
      </c>
      <c r="F31" s="55" t="s">
        <v>2597</v>
      </c>
      <c r="G31" s="55"/>
      <c r="H31" s="55" t="s">
        <v>2598</v>
      </c>
      <c r="I31" s="94" t="s">
        <v>3075</v>
      </c>
      <c r="J31" s="88" t="s">
        <v>3037</v>
      </c>
    </row>
    <row r="32" spans="2:10" x14ac:dyDescent="0.3">
      <c r="B32" s="81">
        <f t="shared" si="0"/>
        <v>28</v>
      </c>
      <c r="C32" s="81">
        <v>310029</v>
      </c>
      <c r="D32" s="55" t="s">
        <v>845</v>
      </c>
      <c r="E32" s="55" t="s">
        <v>3076</v>
      </c>
      <c r="F32" s="55" t="s">
        <v>3077</v>
      </c>
      <c r="G32" s="55"/>
      <c r="H32" s="55" t="s">
        <v>3078</v>
      </c>
      <c r="I32" s="94">
        <v>7228164</v>
      </c>
      <c r="J32" s="88" t="s">
        <v>3037</v>
      </c>
    </row>
    <row r="33" spans="2:10" x14ac:dyDescent="0.3">
      <c r="B33" s="81">
        <f t="shared" si="0"/>
        <v>29</v>
      </c>
      <c r="C33" s="81">
        <v>310030</v>
      </c>
      <c r="D33" s="55" t="s">
        <v>846</v>
      </c>
      <c r="E33" s="55" t="s">
        <v>3079</v>
      </c>
      <c r="F33" s="55" t="s">
        <v>3080</v>
      </c>
      <c r="G33" s="55"/>
      <c r="H33" s="55" t="s">
        <v>3081</v>
      </c>
      <c r="I33" s="94" t="s">
        <v>3082</v>
      </c>
      <c r="J33" s="88" t="s">
        <v>3037</v>
      </c>
    </row>
    <row r="34" spans="2:10" x14ac:dyDescent="0.3">
      <c r="B34" s="81">
        <f t="shared" si="0"/>
        <v>30</v>
      </c>
      <c r="C34" s="81">
        <v>310031</v>
      </c>
      <c r="D34" s="55" t="s">
        <v>847</v>
      </c>
      <c r="E34" s="85" t="s">
        <v>3083</v>
      </c>
      <c r="F34" s="55" t="s">
        <v>3084</v>
      </c>
      <c r="G34" s="55"/>
      <c r="H34" t="s">
        <v>3085</v>
      </c>
      <c r="I34" s="93" t="s">
        <v>3086</v>
      </c>
      <c r="J34" s="88" t="s">
        <v>3037</v>
      </c>
    </row>
    <row r="35" spans="2:10" x14ac:dyDescent="0.3">
      <c r="B35" s="81">
        <f t="shared" si="0"/>
        <v>31</v>
      </c>
      <c r="C35" s="81">
        <v>310032</v>
      </c>
      <c r="D35" s="55" t="s">
        <v>848</v>
      </c>
      <c r="E35" s="55" t="s">
        <v>3087</v>
      </c>
      <c r="F35" s="55" t="s">
        <v>3088</v>
      </c>
      <c r="G35" s="55" t="s">
        <v>3089</v>
      </c>
      <c r="H35" s="55" t="s">
        <v>3090</v>
      </c>
      <c r="I35" s="84">
        <v>8905735</v>
      </c>
      <c r="J35" s="88">
        <v>3277876157520</v>
      </c>
    </row>
    <row r="36" spans="2:10" x14ac:dyDescent="0.3">
      <c r="B36" s="81">
        <f t="shared" si="0"/>
        <v>32</v>
      </c>
      <c r="C36" s="81">
        <v>310033</v>
      </c>
      <c r="D36" s="55" t="s">
        <v>849</v>
      </c>
      <c r="E36" s="55" t="s">
        <v>3091</v>
      </c>
      <c r="F36" s="55" t="s">
        <v>3092</v>
      </c>
      <c r="G36" s="55"/>
      <c r="H36" t="s">
        <v>3093</v>
      </c>
      <c r="I36">
        <v>3651708</v>
      </c>
      <c r="J36" s="88" t="s">
        <v>3037</v>
      </c>
    </row>
    <row r="37" spans="2:10" x14ac:dyDescent="0.3">
      <c r="B37" s="81">
        <f t="shared" si="0"/>
        <v>33</v>
      </c>
      <c r="C37" s="81">
        <v>310034</v>
      </c>
      <c r="D37" s="55" t="s">
        <v>850</v>
      </c>
      <c r="E37" s="55" t="s">
        <v>2502</v>
      </c>
      <c r="F37" s="55" t="s">
        <v>3094</v>
      </c>
      <c r="G37" s="55"/>
      <c r="H37" s="55" t="s">
        <v>2504</v>
      </c>
      <c r="I37">
        <v>1343872</v>
      </c>
      <c r="J37" s="88" t="s">
        <v>3037</v>
      </c>
    </row>
    <row r="38" spans="2:10" x14ac:dyDescent="0.3">
      <c r="B38" s="81">
        <f t="shared" si="0"/>
        <v>34</v>
      </c>
      <c r="C38" s="81">
        <v>310035</v>
      </c>
      <c r="D38" s="55" t="s">
        <v>851</v>
      </c>
      <c r="E38" s="55" t="s">
        <v>3095</v>
      </c>
      <c r="F38" s="55" t="s">
        <v>3052</v>
      </c>
      <c r="G38" s="55"/>
      <c r="H38" t="s">
        <v>3096</v>
      </c>
      <c r="I38">
        <v>3208561</v>
      </c>
      <c r="J38" s="82">
        <v>3277876151550</v>
      </c>
    </row>
    <row r="39" spans="2:10" x14ac:dyDescent="0.3">
      <c r="B39" s="81">
        <f t="shared" si="0"/>
        <v>35</v>
      </c>
      <c r="C39" s="81">
        <v>310036</v>
      </c>
      <c r="D39" s="55" t="s">
        <v>852</v>
      </c>
      <c r="E39" s="85" t="s">
        <v>3097</v>
      </c>
      <c r="F39" s="55" t="s">
        <v>3052</v>
      </c>
      <c r="G39" s="55"/>
      <c r="H39" t="s">
        <v>3098</v>
      </c>
      <c r="I39" s="93" t="s">
        <v>3099</v>
      </c>
      <c r="J39" s="88"/>
    </row>
    <row r="40" spans="2:10" x14ac:dyDescent="0.3">
      <c r="B40" s="81">
        <f t="shared" si="0"/>
        <v>36</v>
      </c>
      <c r="C40" s="81">
        <v>310037</v>
      </c>
      <c r="D40" s="55" t="s">
        <v>862</v>
      </c>
      <c r="E40" s="55" t="s">
        <v>3100</v>
      </c>
      <c r="F40" s="55" t="s">
        <v>3101</v>
      </c>
      <c r="G40" s="55"/>
      <c r="H40" s="12" t="s">
        <v>3102</v>
      </c>
      <c r="I40" s="12">
        <v>6590714</v>
      </c>
      <c r="J40" s="88" t="s">
        <v>3037</v>
      </c>
    </row>
    <row r="41" spans="2:10" x14ac:dyDescent="0.3">
      <c r="B41" s="81">
        <f t="shared" si="0"/>
        <v>37</v>
      </c>
      <c r="C41" s="81">
        <v>310038</v>
      </c>
      <c r="D41" s="55" t="s">
        <v>175</v>
      </c>
      <c r="E41" s="55" t="s">
        <v>3103</v>
      </c>
      <c r="F41" s="55" t="s">
        <v>3104</v>
      </c>
      <c r="G41" s="55"/>
      <c r="H41" s="55" t="s">
        <v>3105</v>
      </c>
      <c r="I41">
        <v>801428</v>
      </c>
      <c r="J41" s="88" t="s">
        <v>3037</v>
      </c>
    </row>
    <row r="42" spans="2:10" x14ac:dyDescent="0.3">
      <c r="B42" s="81">
        <f t="shared" si="0"/>
        <v>38</v>
      </c>
      <c r="C42" s="81">
        <v>310039</v>
      </c>
      <c r="D42" s="55" t="s">
        <v>181</v>
      </c>
      <c r="E42" s="101" t="s">
        <v>3106</v>
      </c>
      <c r="F42" s="55" t="s">
        <v>3107</v>
      </c>
      <c r="G42" s="55"/>
      <c r="H42" s="97" t="s">
        <v>3108</v>
      </c>
      <c r="I42" s="97">
        <v>2302035</v>
      </c>
      <c r="J42" s="88" t="s">
        <v>3037</v>
      </c>
    </row>
    <row r="43" spans="2:10" x14ac:dyDescent="0.3">
      <c r="B43" s="81">
        <f t="shared" si="0"/>
        <v>39</v>
      </c>
      <c r="C43" s="81">
        <v>310040</v>
      </c>
      <c r="D43" s="55" t="s">
        <v>183</v>
      </c>
      <c r="E43" s="55" t="s">
        <v>3109</v>
      </c>
      <c r="F43" s="55" t="s">
        <v>3110</v>
      </c>
      <c r="G43" s="55"/>
      <c r="H43" s="12" t="s">
        <v>3111</v>
      </c>
      <c r="I43" s="82">
        <v>3520115853225</v>
      </c>
      <c r="J43" s="88" t="s">
        <v>3037</v>
      </c>
    </row>
    <row r="44" spans="2:10" x14ac:dyDescent="0.3">
      <c r="B44" s="81">
        <f t="shared" si="0"/>
        <v>40</v>
      </c>
      <c r="C44" s="81">
        <v>310041</v>
      </c>
      <c r="D44" s="55" t="s">
        <v>853</v>
      </c>
      <c r="E44" s="85" t="s">
        <v>3112</v>
      </c>
      <c r="F44" s="55" t="s">
        <v>3113</v>
      </c>
      <c r="G44" s="55"/>
      <c r="H44" t="s">
        <v>3114</v>
      </c>
      <c r="I44">
        <v>2663703</v>
      </c>
      <c r="J44" s="88" t="s">
        <v>3037</v>
      </c>
    </row>
    <row r="45" spans="2:10" x14ac:dyDescent="0.3">
      <c r="B45" s="81">
        <f t="shared" si="0"/>
        <v>41</v>
      </c>
      <c r="C45" s="81">
        <v>310042</v>
      </c>
      <c r="D45" s="55" t="s">
        <v>863</v>
      </c>
      <c r="E45" s="55" t="s">
        <v>2403</v>
      </c>
      <c r="F45" s="55" t="s">
        <v>3115</v>
      </c>
      <c r="G45" s="55"/>
      <c r="H45" s="98" t="s">
        <v>2405</v>
      </c>
      <c r="I45" s="98">
        <v>2824502</v>
      </c>
      <c r="J45" s="88" t="s">
        <v>3037</v>
      </c>
    </row>
    <row r="46" spans="2:10" x14ac:dyDescent="0.3">
      <c r="B46" s="81">
        <f t="shared" si="0"/>
        <v>42</v>
      </c>
      <c r="C46" s="81">
        <v>310043</v>
      </c>
      <c r="D46" s="55" t="s">
        <v>1929</v>
      </c>
      <c r="E46" s="55" t="s">
        <v>3116</v>
      </c>
      <c r="F46" s="55" t="s">
        <v>3117</v>
      </c>
      <c r="G46" s="55"/>
      <c r="H46" s="99" t="s">
        <v>3118</v>
      </c>
      <c r="I46">
        <v>8962394</v>
      </c>
      <c r="J46" s="88" t="s">
        <v>3037</v>
      </c>
    </row>
    <row r="47" spans="2:10" x14ac:dyDescent="0.3">
      <c r="B47" s="81">
        <f t="shared" si="0"/>
        <v>43</v>
      </c>
      <c r="C47" s="81">
        <v>310045</v>
      </c>
      <c r="D47" s="55" t="s">
        <v>1930</v>
      </c>
      <c r="E47" s="55" t="s">
        <v>3119</v>
      </c>
      <c r="F47" s="55" t="s">
        <v>3120</v>
      </c>
      <c r="G47" s="55"/>
      <c r="H47" s="55"/>
      <c r="I47" s="84"/>
      <c r="J47" s="88"/>
    </row>
    <row r="48" spans="2:10" x14ac:dyDescent="0.3">
      <c r="B48" s="81">
        <f t="shared" si="0"/>
        <v>44</v>
      </c>
      <c r="C48" s="81">
        <v>310046</v>
      </c>
      <c r="D48" s="55" t="s">
        <v>2225</v>
      </c>
      <c r="E48" s="55" t="s">
        <v>3121</v>
      </c>
      <c r="F48" s="55" t="s">
        <v>2950</v>
      </c>
      <c r="G48" s="55"/>
      <c r="H48" s="55" t="s">
        <v>3037</v>
      </c>
      <c r="I48" s="55" t="s">
        <v>3037</v>
      </c>
      <c r="J48" s="55" t="s">
        <v>3037</v>
      </c>
    </row>
    <row r="49" spans="2:10" x14ac:dyDescent="0.3">
      <c r="B49" s="81">
        <f t="shared" si="0"/>
        <v>45</v>
      </c>
      <c r="C49" s="81">
        <v>310047</v>
      </c>
      <c r="D49" s="55" t="s">
        <v>3260</v>
      </c>
      <c r="E49" s="55" t="s">
        <v>3363</v>
      </c>
      <c r="F49" s="55" t="s">
        <v>3364</v>
      </c>
      <c r="G49" s="55"/>
      <c r="H49" s="55"/>
      <c r="I49" s="84"/>
      <c r="J49" s="88"/>
    </row>
    <row r="50" spans="2:10" x14ac:dyDescent="0.3">
      <c r="B50" s="81">
        <f t="shared" si="0"/>
        <v>46</v>
      </c>
      <c r="C50" s="81">
        <v>310048</v>
      </c>
      <c r="D50" s="55" t="s">
        <v>3266</v>
      </c>
      <c r="E50" s="55" t="s">
        <v>3365</v>
      </c>
      <c r="F50" s="55"/>
      <c r="G50" s="55"/>
      <c r="H50" s="55"/>
      <c r="I50" s="84"/>
      <c r="J50" s="88"/>
    </row>
    <row r="51" spans="2:10" x14ac:dyDescent="0.3">
      <c r="B51" s="81">
        <f t="shared" si="0"/>
        <v>47</v>
      </c>
      <c r="C51" s="81">
        <v>310049</v>
      </c>
      <c r="D51" s="55" t="s">
        <v>3267</v>
      </c>
      <c r="E51" s="85" t="s">
        <v>3366</v>
      </c>
      <c r="F51" s="55" t="s">
        <v>3367</v>
      </c>
      <c r="G51" s="55"/>
      <c r="H51" s="55"/>
      <c r="I51" s="84"/>
      <c r="J51" s="88"/>
    </row>
    <row r="52" spans="2:10" x14ac:dyDescent="0.3">
      <c r="B52" s="81">
        <f t="shared" si="0"/>
        <v>48</v>
      </c>
      <c r="C52" s="81">
        <v>310050</v>
      </c>
      <c r="D52" s="55" t="s">
        <v>3268</v>
      </c>
      <c r="E52" s="55" t="s">
        <v>3368</v>
      </c>
      <c r="F52" s="55" t="s">
        <v>3369</v>
      </c>
      <c r="G52" s="55"/>
      <c r="H52" s="55"/>
      <c r="I52" s="84"/>
      <c r="J52" s="88"/>
    </row>
    <row r="53" spans="2:10" x14ac:dyDescent="0.3">
      <c r="B53" s="81">
        <f t="shared" si="0"/>
        <v>49</v>
      </c>
      <c r="C53" s="81">
        <v>310051</v>
      </c>
      <c r="D53" s="55" t="s">
        <v>3269</v>
      </c>
      <c r="E53" s="55" t="s">
        <v>3370</v>
      </c>
      <c r="F53" s="55" t="s">
        <v>3371</v>
      </c>
      <c r="G53" s="55"/>
      <c r="H53" s="55"/>
      <c r="I53" s="84"/>
      <c r="J53" s="88"/>
    </row>
    <row r="54" spans="2:10" x14ac:dyDescent="0.3">
      <c r="B54" s="81">
        <f t="shared" si="0"/>
        <v>50</v>
      </c>
      <c r="C54" s="81">
        <v>310052</v>
      </c>
      <c r="D54" s="55" t="s">
        <v>3270</v>
      </c>
      <c r="E54" s="55" t="s">
        <v>3372</v>
      </c>
      <c r="F54" s="55" t="s">
        <v>3373</v>
      </c>
      <c r="G54" s="55"/>
      <c r="H54" s="55"/>
      <c r="I54" s="84"/>
      <c r="J54" s="88"/>
    </row>
    <row r="55" spans="2:10" x14ac:dyDescent="0.3">
      <c r="B55" s="81">
        <f t="shared" si="0"/>
        <v>51</v>
      </c>
      <c r="C55" s="81">
        <v>310053</v>
      </c>
      <c r="D55" s="55" t="s">
        <v>3271</v>
      </c>
      <c r="E55" s="55" t="s">
        <v>3374</v>
      </c>
      <c r="F55" s="55" t="s">
        <v>3375</v>
      </c>
      <c r="G55" s="55"/>
      <c r="H55" s="55"/>
      <c r="I55" s="84"/>
      <c r="J55" s="88"/>
    </row>
    <row r="56" spans="2:10" x14ac:dyDescent="0.3">
      <c r="B56" s="81">
        <f t="shared" si="0"/>
        <v>52</v>
      </c>
      <c r="C56" s="81">
        <v>310054</v>
      </c>
      <c r="D56" s="55" t="s">
        <v>3272</v>
      </c>
      <c r="E56" s="55" t="s">
        <v>3376</v>
      </c>
      <c r="F56" s="55" t="s">
        <v>3377</v>
      </c>
      <c r="G56" s="55"/>
      <c r="H56" s="55"/>
      <c r="I56" s="84"/>
      <c r="J56" s="88"/>
    </row>
    <row r="57" spans="2:10" x14ac:dyDescent="0.3">
      <c r="B57" s="81">
        <f t="shared" si="0"/>
        <v>53</v>
      </c>
      <c r="C57" s="81">
        <v>310055</v>
      </c>
      <c r="D57" s="55" t="s">
        <v>3273</v>
      </c>
      <c r="E57" s="55" t="s">
        <v>3378</v>
      </c>
      <c r="F57" s="55" t="s">
        <v>3379</v>
      </c>
      <c r="G57" s="55"/>
      <c r="H57" s="55"/>
      <c r="I57" s="84"/>
      <c r="J57" s="88"/>
    </row>
    <row r="58" spans="2:10" x14ac:dyDescent="0.3">
      <c r="B58" s="81">
        <f t="shared" si="0"/>
        <v>54</v>
      </c>
      <c r="C58" s="81">
        <v>310056</v>
      </c>
      <c r="D58" s="55" t="s">
        <v>3274</v>
      </c>
      <c r="E58" s="55" t="s">
        <v>3380</v>
      </c>
      <c r="F58" s="55" t="s">
        <v>3381</v>
      </c>
      <c r="G58" s="55"/>
      <c r="H58" s="55"/>
      <c r="I58" s="84"/>
      <c r="J58" s="88"/>
    </row>
    <row r="59" spans="2:10" x14ac:dyDescent="0.3">
      <c r="B59" s="81">
        <f t="shared" si="0"/>
        <v>55</v>
      </c>
      <c r="C59" s="81">
        <v>310057</v>
      </c>
      <c r="D59" s="55" t="s">
        <v>3275</v>
      </c>
      <c r="E59" s="55" t="s">
        <v>3382</v>
      </c>
      <c r="F59" s="55" t="s">
        <v>3383</v>
      </c>
      <c r="G59" s="55"/>
      <c r="H59" s="55"/>
      <c r="I59" s="84"/>
      <c r="J59" s="88"/>
    </row>
    <row r="60" spans="2:10" x14ac:dyDescent="0.3">
      <c r="B60" s="81">
        <f t="shared" si="0"/>
        <v>56</v>
      </c>
      <c r="C60" s="81">
        <v>310058</v>
      </c>
      <c r="D60" s="55" t="s">
        <v>3276</v>
      </c>
      <c r="E60" s="55" t="s">
        <v>3384</v>
      </c>
      <c r="F60" s="55" t="s">
        <v>3385</v>
      </c>
      <c r="G60" s="55"/>
      <c r="H60" s="55"/>
      <c r="I60" s="84"/>
      <c r="J60" s="88"/>
    </row>
    <row r="61" spans="2:10" x14ac:dyDescent="0.3">
      <c r="B61" s="81">
        <f t="shared" si="0"/>
        <v>57</v>
      </c>
      <c r="C61" s="81">
        <v>310059</v>
      </c>
      <c r="D61" s="55" t="s">
        <v>3277</v>
      </c>
      <c r="E61" s="55" t="s">
        <v>3386</v>
      </c>
      <c r="F61" s="55" t="s">
        <v>3387</v>
      </c>
      <c r="G61" s="55"/>
      <c r="H61" s="55"/>
      <c r="I61" s="84"/>
      <c r="J61" s="88"/>
    </row>
    <row r="62" spans="2:10" x14ac:dyDescent="0.3">
      <c r="B62" s="81">
        <f t="shared" si="0"/>
        <v>58</v>
      </c>
      <c r="C62" s="81">
        <v>310060</v>
      </c>
      <c r="D62" s="55" t="s">
        <v>3278</v>
      </c>
      <c r="E62" s="55" t="s">
        <v>3388</v>
      </c>
      <c r="F62" s="55" t="s">
        <v>3389</v>
      </c>
      <c r="G62" s="55"/>
      <c r="H62" s="55"/>
      <c r="I62" s="84"/>
      <c r="J62" s="88"/>
    </row>
    <row r="63" spans="2:10" x14ac:dyDescent="0.3">
      <c r="B63" s="81">
        <f t="shared" si="0"/>
        <v>59</v>
      </c>
      <c r="C63" s="81">
        <v>310061</v>
      </c>
      <c r="D63" s="55" t="s">
        <v>3279</v>
      </c>
      <c r="E63" s="55" t="s">
        <v>3390</v>
      </c>
      <c r="F63" s="55" t="s">
        <v>3391</v>
      </c>
      <c r="G63" s="55"/>
      <c r="H63" s="55"/>
      <c r="I63" s="84"/>
      <c r="J63" s="88"/>
    </row>
    <row r="64" spans="2:10" x14ac:dyDescent="0.3">
      <c r="B64" s="81">
        <f t="shared" si="0"/>
        <v>60</v>
      </c>
      <c r="C64" s="81">
        <v>310062</v>
      </c>
      <c r="D64" s="55" t="s">
        <v>3280</v>
      </c>
      <c r="E64" s="55" t="s">
        <v>3392</v>
      </c>
      <c r="F64" s="55" t="s">
        <v>3393</v>
      </c>
      <c r="G64" s="55"/>
      <c r="H64" s="55"/>
      <c r="I64" s="84"/>
      <c r="J64" s="88"/>
    </row>
    <row r="65" spans="2:10" x14ac:dyDescent="0.3">
      <c r="B65" s="81">
        <f t="shared" si="0"/>
        <v>61</v>
      </c>
      <c r="C65" s="81">
        <v>310063</v>
      </c>
      <c r="D65" s="55" t="s">
        <v>3281</v>
      </c>
      <c r="E65" s="55" t="s">
        <v>3394</v>
      </c>
      <c r="F65" s="55" t="s">
        <v>3395</v>
      </c>
      <c r="G65" s="55"/>
      <c r="H65" s="55"/>
      <c r="I65" s="84"/>
      <c r="J65" s="88"/>
    </row>
    <row r="66" spans="2:10" x14ac:dyDescent="0.3">
      <c r="B66" s="81">
        <f t="shared" si="0"/>
        <v>62</v>
      </c>
      <c r="C66" s="81">
        <v>310064</v>
      </c>
      <c r="D66" s="55" t="s">
        <v>3282</v>
      </c>
      <c r="E66" s="55" t="s">
        <v>3396</v>
      </c>
      <c r="F66" s="55" t="s">
        <v>3397</v>
      </c>
      <c r="G66" s="55"/>
      <c r="H66" s="55"/>
      <c r="I66" s="84"/>
      <c r="J66" s="88"/>
    </row>
    <row r="67" spans="2:10" x14ac:dyDescent="0.3">
      <c r="B67" s="81">
        <f t="shared" si="0"/>
        <v>63</v>
      </c>
      <c r="C67" s="81">
        <v>310065</v>
      </c>
      <c r="D67" s="55" t="s">
        <v>3283</v>
      </c>
      <c r="E67" s="55" t="s">
        <v>3398</v>
      </c>
      <c r="F67" s="55" t="s">
        <v>3399</v>
      </c>
      <c r="G67" s="55"/>
      <c r="H67" s="55"/>
      <c r="I67" s="84"/>
      <c r="J67" s="88"/>
    </row>
    <row r="68" spans="2:10" x14ac:dyDescent="0.3">
      <c r="B68" s="81">
        <f t="shared" si="0"/>
        <v>64</v>
      </c>
      <c r="C68" s="81">
        <v>310066</v>
      </c>
      <c r="D68" s="55" t="s">
        <v>3284</v>
      </c>
      <c r="E68" s="55" t="s">
        <v>3400</v>
      </c>
      <c r="F68" s="55" t="s">
        <v>3401</v>
      </c>
      <c r="G68" s="55"/>
      <c r="H68" s="55"/>
      <c r="I68" s="84"/>
      <c r="J68" s="88"/>
    </row>
    <row r="69" spans="2:10" x14ac:dyDescent="0.3">
      <c r="B69" s="81">
        <f t="shared" si="0"/>
        <v>65</v>
      </c>
      <c r="C69" s="81">
        <v>310067</v>
      </c>
      <c r="D69" s="55" t="s">
        <v>3285</v>
      </c>
      <c r="E69" s="55" t="s">
        <v>3402</v>
      </c>
      <c r="F69" s="55" t="s">
        <v>3403</v>
      </c>
      <c r="G69" s="55"/>
      <c r="H69" s="55"/>
      <c r="I69" s="84"/>
      <c r="J69" s="88"/>
    </row>
    <row r="70" spans="2:10" x14ac:dyDescent="0.3">
      <c r="B70" s="81">
        <f t="shared" si="0"/>
        <v>66</v>
      </c>
      <c r="C70" s="81">
        <v>310068</v>
      </c>
      <c r="D70" s="55" t="s">
        <v>3404</v>
      </c>
      <c r="E70" s="55" t="s">
        <v>3405</v>
      </c>
      <c r="F70" s="55" t="s">
        <v>3406</v>
      </c>
      <c r="G70" s="55"/>
      <c r="H70" s="55"/>
      <c r="I70" s="84"/>
      <c r="J70" s="88"/>
    </row>
    <row r="71" spans="2:10" x14ac:dyDescent="0.3">
      <c r="B71" s="81">
        <f t="shared" ref="B71:B79" si="1">B70+1</f>
        <v>67</v>
      </c>
      <c r="C71" s="81">
        <v>310069</v>
      </c>
      <c r="D71" s="55" t="s">
        <v>3287</v>
      </c>
      <c r="E71" s="55" t="s">
        <v>3407</v>
      </c>
      <c r="F71" s="55" t="s">
        <v>3408</v>
      </c>
      <c r="G71" s="55"/>
      <c r="H71" s="55"/>
      <c r="I71" s="84"/>
      <c r="J71" s="88"/>
    </row>
    <row r="72" spans="2:10" x14ac:dyDescent="0.3">
      <c r="B72" s="81">
        <f t="shared" si="1"/>
        <v>68</v>
      </c>
      <c r="C72" s="81">
        <v>310070</v>
      </c>
      <c r="D72" s="55" t="s">
        <v>3288</v>
      </c>
      <c r="E72" s="55" t="s">
        <v>3409</v>
      </c>
      <c r="F72" s="55" t="s">
        <v>3410</v>
      </c>
      <c r="G72" s="55"/>
      <c r="H72" s="55"/>
      <c r="I72" s="84"/>
      <c r="J72" s="88"/>
    </row>
    <row r="73" spans="2:10" x14ac:dyDescent="0.3">
      <c r="B73" s="81">
        <f t="shared" si="1"/>
        <v>69</v>
      </c>
      <c r="C73" s="81">
        <v>310071</v>
      </c>
      <c r="D73" s="55" t="s">
        <v>3289</v>
      </c>
      <c r="E73" s="55" t="s">
        <v>3411</v>
      </c>
      <c r="F73" s="55" t="s">
        <v>3412</v>
      </c>
      <c r="G73" s="55"/>
      <c r="H73" s="55"/>
      <c r="I73" s="84"/>
      <c r="J73" s="88"/>
    </row>
    <row r="74" spans="2:10" x14ac:dyDescent="0.3">
      <c r="B74" s="81">
        <f t="shared" si="1"/>
        <v>70</v>
      </c>
      <c r="C74" s="81">
        <v>310072</v>
      </c>
      <c r="D74" s="55" t="s">
        <v>3290</v>
      </c>
      <c r="E74" s="55" t="s">
        <v>3413</v>
      </c>
      <c r="F74" s="55" t="s">
        <v>3414</v>
      </c>
      <c r="G74" s="55"/>
      <c r="H74" s="55"/>
      <c r="I74" s="84"/>
      <c r="J74" s="88"/>
    </row>
    <row r="75" spans="2:10" x14ac:dyDescent="0.3">
      <c r="B75" s="81">
        <f t="shared" si="1"/>
        <v>71</v>
      </c>
      <c r="C75" s="81">
        <v>310073</v>
      </c>
      <c r="D75" s="55" t="s">
        <v>3265</v>
      </c>
      <c r="E75" s="55" t="s">
        <v>3352</v>
      </c>
      <c r="F75" s="55" t="s">
        <v>3415</v>
      </c>
      <c r="G75" s="55"/>
      <c r="H75" s="55"/>
      <c r="I75" s="84"/>
      <c r="J75" s="88"/>
    </row>
    <row r="76" spans="2:10" x14ac:dyDescent="0.3">
      <c r="B76" s="81">
        <f t="shared" si="1"/>
        <v>72</v>
      </c>
      <c r="C76" s="81">
        <v>310074</v>
      </c>
      <c r="D76" s="55" t="s">
        <v>3296</v>
      </c>
      <c r="E76" s="55" t="s">
        <v>3416</v>
      </c>
      <c r="F76" s="55" t="s">
        <v>3417</v>
      </c>
      <c r="G76" s="55"/>
      <c r="H76" s="55"/>
      <c r="I76" s="84"/>
      <c r="J76" s="88"/>
    </row>
    <row r="77" spans="2:10" x14ac:dyDescent="0.3">
      <c r="B77" s="81">
        <f t="shared" si="1"/>
        <v>73</v>
      </c>
      <c r="C77" s="81">
        <v>310075</v>
      </c>
      <c r="D77" s="55" t="s">
        <v>3297</v>
      </c>
      <c r="E77" s="55" t="s">
        <v>3121</v>
      </c>
      <c r="F77" s="55" t="s">
        <v>2950</v>
      </c>
      <c r="G77" s="55"/>
      <c r="H77" s="55"/>
      <c r="I77" s="84"/>
      <c r="J77" s="88"/>
    </row>
    <row r="78" spans="2:10" x14ac:dyDescent="0.3">
      <c r="B78" s="81">
        <f t="shared" si="1"/>
        <v>74</v>
      </c>
      <c r="C78" s="81">
        <v>310076</v>
      </c>
      <c r="D78" s="55" t="s">
        <v>3301</v>
      </c>
      <c r="E78" s="55" t="s">
        <v>3418</v>
      </c>
      <c r="F78" s="55" t="s">
        <v>3419</v>
      </c>
      <c r="G78" s="55"/>
      <c r="H78" s="55"/>
      <c r="I78" s="84"/>
      <c r="J78" s="88"/>
    </row>
    <row r="79" spans="2:10" x14ac:dyDescent="0.3">
      <c r="B79" s="81">
        <f t="shared" si="1"/>
        <v>75</v>
      </c>
      <c r="C79" s="81">
        <v>310077</v>
      </c>
      <c r="D79" s="55" t="s">
        <v>3303</v>
      </c>
      <c r="E79" s="55" t="s">
        <v>3420</v>
      </c>
      <c r="F79" s="55" t="s">
        <v>3421</v>
      </c>
      <c r="G79" s="55"/>
      <c r="H79" s="55"/>
      <c r="I79" s="84"/>
      <c r="J79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0AE9-517E-45D3-ABB0-7ABA3B6EDE3A}">
  <dimension ref="A2:H58"/>
  <sheetViews>
    <sheetView showGridLines="0" topLeftCell="A4" workbookViewId="0">
      <selection activeCell="D7" sqref="D7"/>
    </sheetView>
  </sheetViews>
  <sheetFormatPr defaultRowHeight="14.4" x14ac:dyDescent="0.3"/>
  <cols>
    <col min="4" max="4" width="38.77734375" bestFit="1" customWidth="1"/>
    <col min="5" max="5" width="14.6640625" style="7" bestFit="1" customWidth="1"/>
    <col min="6" max="6" width="69.44140625" customWidth="1"/>
    <col min="7" max="7" width="16" customWidth="1"/>
    <col min="8" max="8" width="13.21875" bestFit="1" customWidth="1"/>
  </cols>
  <sheetData>
    <row r="2" spans="1:8" x14ac:dyDescent="0.3">
      <c r="B2" s="79" t="s">
        <v>3122</v>
      </c>
      <c r="C2" s="79"/>
    </row>
    <row r="4" spans="1:8" x14ac:dyDescent="0.3">
      <c r="B4" s="80" t="s">
        <v>2345</v>
      </c>
      <c r="C4" s="80" t="s">
        <v>1176</v>
      </c>
      <c r="D4" s="80" t="s">
        <v>3123</v>
      </c>
      <c r="E4" s="80" t="s">
        <v>3124</v>
      </c>
      <c r="F4" s="80" t="s">
        <v>2348</v>
      </c>
      <c r="G4" s="80" t="s">
        <v>2349</v>
      </c>
      <c r="H4" s="80" t="s">
        <v>3125</v>
      </c>
    </row>
    <row r="5" spans="1:8" x14ac:dyDescent="0.3">
      <c r="B5" s="81">
        <v>1</v>
      </c>
      <c r="C5" s="81" t="s">
        <v>2138</v>
      </c>
      <c r="D5" s="55" t="s">
        <v>7</v>
      </c>
      <c r="E5" s="81"/>
      <c r="F5" s="110" t="s">
        <v>3126</v>
      </c>
      <c r="G5" s="55"/>
      <c r="H5" s="55" t="s">
        <v>2950</v>
      </c>
    </row>
    <row r="6" spans="1:8" x14ac:dyDescent="0.3">
      <c r="B6" s="81">
        <f>B5+1</f>
        <v>2</v>
      </c>
      <c r="C6" s="81" t="s">
        <v>1177</v>
      </c>
      <c r="D6" s="55" t="s">
        <v>2141</v>
      </c>
      <c r="E6" s="81"/>
      <c r="F6" s="110" t="s">
        <v>3126</v>
      </c>
      <c r="G6" s="55"/>
      <c r="H6" s="55" t="s">
        <v>2950</v>
      </c>
    </row>
    <row r="7" spans="1:8" x14ac:dyDescent="0.3">
      <c r="B7" s="81">
        <f t="shared" ref="B7:B58" si="0">B6+1</f>
        <v>3</v>
      </c>
      <c r="C7" s="81" t="s">
        <v>1178</v>
      </c>
      <c r="D7" s="55" t="s">
        <v>2143</v>
      </c>
      <c r="E7" s="81"/>
      <c r="F7" s="110" t="s">
        <v>3126</v>
      </c>
      <c r="G7" s="55"/>
      <c r="H7" s="55" t="s">
        <v>2950</v>
      </c>
    </row>
    <row r="8" spans="1:8" x14ac:dyDescent="0.3">
      <c r="B8" s="81">
        <f t="shared" si="0"/>
        <v>4</v>
      </c>
      <c r="C8" s="81" t="s">
        <v>1179</v>
      </c>
      <c r="D8" s="55" t="s">
        <v>2145</v>
      </c>
      <c r="E8" s="81"/>
      <c r="F8" s="110" t="s">
        <v>3126</v>
      </c>
      <c r="G8" s="55"/>
      <c r="H8" s="55" t="s">
        <v>2950</v>
      </c>
    </row>
    <row r="9" spans="1:8" x14ac:dyDescent="0.3">
      <c r="B9" s="81">
        <f t="shared" si="0"/>
        <v>5</v>
      </c>
      <c r="C9" s="81" t="s">
        <v>1179</v>
      </c>
      <c r="D9" s="55" t="s">
        <v>2148</v>
      </c>
      <c r="E9" s="81"/>
      <c r="F9" s="110" t="s">
        <v>3126</v>
      </c>
      <c r="G9" s="55"/>
      <c r="H9" s="55" t="s">
        <v>2950</v>
      </c>
    </row>
    <row r="10" spans="1:8" x14ac:dyDescent="0.3">
      <c r="B10" s="81">
        <f t="shared" si="0"/>
        <v>6</v>
      </c>
      <c r="C10" s="81" t="s">
        <v>1180</v>
      </c>
      <c r="D10" s="55" t="s">
        <v>2149</v>
      </c>
      <c r="E10" s="81"/>
      <c r="F10" s="110" t="s">
        <v>3126</v>
      </c>
      <c r="G10" s="55"/>
      <c r="H10" s="55" t="s">
        <v>2950</v>
      </c>
    </row>
    <row r="11" spans="1:8" x14ac:dyDescent="0.3">
      <c r="B11" s="81">
        <f t="shared" si="0"/>
        <v>7</v>
      </c>
      <c r="C11" s="81" t="s">
        <v>2150</v>
      </c>
      <c r="D11" s="55" t="s">
        <v>2151</v>
      </c>
      <c r="E11" s="81"/>
      <c r="F11" s="110" t="s">
        <v>3126</v>
      </c>
      <c r="G11" s="55"/>
      <c r="H11" s="55" t="s">
        <v>2950</v>
      </c>
    </row>
    <row r="12" spans="1:8" x14ac:dyDescent="0.3">
      <c r="B12" s="81">
        <f t="shared" si="0"/>
        <v>8</v>
      </c>
      <c r="C12" s="81" t="s">
        <v>2152</v>
      </c>
      <c r="D12" s="55" t="s">
        <v>2153</v>
      </c>
      <c r="E12" s="81"/>
      <c r="F12" s="110" t="s">
        <v>3126</v>
      </c>
      <c r="G12" s="55"/>
      <c r="H12" s="55" t="s">
        <v>2950</v>
      </c>
    </row>
    <row r="13" spans="1:8" x14ac:dyDescent="0.3">
      <c r="B13" s="81">
        <f t="shared" si="0"/>
        <v>9</v>
      </c>
      <c r="C13" s="81" t="s">
        <v>2154</v>
      </c>
      <c r="D13" s="55" t="s">
        <v>2155</v>
      </c>
      <c r="E13" s="81"/>
      <c r="F13" s="110" t="s">
        <v>3126</v>
      </c>
      <c r="G13" s="55"/>
      <c r="H13" s="55" t="s">
        <v>2950</v>
      </c>
    </row>
    <row r="14" spans="1:8" x14ac:dyDescent="0.3">
      <c r="B14" s="81">
        <f t="shared" si="0"/>
        <v>10</v>
      </c>
      <c r="C14" s="81" t="s">
        <v>2156</v>
      </c>
      <c r="D14" s="55" t="s">
        <v>2157</v>
      </c>
      <c r="E14" s="81"/>
      <c r="F14" s="111" t="s">
        <v>3127</v>
      </c>
      <c r="G14" s="55" t="s">
        <v>3128</v>
      </c>
      <c r="H14" s="55" t="s">
        <v>3129</v>
      </c>
    </row>
    <row r="15" spans="1:8" x14ac:dyDescent="0.3">
      <c r="A15" s="81"/>
      <c r="B15" s="81">
        <f t="shared" si="0"/>
        <v>11</v>
      </c>
      <c r="C15" s="81" t="s">
        <v>2340</v>
      </c>
      <c r="D15" s="55" t="s">
        <v>2159</v>
      </c>
      <c r="E15" s="81">
        <v>125618</v>
      </c>
      <c r="F15" s="110" t="s">
        <v>3130</v>
      </c>
      <c r="G15" s="55" t="s">
        <v>3131</v>
      </c>
      <c r="H15" s="55" t="s">
        <v>3132</v>
      </c>
    </row>
    <row r="16" spans="1:8" x14ac:dyDescent="0.3">
      <c r="B16" s="81">
        <f t="shared" si="0"/>
        <v>12</v>
      </c>
      <c r="C16" s="81" t="s">
        <v>2160</v>
      </c>
      <c r="D16" s="55" t="s">
        <v>2161</v>
      </c>
      <c r="E16" s="81">
        <v>125629</v>
      </c>
      <c r="F16" s="110" t="s">
        <v>3133</v>
      </c>
      <c r="G16" s="55" t="s">
        <v>3134</v>
      </c>
      <c r="H16" s="55" t="s">
        <v>3135</v>
      </c>
    </row>
    <row r="17" spans="2:8" x14ac:dyDescent="0.3">
      <c r="B17" s="81">
        <f t="shared" si="0"/>
        <v>13</v>
      </c>
      <c r="C17" s="81" t="s">
        <v>2162</v>
      </c>
      <c r="D17" s="55" t="s">
        <v>2163</v>
      </c>
      <c r="E17" s="81">
        <v>125633</v>
      </c>
      <c r="F17" s="110" t="s">
        <v>3136</v>
      </c>
      <c r="G17" s="55" t="s">
        <v>3137</v>
      </c>
      <c r="H17" s="55" t="s">
        <v>3138</v>
      </c>
    </row>
    <row r="18" spans="2:8" x14ac:dyDescent="0.3">
      <c r="B18" s="81">
        <f t="shared" si="0"/>
        <v>14</v>
      </c>
      <c r="C18" s="81" t="s">
        <v>2165</v>
      </c>
      <c r="D18" s="55" t="s">
        <v>2166</v>
      </c>
      <c r="E18" s="81">
        <v>125630</v>
      </c>
      <c r="F18" s="110" t="s">
        <v>3139</v>
      </c>
      <c r="G18" s="55" t="s">
        <v>3140</v>
      </c>
      <c r="H18" s="55" t="s">
        <v>3141</v>
      </c>
    </row>
    <row r="19" spans="2:8" x14ac:dyDescent="0.3">
      <c r="B19" s="81">
        <f t="shared" si="0"/>
        <v>15</v>
      </c>
      <c r="C19" s="81" t="s">
        <v>2168</v>
      </c>
      <c r="D19" s="55" t="s">
        <v>2169</v>
      </c>
      <c r="E19" s="81">
        <v>125632</v>
      </c>
      <c r="F19" s="110" t="s">
        <v>3142</v>
      </c>
      <c r="G19" s="55" t="s">
        <v>3143</v>
      </c>
      <c r="H19" s="55" t="s">
        <v>3144</v>
      </c>
    </row>
    <row r="20" spans="2:8" x14ac:dyDescent="0.3">
      <c r="B20" s="81">
        <f t="shared" si="0"/>
        <v>16</v>
      </c>
      <c r="C20" s="81" t="s">
        <v>1895</v>
      </c>
      <c r="D20" s="55" t="s">
        <v>2174</v>
      </c>
      <c r="E20" s="81">
        <v>125622</v>
      </c>
      <c r="F20" s="110" t="s">
        <v>3148</v>
      </c>
      <c r="G20" s="55" t="s">
        <v>3149</v>
      </c>
      <c r="H20" s="55" t="s">
        <v>3150</v>
      </c>
    </row>
    <row r="21" spans="2:8" x14ac:dyDescent="0.3">
      <c r="B21" s="81">
        <f t="shared" si="0"/>
        <v>17</v>
      </c>
      <c r="C21" s="81" t="s">
        <v>2177</v>
      </c>
      <c r="D21" s="55" t="s">
        <v>2341</v>
      </c>
      <c r="E21" s="81">
        <v>136253</v>
      </c>
      <c r="F21" s="110" t="s">
        <v>3151</v>
      </c>
      <c r="G21" s="55" t="s">
        <v>3152</v>
      </c>
      <c r="H21" s="55" t="s">
        <v>3153</v>
      </c>
    </row>
    <row r="22" spans="2:8" x14ac:dyDescent="0.3">
      <c r="B22" s="81">
        <f t="shared" si="0"/>
        <v>18</v>
      </c>
      <c r="C22" s="81" t="s">
        <v>2181</v>
      </c>
      <c r="D22" s="55" t="s">
        <v>2178</v>
      </c>
      <c r="E22" s="81"/>
      <c r="F22" s="110" t="s">
        <v>3154</v>
      </c>
      <c r="G22" s="55"/>
      <c r="H22" s="55"/>
    </row>
    <row r="23" spans="2:8" x14ac:dyDescent="0.3">
      <c r="B23" s="81">
        <f t="shared" si="0"/>
        <v>19</v>
      </c>
      <c r="C23" s="81" t="s">
        <v>2183</v>
      </c>
      <c r="D23" s="55" t="s">
        <v>2182</v>
      </c>
      <c r="E23" s="81">
        <v>125641</v>
      </c>
      <c r="F23" s="110" t="s">
        <v>3155</v>
      </c>
      <c r="G23" s="55" t="s">
        <v>3156</v>
      </c>
      <c r="H23" s="55" t="s">
        <v>3157</v>
      </c>
    </row>
    <row r="24" spans="2:8" x14ac:dyDescent="0.3">
      <c r="B24" s="81">
        <f t="shared" si="0"/>
        <v>20</v>
      </c>
      <c r="C24" s="81" t="s">
        <v>2185</v>
      </c>
      <c r="D24" s="55" t="s">
        <v>2184</v>
      </c>
      <c r="E24" s="81">
        <v>125645</v>
      </c>
      <c r="F24" s="110" t="s">
        <v>3158</v>
      </c>
      <c r="G24" s="55" t="s">
        <v>3159</v>
      </c>
      <c r="H24" s="55" t="s">
        <v>3160</v>
      </c>
    </row>
    <row r="25" spans="2:8" x14ac:dyDescent="0.3">
      <c r="B25" s="81">
        <f t="shared" si="0"/>
        <v>21</v>
      </c>
      <c r="C25" s="81" t="s">
        <v>2187</v>
      </c>
      <c r="D25" s="55" t="s">
        <v>2186</v>
      </c>
      <c r="E25" s="81">
        <v>174500</v>
      </c>
      <c r="F25" s="110" t="s">
        <v>3161</v>
      </c>
      <c r="G25" s="55" t="s">
        <v>3162</v>
      </c>
      <c r="H25" s="55" t="s">
        <v>3163</v>
      </c>
    </row>
    <row r="26" spans="2:8" x14ac:dyDescent="0.3">
      <c r="B26" s="81">
        <f t="shared" si="0"/>
        <v>22</v>
      </c>
      <c r="C26" s="81" t="s">
        <v>2342</v>
      </c>
      <c r="D26" s="55" t="s">
        <v>2188</v>
      </c>
      <c r="E26" s="81">
        <v>132690</v>
      </c>
      <c r="F26" s="110" t="s">
        <v>3164</v>
      </c>
      <c r="G26" s="55" t="s">
        <v>3165</v>
      </c>
      <c r="H26" s="55" t="s">
        <v>3166</v>
      </c>
    </row>
    <row r="27" spans="2:8" x14ac:dyDescent="0.3">
      <c r="B27" s="81">
        <f t="shared" si="0"/>
        <v>23</v>
      </c>
      <c r="C27" s="81" t="s">
        <v>2190</v>
      </c>
      <c r="D27" s="55" t="s">
        <v>2189</v>
      </c>
      <c r="E27" s="81">
        <v>154084</v>
      </c>
      <c r="F27" s="110" t="s">
        <v>3167</v>
      </c>
      <c r="G27" s="55" t="s">
        <v>3168</v>
      </c>
      <c r="H27" s="55" t="s">
        <v>3169</v>
      </c>
    </row>
    <row r="28" spans="2:8" x14ac:dyDescent="0.3">
      <c r="B28" s="81">
        <f t="shared" si="0"/>
        <v>24</v>
      </c>
      <c r="C28" s="81" t="s">
        <v>2192</v>
      </c>
      <c r="D28" s="55" t="s">
        <v>2191</v>
      </c>
      <c r="E28" s="81">
        <v>125643</v>
      </c>
      <c r="F28" s="110" t="s">
        <v>3170</v>
      </c>
      <c r="G28" s="55" t="s">
        <v>3171</v>
      </c>
      <c r="H28" s="55" t="s">
        <v>3172</v>
      </c>
    </row>
    <row r="29" spans="2:8" x14ac:dyDescent="0.3">
      <c r="B29" s="81">
        <f t="shared" si="0"/>
        <v>25</v>
      </c>
      <c r="C29" s="81" t="s">
        <v>1896</v>
      </c>
      <c r="D29" s="55" t="s">
        <v>2193</v>
      </c>
      <c r="E29" s="81">
        <v>125644</v>
      </c>
      <c r="F29" s="110" t="s">
        <v>3173</v>
      </c>
      <c r="G29" s="55" t="s">
        <v>3174</v>
      </c>
      <c r="H29" s="55" t="s">
        <v>3175</v>
      </c>
    </row>
    <row r="30" spans="2:8" x14ac:dyDescent="0.3">
      <c r="B30" s="81">
        <f t="shared" si="0"/>
        <v>26</v>
      </c>
      <c r="C30" s="81" t="s">
        <v>2343</v>
      </c>
      <c r="D30" s="55" t="s">
        <v>2194</v>
      </c>
      <c r="E30" s="81">
        <v>127340</v>
      </c>
      <c r="F30" s="110" t="s">
        <v>3176</v>
      </c>
      <c r="G30" s="55" t="s">
        <v>2950</v>
      </c>
      <c r="H30" s="55" t="s">
        <v>2950</v>
      </c>
    </row>
    <row r="31" spans="2:8" x14ac:dyDescent="0.3">
      <c r="B31" s="81">
        <f t="shared" si="0"/>
        <v>27</v>
      </c>
      <c r="C31" s="81" t="s">
        <v>3291</v>
      </c>
      <c r="D31" s="55" t="s">
        <v>2171</v>
      </c>
      <c r="E31" s="81">
        <v>125619</v>
      </c>
      <c r="F31" s="110" t="s">
        <v>3145</v>
      </c>
      <c r="G31" s="55" t="s">
        <v>3146</v>
      </c>
      <c r="H31" s="55" t="s">
        <v>3147</v>
      </c>
    </row>
    <row r="32" spans="2:8" x14ac:dyDescent="0.3">
      <c r="B32" s="81">
        <f t="shared" si="0"/>
        <v>28</v>
      </c>
      <c r="C32" s="81" t="s">
        <v>1931</v>
      </c>
      <c r="D32" s="55" t="s">
        <v>1932</v>
      </c>
      <c r="E32" s="81">
        <v>178964</v>
      </c>
      <c r="F32" s="110" t="s">
        <v>3177</v>
      </c>
      <c r="G32" s="55" t="s">
        <v>3178</v>
      </c>
      <c r="H32" s="55" t="s">
        <v>3179</v>
      </c>
    </row>
    <row r="33" spans="2:8" x14ac:dyDescent="0.3">
      <c r="B33" s="81">
        <f t="shared" si="0"/>
        <v>29</v>
      </c>
      <c r="C33" s="81" t="s">
        <v>1933</v>
      </c>
      <c r="D33" s="55" t="s">
        <v>2195</v>
      </c>
      <c r="E33" s="81"/>
      <c r="F33" s="112" t="s">
        <v>3180</v>
      </c>
      <c r="G33" s="55"/>
      <c r="H33" s="55"/>
    </row>
    <row r="34" spans="2:8" x14ac:dyDescent="0.3">
      <c r="B34" s="81">
        <f t="shared" si="0"/>
        <v>30</v>
      </c>
      <c r="C34" s="81" t="s">
        <v>1934</v>
      </c>
      <c r="D34" s="55" t="s">
        <v>2196</v>
      </c>
      <c r="E34" s="81">
        <v>188180</v>
      </c>
      <c r="F34" s="112" t="s">
        <v>3181</v>
      </c>
      <c r="G34" s="55" t="s">
        <v>3182</v>
      </c>
      <c r="H34" s="55" t="s">
        <v>3183</v>
      </c>
    </row>
    <row r="35" spans="2:8" x14ac:dyDescent="0.3">
      <c r="B35" s="81">
        <f t="shared" si="0"/>
        <v>31</v>
      </c>
      <c r="C35" s="81" t="s">
        <v>1985</v>
      </c>
      <c r="D35" s="55" t="s">
        <v>2197</v>
      </c>
      <c r="E35" s="81">
        <v>189186</v>
      </c>
      <c r="F35" s="112" t="s">
        <v>3184</v>
      </c>
      <c r="G35" s="55"/>
      <c r="H35" s="55"/>
    </row>
    <row r="36" spans="2:8" x14ac:dyDescent="0.3">
      <c r="B36" s="81">
        <f t="shared" si="0"/>
        <v>32</v>
      </c>
      <c r="C36" s="81" t="s">
        <v>1986</v>
      </c>
      <c r="D36" s="55" t="s">
        <v>2198</v>
      </c>
      <c r="E36" s="81"/>
      <c r="F36" s="112" t="s">
        <v>3185</v>
      </c>
      <c r="G36" s="55"/>
      <c r="H36" s="55"/>
    </row>
    <row r="37" spans="2:8" x14ac:dyDescent="0.3">
      <c r="B37" s="81">
        <f t="shared" si="0"/>
        <v>33</v>
      </c>
      <c r="C37" s="81" t="s">
        <v>2199</v>
      </c>
      <c r="D37" s="55" t="s">
        <v>2200</v>
      </c>
      <c r="E37" s="81">
        <v>125655</v>
      </c>
      <c r="F37" s="110" t="s">
        <v>3186</v>
      </c>
      <c r="G37" s="55" t="s">
        <v>3187</v>
      </c>
      <c r="H37" s="55" t="s">
        <v>3188</v>
      </c>
    </row>
    <row r="38" spans="2:8" x14ac:dyDescent="0.3">
      <c r="B38" s="81">
        <f t="shared" si="0"/>
        <v>34</v>
      </c>
      <c r="C38" s="81" t="s">
        <v>2201</v>
      </c>
      <c r="D38" s="55" t="s">
        <v>2202</v>
      </c>
      <c r="E38" s="81">
        <v>125657</v>
      </c>
      <c r="F38" s="110" t="s">
        <v>3189</v>
      </c>
      <c r="G38" s="55" t="s">
        <v>3190</v>
      </c>
      <c r="H38" s="55" t="s">
        <v>3191</v>
      </c>
    </row>
    <row r="39" spans="2:8" x14ac:dyDescent="0.3">
      <c r="B39" s="81">
        <f t="shared" si="0"/>
        <v>35</v>
      </c>
      <c r="C39" s="81" t="s">
        <v>2203</v>
      </c>
      <c r="D39" s="55" t="s">
        <v>2204</v>
      </c>
      <c r="E39" s="81">
        <v>125637</v>
      </c>
      <c r="F39" s="110" t="s">
        <v>3192</v>
      </c>
      <c r="G39" s="55" t="s">
        <v>3193</v>
      </c>
      <c r="H39" s="55" t="s">
        <v>3194</v>
      </c>
    </row>
    <row r="40" spans="2:8" x14ac:dyDescent="0.3">
      <c r="B40" s="81">
        <f t="shared" si="0"/>
        <v>36</v>
      </c>
      <c r="C40" s="81" t="s">
        <v>2205</v>
      </c>
      <c r="D40" s="55" t="s">
        <v>2206</v>
      </c>
      <c r="E40" s="81">
        <v>125639</v>
      </c>
      <c r="F40" s="110" t="s">
        <v>3195</v>
      </c>
      <c r="G40" s="55" t="s">
        <v>3196</v>
      </c>
      <c r="H40" s="55" t="s">
        <v>3197</v>
      </c>
    </row>
    <row r="41" spans="2:8" x14ac:dyDescent="0.3">
      <c r="B41" s="81">
        <f t="shared" si="0"/>
        <v>37</v>
      </c>
      <c r="C41" s="81" t="s">
        <v>2207</v>
      </c>
      <c r="D41" s="55" t="s">
        <v>2208</v>
      </c>
      <c r="E41" s="81">
        <v>174501</v>
      </c>
      <c r="F41" s="110" t="s">
        <v>3198</v>
      </c>
      <c r="G41" s="55" t="s">
        <v>3199</v>
      </c>
      <c r="H41" s="55" t="s">
        <v>3200</v>
      </c>
    </row>
    <row r="42" spans="2:8" x14ac:dyDescent="0.3">
      <c r="B42" s="81">
        <f t="shared" si="0"/>
        <v>38</v>
      </c>
      <c r="C42" s="81" t="s">
        <v>2209</v>
      </c>
      <c r="D42" s="55" t="s">
        <v>2210</v>
      </c>
      <c r="E42" s="81">
        <v>125635</v>
      </c>
      <c r="F42" s="110" t="s">
        <v>3201</v>
      </c>
      <c r="G42" s="55" t="s">
        <v>3202</v>
      </c>
      <c r="H42" s="55" t="s">
        <v>3203</v>
      </c>
    </row>
    <row r="43" spans="2:8" x14ac:dyDescent="0.3">
      <c r="B43" s="81">
        <f t="shared" si="0"/>
        <v>39</v>
      </c>
      <c r="C43" s="81" t="s">
        <v>1892</v>
      </c>
      <c r="D43" s="55" t="s">
        <v>2211</v>
      </c>
      <c r="E43" s="81">
        <v>125646</v>
      </c>
      <c r="F43" s="110" t="s">
        <v>3204</v>
      </c>
      <c r="G43" s="55" t="s">
        <v>3205</v>
      </c>
      <c r="H43" s="55" t="s">
        <v>3206</v>
      </c>
    </row>
    <row r="44" spans="2:8" x14ac:dyDescent="0.3">
      <c r="B44" s="81">
        <f t="shared" si="0"/>
        <v>40</v>
      </c>
      <c r="C44" s="81" t="s">
        <v>2212</v>
      </c>
      <c r="D44" s="55" t="s">
        <v>2213</v>
      </c>
      <c r="E44" s="81">
        <v>128473</v>
      </c>
      <c r="F44" s="110" t="s">
        <v>3207</v>
      </c>
      <c r="G44" s="55" t="s">
        <v>3208</v>
      </c>
      <c r="H44" s="55" t="s">
        <v>3209</v>
      </c>
    </row>
    <row r="45" spans="2:8" x14ac:dyDescent="0.3">
      <c r="B45" s="81">
        <f t="shared" si="0"/>
        <v>41</v>
      </c>
      <c r="C45" s="81" t="s">
        <v>2214</v>
      </c>
      <c r="D45" s="55" t="s">
        <v>2215</v>
      </c>
      <c r="E45" s="81">
        <v>174502</v>
      </c>
      <c r="F45" s="110" t="s">
        <v>3210</v>
      </c>
      <c r="G45" s="55" t="s">
        <v>3211</v>
      </c>
      <c r="H45" s="55" t="s">
        <v>3212</v>
      </c>
    </row>
    <row r="46" spans="2:8" x14ac:dyDescent="0.3">
      <c r="B46" s="81">
        <f t="shared" si="0"/>
        <v>42</v>
      </c>
      <c r="C46" s="81" t="s">
        <v>2216</v>
      </c>
      <c r="D46" s="55" t="s">
        <v>2217</v>
      </c>
      <c r="E46" s="81">
        <v>130700</v>
      </c>
      <c r="F46" s="110" t="s">
        <v>3213</v>
      </c>
      <c r="G46" s="55" t="s">
        <v>2950</v>
      </c>
      <c r="H46" s="55" t="s">
        <v>2950</v>
      </c>
    </row>
    <row r="47" spans="2:8" x14ac:dyDescent="0.3">
      <c r="B47" s="81">
        <f t="shared" si="0"/>
        <v>43</v>
      </c>
      <c r="C47" s="81" t="s">
        <v>1898</v>
      </c>
      <c r="D47" s="55" t="s">
        <v>2218</v>
      </c>
      <c r="E47" s="81">
        <v>125624</v>
      </c>
      <c r="F47" s="110" t="s">
        <v>3214</v>
      </c>
      <c r="G47" s="55" t="s">
        <v>3215</v>
      </c>
      <c r="H47" s="55" t="s">
        <v>3216</v>
      </c>
    </row>
    <row r="48" spans="2:8" x14ac:dyDescent="0.3">
      <c r="B48" s="81">
        <f t="shared" si="0"/>
        <v>44</v>
      </c>
      <c r="C48" s="81" t="s">
        <v>2219</v>
      </c>
      <c r="D48" s="55" t="s">
        <v>2220</v>
      </c>
      <c r="E48" s="81">
        <v>125651</v>
      </c>
      <c r="F48" s="110" t="s">
        <v>3217</v>
      </c>
      <c r="G48" s="55" t="s">
        <v>3218</v>
      </c>
      <c r="H48" s="55" t="s">
        <v>3219</v>
      </c>
    </row>
    <row r="49" spans="2:8" x14ac:dyDescent="0.3">
      <c r="B49" s="81">
        <f t="shared" si="0"/>
        <v>45</v>
      </c>
      <c r="C49" s="81" t="s">
        <v>2221</v>
      </c>
      <c r="D49" s="55" t="s">
        <v>2222</v>
      </c>
      <c r="E49" s="81">
        <v>125654</v>
      </c>
      <c r="F49" s="110" t="s">
        <v>3220</v>
      </c>
      <c r="G49" s="55" t="s">
        <v>3221</v>
      </c>
      <c r="H49" s="55" t="s">
        <v>3222</v>
      </c>
    </row>
    <row r="50" spans="2:8" x14ac:dyDescent="0.3">
      <c r="B50" s="81">
        <f t="shared" si="0"/>
        <v>46</v>
      </c>
      <c r="C50" s="81" t="s">
        <v>2223</v>
      </c>
      <c r="D50" s="55" t="s">
        <v>2224</v>
      </c>
      <c r="E50" s="81">
        <v>125650</v>
      </c>
      <c r="F50" s="110" t="s">
        <v>3223</v>
      </c>
      <c r="G50" s="55" t="s">
        <v>3224</v>
      </c>
      <c r="H50" s="55" t="s">
        <v>3225</v>
      </c>
    </row>
    <row r="51" spans="2:8" x14ac:dyDescent="0.3">
      <c r="B51" s="81">
        <f t="shared" si="0"/>
        <v>47</v>
      </c>
      <c r="C51" s="81" t="s">
        <v>2226</v>
      </c>
      <c r="D51" s="55" t="s">
        <v>2227</v>
      </c>
      <c r="E51" s="81">
        <v>125653</v>
      </c>
      <c r="F51" s="110" t="s">
        <v>3226</v>
      </c>
      <c r="G51" s="55" t="s">
        <v>3227</v>
      </c>
      <c r="H51" s="100" t="s">
        <v>3228</v>
      </c>
    </row>
    <row r="52" spans="2:8" x14ac:dyDescent="0.3">
      <c r="B52" s="81">
        <f t="shared" si="0"/>
        <v>48</v>
      </c>
      <c r="C52" s="55" t="s">
        <v>2228</v>
      </c>
      <c r="D52" s="55" t="s">
        <v>1990</v>
      </c>
      <c r="E52" s="81">
        <v>132348</v>
      </c>
      <c r="F52" s="110" t="s">
        <v>3229</v>
      </c>
      <c r="G52" s="55" t="s">
        <v>3230</v>
      </c>
      <c r="H52" s="55" t="s">
        <v>3231</v>
      </c>
    </row>
    <row r="53" spans="2:8" x14ac:dyDescent="0.3">
      <c r="B53" s="81">
        <f t="shared" si="0"/>
        <v>49</v>
      </c>
      <c r="C53" s="55" t="s">
        <v>2229</v>
      </c>
      <c r="D53" s="55" t="s">
        <v>1987</v>
      </c>
      <c r="E53" s="81">
        <v>175098</v>
      </c>
      <c r="F53" s="110" t="s">
        <v>3232</v>
      </c>
      <c r="G53" s="55" t="s">
        <v>3233</v>
      </c>
      <c r="H53" s="55" t="s">
        <v>3234</v>
      </c>
    </row>
    <row r="54" spans="2:8" x14ac:dyDescent="0.3">
      <c r="B54" s="81">
        <f t="shared" si="0"/>
        <v>50</v>
      </c>
      <c r="C54" s="55" t="s">
        <v>2230</v>
      </c>
      <c r="D54" s="55" t="s">
        <v>2231</v>
      </c>
      <c r="E54" s="81">
        <v>131332</v>
      </c>
      <c r="F54" s="110" t="s">
        <v>3235</v>
      </c>
      <c r="G54" s="55" t="s">
        <v>3236</v>
      </c>
      <c r="H54" s="55" t="s">
        <v>3237</v>
      </c>
    </row>
    <row r="55" spans="2:8" x14ac:dyDescent="0.3">
      <c r="B55" s="81">
        <f t="shared" si="0"/>
        <v>51</v>
      </c>
      <c r="C55" s="55" t="s">
        <v>2232</v>
      </c>
      <c r="D55" s="55" t="s">
        <v>1988</v>
      </c>
      <c r="E55" s="81">
        <v>175099</v>
      </c>
      <c r="F55" s="110" t="s">
        <v>3238</v>
      </c>
      <c r="G55" s="55" t="s">
        <v>3239</v>
      </c>
      <c r="H55" s="100"/>
    </row>
    <row r="56" spans="2:8" x14ac:dyDescent="0.3">
      <c r="B56" s="81">
        <f t="shared" si="0"/>
        <v>52</v>
      </c>
      <c r="C56" s="55" t="s">
        <v>2233</v>
      </c>
      <c r="D56" s="55" t="s">
        <v>1989</v>
      </c>
      <c r="E56" s="81">
        <v>179966</v>
      </c>
      <c r="F56" s="112" t="s">
        <v>3240</v>
      </c>
      <c r="G56" s="55" t="s">
        <v>3241</v>
      </c>
      <c r="H56" s="55" t="s">
        <v>3242</v>
      </c>
    </row>
    <row r="57" spans="2:8" x14ac:dyDescent="0.3">
      <c r="B57" s="81">
        <f t="shared" si="0"/>
        <v>53</v>
      </c>
      <c r="C57" s="55" t="s">
        <v>2234</v>
      </c>
      <c r="D57" s="55" t="s">
        <v>2235</v>
      </c>
      <c r="E57" s="81">
        <v>179967</v>
      </c>
      <c r="F57" s="110" t="s">
        <v>3243</v>
      </c>
      <c r="G57" s="55" t="s">
        <v>3244</v>
      </c>
      <c r="H57" s="55"/>
    </row>
    <row r="58" spans="2:8" x14ac:dyDescent="0.3">
      <c r="B58" s="81">
        <f t="shared" si="0"/>
        <v>54</v>
      </c>
      <c r="C58" s="55" t="s">
        <v>2236</v>
      </c>
      <c r="D58" s="55" t="s">
        <v>38</v>
      </c>
      <c r="E58" s="81">
        <v>125672</v>
      </c>
      <c r="F58" s="110" t="s">
        <v>3245</v>
      </c>
      <c r="G58" s="55" t="s">
        <v>2950</v>
      </c>
      <c r="H58" s="55" t="s">
        <v>2950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ACCOUNT</vt:lpstr>
      <vt:lpstr>Sub Account</vt:lpstr>
      <vt:lpstr>WH TAX TABLE</vt:lpstr>
      <vt:lpstr>Suppliers-Local</vt:lpstr>
      <vt:lpstr>Suppliers-Import</vt:lpstr>
      <vt:lpstr>Customers</vt:lpstr>
      <vt:lpstr>Locations</vt:lpstr>
      <vt:lpstr>ACCOUNT!Print_Area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Faheem</cp:lastModifiedBy>
  <cp:lastPrinted>2026-04-28T11:06:37Z</cp:lastPrinted>
  <dcterms:created xsi:type="dcterms:W3CDTF">2024-11-08T17:43:15Z</dcterms:created>
  <dcterms:modified xsi:type="dcterms:W3CDTF">2026-05-11T09:42:36Z</dcterms:modified>
</cp:coreProperties>
</file>