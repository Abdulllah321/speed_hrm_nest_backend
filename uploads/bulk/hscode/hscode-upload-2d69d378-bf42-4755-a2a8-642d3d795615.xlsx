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dullah.sufyan\Downloads\"/>
    </mc:Choice>
  </mc:AlternateContent>
  <bookViews>
    <workbookView xWindow="0" yWindow="0" windowWidth="23040" windowHeight="9192" firstSheet="2" activeTab="2"/>
  </bookViews>
  <sheets>
    <sheet name="2018 - 2019" sheetId="1" state="hidden" r:id="rId1"/>
    <sheet name="PCT" sheetId="2" state="hidden" r:id="rId2"/>
    <sheet name="Sheet1" sheetId="3" r:id="rId3"/>
    <sheet name="Sheet3" sheetId="5" state="hidden" r:id="rId4"/>
  </sheets>
  <definedNames>
    <definedName name="_xlnm._FilterDatabase" localSheetId="1" hidden="1">PCT!$A$2:$J$54</definedName>
    <definedName name="_xlnm._FilterDatabase" localSheetId="2" hidden="1">Sheet1!$B$1:$G$106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5" i="5" l="1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1" i="5"/>
  <c r="O7" i="3"/>
  <c r="O26" i="3"/>
  <c r="O25" i="3"/>
  <c r="O24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1" i="3"/>
  <c r="P10" i="3"/>
  <c r="P8" i="3"/>
  <c r="P7" i="3"/>
  <c r="P6" i="3"/>
  <c r="P3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1" i="3"/>
  <c r="Q10" i="3"/>
  <c r="Q8" i="3"/>
  <c r="Q7" i="3"/>
  <c r="Q6" i="3"/>
  <c r="Q3" i="3"/>
  <c r="Q2" i="3"/>
  <c r="P2" i="3"/>
  <c r="S23" i="3"/>
  <c r="R23" i="3"/>
  <c r="O23" i="3"/>
  <c r="S26" i="3"/>
  <c r="R26" i="3"/>
  <c r="S25" i="3"/>
  <c r="R25" i="3"/>
  <c r="S24" i="3"/>
  <c r="R24" i="3"/>
  <c r="S22" i="3"/>
  <c r="R22" i="3"/>
  <c r="O22" i="3"/>
  <c r="S21" i="3"/>
  <c r="R21" i="3"/>
  <c r="O21" i="3"/>
  <c r="S20" i="3"/>
  <c r="R20" i="3"/>
  <c r="O20" i="3"/>
  <c r="S19" i="3"/>
  <c r="R19" i="3"/>
  <c r="O19" i="3"/>
  <c r="S18" i="3"/>
  <c r="R18" i="3"/>
  <c r="O18" i="3"/>
  <c r="S17" i="3"/>
  <c r="R17" i="3"/>
  <c r="O17" i="3"/>
  <c r="S16" i="3"/>
  <c r="R16" i="3"/>
  <c r="O16" i="3"/>
  <c r="S15" i="3"/>
  <c r="R15" i="3"/>
  <c r="O15" i="3"/>
  <c r="S14" i="3"/>
  <c r="R14" i="3"/>
  <c r="O14" i="3"/>
  <c r="S13" i="3"/>
  <c r="R13" i="3"/>
  <c r="O13" i="3"/>
  <c r="S11" i="3"/>
  <c r="R11" i="3"/>
  <c r="O11" i="3"/>
  <c r="S10" i="3"/>
  <c r="R10" i="3"/>
  <c r="O10" i="3"/>
  <c r="S8" i="3"/>
  <c r="R8" i="3"/>
  <c r="O8" i="3"/>
  <c r="S7" i="3"/>
  <c r="R7" i="3"/>
  <c r="S6" i="3"/>
  <c r="R6" i="3"/>
  <c r="O6" i="3"/>
  <c r="S3" i="3"/>
  <c r="R3" i="3"/>
  <c r="O3" i="3"/>
  <c r="S2" i="3"/>
  <c r="R2" i="3"/>
  <c r="O2" i="3"/>
</calcChain>
</file>

<file path=xl/sharedStrings.xml><?xml version="1.0" encoding="utf-8"?>
<sst xmlns="http://schemas.openxmlformats.org/spreadsheetml/2006/main" count="677" uniqueCount="199">
  <si>
    <t>Pedro</t>
  </si>
  <si>
    <t>Footwear</t>
  </si>
  <si>
    <t>Bags</t>
  </si>
  <si>
    <t>Men / Womens Bags</t>
  </si>
  <si>
    <t>Wallets</t>
  </si>
  <si>
    <t>Belts</t>
  </si>
  <si>
    <t>Mens Belts</t>
  </si>
  <si>
    <t>C&amp;K</t>
  </si>
  <si>
    <t>Womens Bags</t>
  </si>
  <si>
    <t>Sunglasses</t>
  </si>
  <si>
    <t>Brand</t>
  </si>
  <si>
    <t>Category</t>
  </si>
  <si>
    <t>Sub Category</t>
  </si>
  <si>
    <t>HS Codes</t>
  </si>
  <si>
    <t>CD</t>
  </si>
  <si>
    <t>RD</t>
  </si>
  <si>
    <t>ACD</t>
  </si>
  <si>
    <t>ST</t>
  </si>
  <si>
    <t>IT</t>
  </si>
  <si>
    <t>Mens Shoes (All types)</t>
  </si>
  <si>
    <t>DUTY STRUCTURE (in %)</t>
  </si>
  <si>
    <t>Womens Shoes (All types)</t>
  </si>
  <si>
    <t>NIKE</t>
  </si>
  <si>
    <t>All types of Shoes</t>
  </si>
  <si>
    <t>All type of Sandles/ slippers/ Slip on</t>
  </si>
  <si>
    <t>Apparel</t>
  </si>
  <si>
    <t>T-Shirts</t>
  </si>
  <si>
    <t>Polos</t>
  </si>
  <si>
    <t>Brassiers</t>
  </si>
  <si>
    <t>Caps</t>
  </si>
  <si>
    <t>Tights, Leggings</t>
  </si>
  <si>
    <t>Track Suits (knitted)</t>
  </si>
  <si>
    <t>Track Suits (Woven)</t>
  </si>
  <si>
    <t>Jackets, Hoodies (Men's Knitted)</t>
  </si>
  <si>
    <t>Jackets, Hoodies (Women's Knitted)</t>
  </si>
  <si>
    <t>Jackets, Hoodies (Men's Woven)</t>
  </si>
  <si>
    <t>Jackets, Hoodies (Women's Woven)</t>
  </si>
  <si>
    <t>Shorts, Trousers, Pants (Men's Knitted)</t>
  </si>
  <si>
    <t>Shorts, Trousers, Pants (Women's Knitted)</t>
  </si>
  <si>
    <t>Shorts, Trousers, Pants (Men's Woven)</t>
  </si>
  <si>
    <t>Shorts, Trousers, Pants (Women's Woven)</t>
  </si>
  <si>
    <t>EQP</t>
  </si>
  <si>
    <t>Bag Packs (All kinds)</t>
  </si>
  <si>
    <t>Socks</t>
  </si>
  <si>
    <t>Footballs</t>
  </si>
  <si>
    <t>Basket Balls</t>
  </si>
  <si>
    <t>Gloves (All Types)</t>
  </si>
  <si>
    <t>Water Bottles (All types)</t>
  </si>
  <si>
    <t>Basic Wallets</t>
  </si>
  <si>
    <t>Shin Guard</t>
  </si>
  <si>
    <t>Training Belts, Push Up Grips, Speed Rope, Yoga Mat, All Sleeves, All Wraps, All Weights</t>
  </si>
  <si>
    <t>Ball Pumps</t>
  </si>
  <si>
    <t>Bands (All Types)</t>
  </si>
  <si>
    <t>Artifical Jewellary</t>
  </si>
  <si>
    <t>All types of Jewellary</t>
  </si>
  <si>
    <t>Revised RD as per new SRO 1265</t>
  </si>
  <si>
    <t>same as previous</t>
  </si>
  <si>
    <t>+5%</t>
  </si>
  <si>
    <t>IMPACT</t>
  </si>
  <si>
    <t>TAG</t>
  </si>
  <si>
    <t>Watches</t>
  </si>
  <si>
    <t>+10%</t>
  </si>
  <si>
    <t>Timex</t>
  </si>
  <si>
    <t>Spare Parts</t>
  </si>
  <si>
    <t>Batteries</t>
  </si>
  <si>
    <t>AST</t>
  </si>
  <si>
    <t>Mens/ Women Shoes (Upper of Textile Material or Similar)</t>
  </si>
  <si>
    <t>Mens/ Women Shoes (Upper of Leather)</t>
  </si>
  <si>
    <t>Mens/ Women Shoes (Upper of PU/Micro Fibre or Similar with Plastic composition)</t>
  </si>
  <si>
    <t>Womens Bags (Leather)</t>
  </si>
  <si>
    <t>Womens Bags (Other than Leather)</t>
  </si>
  <si>
    <t>Men's Bags (Leather)</t>
  </si>
  <si>
    <t>Men's Bags (Other than Leather)</t>
  </si>
  <si>
    <t>Wallets/ Clutches/ Card Holders (Leather)</t>
  </si>
  <si>
    <t>Wallets/ Clutches/ Card Holders (Other Than Leather)</t>
  </si>
  <si>
    <t>Women Shoes (Upper of Leather)</t>
  </si>
  <si>
    <t>Women Shoes (Upper of Textile Material or Similar)</t>
  </si>
  <si>
    <t>Women Shoes (Upper of PU/Micro Fibre or Similar with Plastic composition)</t>
  </si>
  <si>
    <t>SLGs</t>
  </si>
  <si>
    <t>Sandals/ Slippers/ Football Shoes</t>
  </si>
  <si>
    <t>All footwear other than Sandals/ Slippers/ Football Shoes</t>
  </si>
  <si>
    <t>Footwear with Upper of Leather (if Any)</t>
  </si>
  <si>
    <t>TAG/ Timex</t>
  </si>
  <si>
    <t>TAG / Timex</t>
  </si>
  <si>
    <t>Football Shoes</t>
  </si>
  <si>
    <t>Nike/ Adidas/ UA/ Birkenstock</t>
  </si>
  <si>
    <t>Nike/ Adidas/</t>
  </si>
  <si>
    <t>Birkenstock</t>
  </si>
  <si>
    <t>Nike/ Adidas/ UA</t>
  </si>
  <si>
    <t>Footwear with Upper of Leather</t>
  </si>
  <si>
    <t>Nike/ Adidas</t>
  </si>
  <si>
    <t>Nike</t>
  </si>
  <si>
    <t>Sales Tax%</t>
  </si>
  <si>
    <t>6404.1900</t>
  </si>
  <si>
    <t>4203.3000</t>
  </si>
  <si>
    <t>9004.1000</t>
  </si>
  <si>
    <t>6105.9000</t>
  </si>
  <si>
    <t>6103.4900</t>
  </si>
  <si>
    <t>6115.2900</t>
  </si>
  <si>
    <t>6103.3900</t>
  </si>
  <si>
    <t>6112.1100</t>
  </si>
  <si>
    <t>6212.1000</t>
  </si>
  <si>
    <t>6505.0000</t>
  </si>
  <si>
    <t>6115.3010</t>
  </si>
  <si>
    <t>9506.6210</t>
  </si>
  <si>
    <t>9506.6992</t>
  </si>
  <si>
    <t>6216.0010</t>
  </si>
  <si>
    <t>3923.3010</t>
  </si>
  <si>
    <t>9102.1100</t>
  </si>
  <si>
    <t>9114.9000</t>
  </si>
  <si>
    <t>9506.9100</t>
  </si>
  <si>
    <t>HS CODES</t>
  </si>
  <si>
    <t>6117.8000</t>
  </si>
  <si>
    <t>6103.4300</t>
  </si>
  <si>
    <t>4202.2900</t>
  </si>
  <si>
    <t>4202.9200</t>
  </si>
  <si>
    <t>4202.2200</t>
  </si>
  <si>
    <t>4202.3100</t>
  </si>
  <si>
    <t>4202.3200</t>
  </si>
  <si>
    <t>3924.9000</t>
  </si>
  <si>
    <t>6404.1100</t>
  </si>
  <si>
    <t>6115.9900</t>
  </si>
  <si>
    <t>6402.9900</t>
  </si>
  <si>
    <t>9506.9911</t>
  </si>
  <si>
    <t>6109.9090</t>
  </si>
  <si>
    <t>6307.9030</t>
  </si>
  <si>
    <t>6112.4900</t>
  </si>
  <si>
    <t>6104.6900</t>
  </si>
  <si>
    <t>6112.1900</t>
  </si>
  <si>
    <t>6104.3900</t>
  </si>
  <si>
    <t>6105.2000</t>
  </si>
  <si>
    <t>6203.4900</t>
  </si>
  <si>
    <t>6110.3000</t>
  </si>
  <si>
    <t>6101.2000</t>
  </si>
  <si>
    <t>6403.1900</t>
  </si>
  <si>
    <t>6202.9000</t>
  </si>
  <si>
    <t>6104.6200</t>
  </si>
  <si>
    <t>6101.9000</t>
  </si>
  <si>
    <t>6203.4300</t>
  </si>
  <si>
    <t>6103.4200</t>
  </si>
  <si>
    <t>6104.6300</t>
  </si>
  <si>
    <t>6109.1000</t>
  </si>
  <si>
    <t>8517.6280</t>
  </si>
  <si>
    <t>9108.1100</t>
  </si>
  <si>
    <t>7015.9000</t>
  </si>
  <si>
    <t>9114.4000</t>
  </si>
  <si>
    <t>6402.2000</t>
  </si>
  <si>
    <t>6211.3900</t>
  </si>
  <si>
    <t>6115.9500</t>
  </si>
  <si>
    <t>6402.1900</t>
  </si>
  <si>
    <t>6105.1000</t>
  </si>
  <si>
    <t>6115.9600</t>
  </si>
  <si>
    <t>6112.1200</t>
  </si>
  <si>
    <t>6114.3000</t>
  </si>
  <si>
    <t>6110.2000</t>
  </si>
  <si>
    <t>6201.9300</t>
  </si>
  <si>
    <t>6201.4000</t>
  </si>
  <si>
    <t>6102.3000</t>
  </si>
  <si>
    <t>6211.3300</t>
  </si>
  <si>
    <t>6102.9000</t>
  </si>
  <si>
    <t>6204.6390</t>
  </si>
  <si>
    <t>6405.1000</t>
  </si>
  <si>
    <t>6102.2000</t>
  </si>
  <si>
    <t>6110.9000</t>
  </si>
  <si>
    <t>6101.3000</t>
  </si>
  <si>
    <t>3926.9099</t>
  </si>
  <si>
    <t>6211.4300</t>
  </si>
  <si>
    <t>6202.4000</t>
  </si>
  <si>
    <t>6403.9900</t>
  </si>
  <si>
    <t>6405.2000</t>
  </si>
  <si>
    <t>6402.9100</t>
  </si>
  <si>
    <t>4202.2100</t>
  </si>
  <si>
    <t>7117.9000</t>
  </si>
  <si>
    <t>4202.3900</t>
  </si>
  <si>
    <t>7319.4000</t>
  </si>
  <si>
    <t>6203.3900</t>
  </si>
  <si>
    <t>6204.3900</t>
  </si>
  <si>
    <t>4202.9900</t>
  </si>
  <si>
    <t>6307.9090</t>
  </si>
  <si>
    <t>8414.2000</t>
  </si>
  <si>
    <t>6117.1090</t>
  </si>
  <si>
    <t>3405.1010</t>
  </si>
  <si>
    <t>6406.9000</t>
  </si>
  <si>
    <t>4016.9500</t>
  </si>
  <si>
    <t>3926.4090</t>
  </si>
  <si>
    <t>6307.1090</t>
  </si>
  <si>
    <t>6307.9040</t>
  </si>
  <si>
    <t>6106.1000</t>
  </si>
  <si>
    <t>4202.1190</t>
  </si>
  <si>
    <t>4202.9100</t>
  </si>
  <si>
    <t>4202.1290</t>
  </si>
  <si>
    <t>6215.9000</t>
  </si>
  <si>
    <t>6214.9020</t>
  </si>
  <si>
    <t>4819.4000</t>
  </si>
  <si>
    <t>6108.2200</t>
  </si>
  <si>
    <t>6107.1200</t>
  </si>
  <si>
    <t>6116.1000</t>
  </si>
  <si>
    <t>6202.9300</t>
  </si>
  <si>
    <t>6201.9000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</si>
</sst>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.0000"/>
    <numFmt numFmtId="165" formatCode="_(* #,##0.0_);_(* \(#,##0.0\);_(* &quot;-&quot;??_);_(@_)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6" fontId="0" fillId="0" borderId="0" xfId="1" applyNumberFormat="1" applyFont="1"/>
    <xf numFmtId="166" fontId="0" fillId="0" borderId="1" xfId="1" applyNumberFormat="1" applyFont="1" applyBorder="1"/>
    <xf numFmtId="165" fontId="0" fillId="0" borderId="1" xfId="1" applyNumberFormat="1" applyFont="1" applyBorder="1"/>
    <xf numFmtId="166" fontId="0" fillId="0" borderId="1" xfId="1" applyNumberFormat="1" applyFont="1" applyFill="1" applyBorder="1"/>
    <xf numFmtId="165" fontId="0" fillId="0" borderId="1" xfId="1" applyNumberFormat="1" applyFont="1" applyFill="1" applyBorder="1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applyAlignment="1">
      <alignment horizontal="left"/>
    </xf>
    <xf numFmtId="49" fontId="2" fillId="2" borderId="5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9" fontId="3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center"/>
    </xf>
    <xf numFmtId="43" fontId="0" fillId="0" borderId="1" xfId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0" fillId="6" borderId="1" xfId="0" applyFill="1" applyBorder="1"/>
    <xf numFmtId="166" fontId="0" fillId="0" borderId="0" xfId="1" applyNumberFormat="1" applyFont="1" applyFill="1"/>
    <xf numFmtId="165" fontId="0" fillId="0" borderId="0" xfId="1" applyNumberFormat="1" applyFont="1"/>
    <xf numFmtId="165" fontId="0" fillId="0" borderId="0" xfId="0" applyNumberFormat="1"/>
    <xf numFmtId="166" fontId="3" fillId="0" borderId="1" xfId="1" applyNumberFormat="1" applyFont="1" applyFill="1" applyBorder="1"/>
    <xf numFmtId="0" fontId="0" fillId="2" borderId="0" xfId="0" applyFill="1"/>
    <xf numFmtId="0" fontId="2" fillId="2" borderId="1" xfId="0" applyFont="1" applyFill="1" applyBorder="1" applyAlignment="1">
      <alignment horizontal="left"/>
    </xf>
    <xf numFmtId="166" fontId="4" fillId="0" borderId="1" xfId="1" applyNumberFormat="1" applyFont="1" applyFill="1" applyBorder="1"/>
    <xf numFmtId="166" fontId="4" fillId="0" borderId="1" xfId="1" applyNumberFormat="1" applyFont="1" applyBorder="1"/>
    <xf numFmtId="166" fontId="4" fillId="0" borderId="0" xfId="1" applyNumberFormat="1" applyFont="1" applyFill="1"/>
    <xf numFmtId="166" fontId="4" fillId="0" borderId="0" xfId="1" applyNumberFormat="1" applyFont="1"/>
    <xf numFmtId="0" fontId="4" fillId="0" borderId="0" xfId="0" applyFont="1"/>
    <xf numFmtId="9" fontId="0" fillId="0" borderId="0" xfId="2" applyFont="1"/>
    <xf numFmtId="9" fontId="0" fillId="0" borderId="1" xfId="2" applyFont="1" applyBorder="1"/>
    <xf numFmtId="43" fontId="0" fillId="0" borderId="1" xfId="1" applyFont="1" applyBorder="1"/>
    <xf numFmtId="9" fontId="0" fillId="0" borderId="1" xfId="0" applyNumberFormat="1" applyBorder="1"/>
    <xf numFmtId="9" fontId="5" fillId="3" borderId="1" xfId="2" applyFont="1" applyFill="1" applyBorder="1" applyAlignment="1">
      <alignment horizontal="center"/>
    </xf>
    <xf numFmtId="9" fontId="5" fillId="7" borderId="1" xfId="2" applyFont="1" applyFill="1" applyBorder="1" applyAlignment="1">
      <alignment horizontal="center"/>
    </xf>
    <xf numFmtId="9" fontId="0" fillId="0" borderId="1" xfId="2" applyFont="1" applyBorder="1" applyAlignment="1">
      <alignment vertical="center"/>
    </xf>
    <xf numFmtId="43" fontId="0" fillId="0" borderId="1" xfId="1" applyFont="1" applyBorder="1" applyAlignment="1">
      <alignment vertical="center"/>
    </xf>
    <xf numFmtId="0" fontId="0" fillId="0" borderId="0" xfId="0" applyAlignment="1">
      <alignment vertical="center"/>
    </xf>
    <xf numFmtId="9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8"/>
  <sheetViews>
    <sheetView showGridLines="0" topLeftCell="A7" workbookViewId="0">
      <selection activeCell="C20" sqref="C20"/>
    </sheetView>
  </sheetViews>
  <sheetFormatPr defaultRowHeight="14.4" x14ac:dyDescent="0.3"/>
  <cols>
    <col min="1" max="1" width="6.21875" bestFit="1" customWidth="1"/>
    <col min="2" max="2" width="17" bestFit="1" customWidth="1"/>
    <col min="3" max="3" width="73.21875" customWidth="1"/>
    <col min="4" max="4" width="9.5546875" bestFit="1" customWidth="1"/>
    <col min="10" max="10" width="1.44140625" customWidth="1"/>
    <col min="11" max="11" width="30" hidden="1" customWidth="1"/>
    <col min="12" max="12" width="1.21875" hidden="1" customWidth="1"/>
    <col min="13" max="13" width="0" style="14" hidden="1" customWidth="1"/>
    <col min="14" max="14" width="31.21875" bestFit="1" customWidth="1"/>
  </cols>
  <sheetData>
    <row r="2" spans="1:13" x14ac:dyDescent="0.3">
      <c r="A2" s="8" t="s">
        <v>10</v>
      </c>
      <c r="B2" s="8" t="s">
        <v>11</v>
      </c>
      <c r="C2" s="8" t="s">
        <v>12</v>
      </c>
      <c r="D2" s="8" t="s">
        <v>13</v>
      </c>
      <c r="E2" s="45" t="s">
        <v>20</v>
      </c>
      <c r="F2" s="46"/>
      <c r="G2" s="46"/>
      <c r="H2" s="46"/>
      <c r="I2" s="47"/>
      <c r="K2" s="48" t="s">
        <v>55</v>
      </c>
      <c r="M2" s="13" t="s">
        <v>58</v>
      </c>
    </row>
    <row r="3" spans="1:13" x14ac:dyDescent="0.3">
      <c r="E3" s="8" t="s">
        <v>14</v>
      </c>
      <c r="F3" s="8" t="s">
        <v>15</v>
      </c>
      <c r="G3" s="8" t="s">
        <v>16</v>
      </c>
      <c r="H3" s="8" t="s">
        <v>17</v>
      </c>
      <c r="I3" s="8" t="s">
        <v>18</v>
      </c>
      <c r="K3" s="49"/>
    </row>
    <row r="4" spans="1:13" x14ac:dyDescent="0.3">
      <c r="A4" s="10" t="s">
        <v>0</v>
      </c>
      <c r="B4" s="1" t="s">
        <v>1</v>
      </c>
      <c r="C4" s="1" t="s">
        <v>19</v>
      </c>
      <c r="D4" s="2">
        <v>6403.59</v>
      </c>
      <c r="E4" s="4">
        <v>20</v>
      </c>
      <c r="F4" s="6">
        <v>20</v>
      </c>
      <c r="G4" s="4">
        <v>2</v>
      </c>
      <c r="H4" s="4">
        <v>9</v>
      </c>
      <c r="I4" s="4">
        <v>3</v>
      </c>
      <c r="K4" s="15">
        <v>0.2</v>
      </c>
      <c r="M4" s="17" t="s">
        <v>57</v>
      </c>
    </row>
    <row r="5" spans="1:13" x14ac:dyDescent="0.3">
      <c r="A5" s="10" t="s">
        <v>0</v>
      </c>
      <c r="B5" s="1" t="s">
        <v>1</v>
      </c>
      <c r="C5" s="1" t="s">
        <v>21</v>
      </c>
      <c r="D5" s="2">
        <v>6403.2</v>
      </c>
      <c r="E5" s="4">
        <v>20</v>
      </c>
      <c r="F5" s="6">
        <v>20</v>
      </c>
      <c r="G5" s="4">
        <v>2</v>
      </c>
      <c r="H5" s="4">
        <v>9</v>
      </c>
      <c r="I5" s="4">
        <v>3</v>
      </c>
      <c r="K5" s="15">
        <v>0.2</v>
      </c>
      <c r="M5" s="17" t="s">
        <v>57</v>
      </c>
    </row>
    <row r="6" spans="1:13" x14ac:dyDescent="0.3">
      <c r="A6" s="10" t="s">
        <v>0</v>
      </c>
      <c r="B6" s="1" t="s">
        <v>2</v>
      </c>
      <c r="C6" s="1" t="s">
        <v>3</v>
      </c>
      <c r="D6" s="2">
        <v>4202.91</v>
      </c>
      <c r="E6" s="4">
        <v>20</v>
      </c>
      <c r="F6" s="6">
        <v>20</v>
      </c>
      <c r="G6" s="4">
        <v>2</v>
      </c>
      <c r="H6" s="4">
        <v>9</v>
      </c>
      <c r="I6" s="4">
        <v>3</v>
      </c>
      <c r="K6" s="16" t="s">
        <v>56</v>
      </c>
      <c r="M6" s="18">
        <v>0</v>
      </c>
    </row>
    <row r="7" spans="1:13" x14ac:dyDescent="0.3">
      <c r="A7" s="10" t="s">
        <v>0</v>
      </c>
      <c r="B7" s="1" t="s">
        <v>2</v>
      </c>
      <c r="C7" s="1" t="s">
        <v>4</v>
      </c>
      <c r="D7" s="2">
        <v>4202.3100000000004</v>
      </c>
      <c r="E7" s="4">
        <v>20</v>
      </c>
      <c r="F7" s="6">
        <v>20</v>
      </c>
      <c r="G7" s="4">
        <v>2</v>
      </c>
      <c r="H7" s="4">
        <v>9</v>
      </c>
      <c r="I7" s="4">
        <v>3</v>
      </c>
      <c r="K7" s="16" t="s">
        <v>56</v>
      </c>
      <c r="M7" s="18">
        <v>0</v>
      </c>
    </row>
    <row r="8" spans="1:13" x14ac:dyDescent="0.3">
      <c r="A8" s="10" t="s">
        <v>0</v>
      </c>
      <c r="B8" s="1" t="s">
        <v>5</v>
      </c>
      <c r="C8" s="1" t="s">
        <v>6</v>
      </c>
      <c r="D8" s="2">
        <v>4203.3</v>
      </c>
      <c r="E8" s="4">
        <v>5</v>
      </c>
      <c r="F8" s="6">
        <v>50</v>
      </c>
      <c r="G8" s="4">
        <v>2</v>
      </c>
      <c r="H8" s="4">
        <v>9</v>
      </c>
      <c r="I8" s="4">
        <v>3</v>
      </c>
      <c r="K8" s="16" t="s">
        <v>56</v>
      </c>
      <c r="M8" s="18">
        <v>0</v>
      </c>
    </row>
    <row r="9" spans="1:13" x14ac:dyDescent="0.3">
      <c r="E9" s="3"/>
      <c r="F9" s="21"/>
      <c r="G9" s="3"/>
      <c r="H9" s="3"/>
      <c r="I9" s="3"/>
      <c r="K9" s="12"/>
    </row>
    <row r="10" spans="1:13" x14ac:dyDescent="0.3">
      <c r="A10" s="9" t="s">
        <v>7</v>
      </c>
      <c r="B10" s="1" t="s">
        <v>1</v>
      </c>
      <c r="C10" s="1" t="s">
        <v>21</v>
      </c>
      <c r="D10" s="2">
        <v>6403.2</v>
      </c>
      <c r="E10" s="4">
        <v>20</v>
      </c>
      <c r="F10" s="6">
        <v>20</v>
      </c>
      <c r="G10" s="4">
        <v>2</v>
      </c>
      <c r="H10" s="4">
        <v>9</v>
      </c>
      <c r="I10" s="4">
        <v>3</v>
      </c>
      <c r="K10" s="15">
        <v>0.2</v>
      </c>
      <c r="M10" s="17" t="s">
        <v>57</v>
      </c>
    </row>
    <row r="11" spans="1:13" x14ac:dyDescent="0.3">
      <c r="A11" s="9" t="s">
        <v>7</v>
      </c>
      <c r="B11" s="1" t="s">
        <v>2</v>
      </c>
      <c r="C11" s="1" t="s">
        <v>8</v>
      </c>
      <c r="D11" s="2">
        <v>4202.91</v>
      </c>
      <c r="E11" s="4">
        <v>20</v>
      </c>
      <c r="F11" s="6">
        <v>20</v>
      </c>
      <c r="G11" s="4">
        <v>2</v>
      </c>
      <c r="H11" s="4">
        <v>9</v>
      </c>
      <c r="I11" s="4">
        <v>3</v>
      </c>
      <c r="K11" s="16" t="s">
        <v>56</v>
      </c>
      <c r="M11" s="18">
        <v>0</v>
      </c>
    </row>
    <row r="12" spans="1:13" x14ac:dyDescent="0.3">
      <c r="A12" s="9" t="s">
        <v>7</v>
      </c>
      <c r="B12" s="1" t="s">
        <v>2</v>
      </c>
      <c r="C12" s="1" t="s">
        <v>4</v>
      </c>
      <c r="D12" s="2">
        <v>4202.3100000000004</v>
      </c>
      <c r="E12" s="4">
        <v>20</v>
      </c>
      <c r="F12" s="6">
        <v>20</v>
      </c>
      <c r="G12" s="4">
        <v>2</v>
      </c>
      <c r="H12" s="4">
        <v>9</v>
      </c>
      <c r="I12" s="4">
        <v>3</v>
      </c>
      <c r="K12" s="16" t="s">
        <v>56</v>
      </c>
      <c r="M12" s="18">
        <v>0</v>
      </c>
    </row>
    <row r="13" spans="1:13" x14ac:dyDescent="0.3">
      <c r="A13" s="9" t="s">
        <v>7</v>
      </c>
      <c r="B13" s="1" t="s">
        <v>9</v>
      </c>
      <c r="C13" s="1" t="s">
        <v>9</v>
      </c>
      <c r="D13" s="2">
        <v>9004.1</v>
      </c>
      <c r="E13" s="4">
        <v>0</v>
      </c>
      <c r="F13" s="6">
        <v>30</v>
      </c>
      <c r="G13" s="4">
        <v>2</v>
      </c>
      <c r="H13" s="4">
        <v>17</v>
      </c>
      <c r="I13" s="5">
        <v>5.5</v>
      </c>
      <c r="K13" s="16" t="s">
        <v>56</v>
      </c>
      <c r="M13" s="18">
        <v>0</v>
      </c>
    </row>
    <row r="14" spans="1:13" x14ac:dyDescent="0.3">
      <c r="A14" s="9" t="s">
        <v>7</v>
      </c>
      <c r="B14" s="1" t="s">
        <v>53</v>
      </c>
      <c r="C14" s="1" t="s">
        <v>54</v>
      </c>
      <c r="D14" s="2">
        <v>7117.9</v>
      </c>
      <c r="E14" s="4">
        <v>11</v>
      </c>
      <c r="F14" s="6">
        <v>45</v>
      </c>
      <c r="G14" s="4">
        <v>2</v>
      </c>
      <c r="H14" s="4">
        <v>17</v>
      </c>
      <c r="I14" s="5">
        <v>5.5</v>
      </c>
      <c r="K14" s="16" t="s">
        <v>56</v>
      </c>
      <c r="M14" s="18">
        <v>0</v>
      </c>
    </row>
    <row r="15" spans="1:13" x14ac:dyDescent="0.3">
      <c r="K15" s="12"/>
    </row>
    <row r="16" spans="1:13" x14ac:dyDescent="0.3">
      <c r="A16" s="11" t="s">
        <v>22</v>
      </c>
      <c r="B16" s="1" t="s">
        <v>1</v>
      </c>
      <c r="C16" s="1" t="s">
        <v>23</v>
      </c>
      <c r="D16" s="2">
        <v>6403.19</v>
      </c>
      <c r="E16" s="6">
        <v>20</v>
      </c>
      <c r="F16" s="6">
        <v>20</v>
      </c>
      <c r="G16" s="6">
        <v>2</v>
      </c>
      <c r="H16" s="6">
        <v>9</v>
      </c>
      <c r="I16" s="6">
        <v>3</v>
      </c>
      <c r="K16" s="15">
        <v>0.2</v>
      </c>
      <c r="M16" s="19" t="s">
        <v>57</v>
      </c>
    </row>
    <row r="17" spans="1:13" x14ac:dyDescent="0.3">
      <c r="A17" s="11" t="s">
        <v>22</v>
      </c>
      <c r="B17" s="1" t="s">
        <v>1</v>
      </c>
      <c r="C17" s="1" t="s">
        <v>24</v>
      </c>
      <c r="D17" s="2">
        <v>6402.2</v>
      </c>
      <c r="E17" s="6">
        <v>20</v>
      </c>
      <c r="F17" s="6">
        <v>20</v>
      </c>
      <c r="G17" s="6">
        <v>2</v>
      </c>
      <c r="H17" s="6">
        <v>9</v>
      </c>
      <c r="I17" s="6">
        <v>3</v>
      </c>
      <c r="K17" s="15">
        <v>0.2</v>
      </c>
      <c r="M17" s="19" t="s">
        <v>57</v>
      </c>
    </row>
    <row r="18" spans="1:13" x14ac:dyDescent="0.3">
      <c r="A18" s="11" t="s">
        <v>22</v>
      </c>
      <c r="B18" s="1" t="s">
        <v>25</v>
      </c>
      <c r="C18" s="1" t="s">
        <v>26</v>
      </c>
      <c r="D18" s="2">
        <v>6109.9089999999997</v>
      </c>
      <c r="E18" s="6">
        <v>20</v>
      </c>
      <c r="F18" s="6">
        <v>0</v>
      </c>
      <c r="G18" s="6">
        <v>2</v>
      </c>
      <c r="H18" s="6">
        <v>9</v>
      </c>
      <c r="I18" s="6">
        <v>3</v>
      </c>
      <c r="K18" s="16" t="s">
        <v>56</v>
      </c>
      <c r="M18" s="18">
        <v>0</v>
      </c>
    </row>
    <row r="19" spans="1:13" x14ac:dyDescent="0.3">
      <c r="A19" s="11" t="s">
        <v>22</v>
      </c>
      <c r="B19" s="1" t="s">
        <v>25</v>
      </c>
      <c r="C19" s="1" t="s">
        <v>27</v>
      </c>
      <c r="D19" s="2">
        <v>6105.2</v>
      </c>
      <c r="E19" s="6">
        <v>20</v>
      </c>
      <c r="F19" s="6">
        <v>0</v>
      </c>
      <c r="G19" s="6">
        <v>2</v>
      </c>
      <c r="H19" s="6">
        <v>9</v>
      </c>
      <c r="I19" s="6">
        <v>3</v>
      </c>
      <c r="K19" s="16" t="s">
        <v>56</v>
      </c>
      <c r="M19" s="18">
        <v>0</v>
      </c>
    </row>
    <row r="20" spans="1:13" x14ac:dyDescent="0.3">
      <c r="A20" s="11" t="s">
        <v>22</v>
      </c>
      <c r="B20" s="1" t="s">
        <v>25</v>
      </c>
      <c r="C20" s="1" t="s">
        <v>33</v>
      </c>
      <c r="D20" s="2">
        <v>6103.39</v>
      </c>
      <c r="E20" s="6">
        <v>20</v>
      </c>
      <c r="F20" s="6">
        <v>0</v>
      </c>
      <c r="G20" s="6">
        <v>2</v>
      </c>
      <c r="H20" s="6">
        <v>9</v>
      </c>
      <c r="I20" s="6">
        <v>3</v>
      </c>
      <c r="K20" s="16" t="s">
        <v>56</v>
      </c>
      <c r="M20" s="18">
        <v>0</v>
      </c>
    </row>
    <row r="21" spans="1:13" x14ac:dyDescent="0.3">
      <c r="A21" s="11" t="s">
        <v>22</v>
      </c>
      <c r="B21" s="1" t="s">
        <v>25</v>
      </c>
      <c r="C21" s="1" t="s">
        <v>34</v>
      </c>
      <c r="D21" s="2">
        <v>6104.39</v>
      </c>
      <c r="E21" s="6">
        <v>20</v>
      </c>
      <c r="F21" s="6">
        <v>0</v>
      </c>
      <c r="G21" s="6">
        <v>2</v>
      </c>
      <c r="H21" s="6">
        <v>9</v>
      </c>
      <c r="I21" s="6">
        <v>3</v>
      </c>
      <c r="K21" s="16" t="s">
        <v>56</v>
      </c>
      <c r="M21" s="18">
        <v>0</v>
      </c>
    </row>
    <row r="22" spans="1:13" x14ac:dyDescent="0.3">
      <c r="A22" s="11" t="s">
        <v>22</v>
      </c>
      <c r="B22" s="1" t="s">
        <v>25</v>
      </c>
      <c r="C22" s="1" t="s">
        <v>35</v>
      </c>
      <c r="D22" s="2">
        <v>6203.39</v>
      </c>
      <c r="E22" s="6">
        <v>20</v>
      </c>
      <c r="F22" s="6">
        <v>5</v>
      </c>
      <c r="G22" s="6">
        <v>2</v>
      </c>
      <c r="H22" s="6">
        <v>9</v>
      </c>
      <c r="I22" s="6">
        <v>3</v>
      </c>
      <c r="K22" s="16" t="s">
        <v>56</v>
      </c>
      <c r="M22" s="18">
        <v>0</v>
      </c>
    </row>
    <row r="23" spans="1:13" x14ac:dyDescent="0.3">
      <c r="A23" s="11" t="s">
        <v>22</v>
      </c>
      <c r="B23" s="1" t="s">
        <v>25</v>
      </c>
      <c r="C23" s="1" t="s">
        <v>36</v>
      </c>
      <c r="D23" s="2">
        <v>6204.39</v>
      </c>
      <c r="E23" s="6">
        <v>20</v>
      </c>
      <c r="F23" s="6">
        <v>5</v>
      </c>
      <c r="G23" s="6">
        <v>2</v>
      </c>
      <c r="H23" s="6">
        <v>9</v>
      </c>
      <c r="I23" s="6">
        <v>3</v>
      </c>
      <c r="K23" s="16" t="s">
        <v>56</v>
      </c>
      <c r="M23" s="18">
        <v>0</v>
      </c>
    </row>
    <row r="24" spans="1:13" x14ac:dyDescent="0.3">
      <c r="A24" s="11" t="s">
        <v>22</v>
      </c>
      <c r="B24" s="1" t="s">
        <v>25</v>
      </c>
      <c r="C24" s="1" t="s">
        <v>37</v>
      </c>
      <c r="D24" s="2">
        <v>6103.49</v>
      </c>
      <c r="E24" s="6">
        <v>20</v>
      </c>
      <c r="F24" s="6">
        <v>0</v>
      </c>
      <c r="G24" s="6">
        <v>2</v>
      </c>
      <c r="H24" s="6">
        <v>9</v>
      </c>
      <c r="I24" s="6">
        <v>3</v>
      </c>
      <c r="K24" s="16" t="s">
        <v>56</v>
      </c>
      <c r="M24" s="18">
        <v>0</v>
      </c>
    </row>
    <row r="25" spans="1:13" x14ac:dyDescent="0.3">
      <c r="A25" s="11" t="s">
        <v>22</v>
      </c>
      <c r="B25" s="1" t="s">
        <v>25</v>
      </c>
      <c r="C25" s="1" t="s">
        <v>38</v>
      </c>
      <c r="D25" s="2">
        <v>6104.69</v>
      </c>
      <c r="E25" s="6">
        <v>20</v>
      </c>
      <c r="F25" s="6">
        <v>0</v>
      </c>
      <c r="G25" s="6">
        <v>2</v>
      </c>
      <c r="H25" s="6">
        <v>9</v>
      </c>
      <c r="I25" s="6">
        <v>3</v>
      </c>
      <c r="K25" s="16" t="s">
        <v>56</v>
      </c>
      <c r="M25" s="18">
        <v>0</v>
      </c>
    </row>
    <row r="26" spans="1:13" x14ac:dyDescent="0.3">
      <c r="A26" s="11" t="s">
        <v>22</v>
      </c>
      <c r="B26" s="1" t="s">
        <v>25</v>
      </c>
      <c r="C26" s="1" t="s">
        <v>39</v>
      </c>
      <c r="D26" s="2">
        <v>6203.49</v>
      </c>
      <c r="E26" s="6">
        <v>20</v>
      </c>
      <c r="F26" s="6">
        <v>5</v>
      </c>
      <c r="G26" s="6">
        <v>2</v>
      </c>
      <c r="H26" s="6">
        <v>9</v>
      </c>
      <c r="I26" s="6">
        <v>3</v>
      </c>
      <c r="K26" s="16" t="s">
        <v>56</v>
      </c>
      <c r="M26" s="18">
        <v>0</v>
      </c>
    </row>
    <row r="27" spans="1:13" x14ac:dyDescent="0.3">
      <c r="A27" s="11" t="s">
        <v>22</v>
      </c>
      <c r="B27" s="1" t="s">
        <v>25</v>
      </c>
      <c r="C27" s="1" t="s">
        <v>40</v>
      </c>
      <c r="D27" s="2">
        <v>6204.6289999999999</v>
      </c>
      <c r="E27" s="6">
        <v>20</v>
      </c>
      <c r="F27" s="6">
        <v>5</v>
      </c>
      <c r="G27" s="6">
        <v>2</v>
      </c>
      <c r="H27" s="6">
        <v>9</v>
      </c>
      <c r="I27" s="6">
        <v>3</v>
      </c>
      <c r="K27" s="16" t="s">
        <v>56</v>
      </c>
      <c r="M27" s="18">
        <v>0</v>
      </c>
    </row>
    <row r="28" spans="1:13" x14ac:dyDescent="0.3">
      <c r="A28" s="11" t="s">
        <v>22</v>
      </c>
      <c r="B28" s="1" t="s">
        <v>25</v>
      </c>
      <c r="C28" s="1" t="s">
        <v>28</v>
      </c>
      <c r="D28" s="2">
        <v>6212.1</v>
      </c>
      <c r="E28" s="6">
        <v>20</v>
      </c>
      <c r="F28" s="6">
        <v>5</v>
      </c>
      <c r="G28" s="6">
        <v>2</v>
      </c>
      <c r="H28" s="6">
        <v>9</v>
      </c>
      <c r="I28" s="6">
        <v>3</v>
      </c>
      <c r="K28" s="16" t="s">
        <v>56</v>
      </c>
      <c r="M28" s="18">
        <v>0</v>
      </c>
    </row>
    <row r="29" spans="1:13" x14ac:dyDescent="0.3">
      <c r="A29" s="11" t="s">
        <v>22</v>
      </c>
      <c r="B29" s="1" t="s">
        <v>25</v>
      </c>
      <c r="C29" s="1" t="s">
        <v>29</v>
      </c>
      <c r="D29" s="2">
        <v>6307.9030000000002</v>
      </c>
      <c r="E29" s="6">
        <v>20</v>
      </c>
      <c r="F29" s="6">
        <v>5</v>
      </c>
      <c r="G29" s="6">
        <v>2</v>
      </c>
      <c r="H29" s="6">
        <v>9</v>
      </c>
      <c r="I29" s="6">
        <v>3</v>
      </c>
      <c r="K29" s="16" t="s">
        <v>56</v>
      </c>
      <c r="M29" s="18">
        <v>0</v>
      </c>
    </row>
    <row r="30" spans="1:13" x14ac:dyDescent="0.3">
      <c r="A30" s="11" t="s">
        <v>22</v>
      </c>
      <c r="B30" s="1" t="s">
        <v>25</v>
      </c>
      <c r="C30" s="1" t="s">
        <v>30</v>
      </c>
      <c r="D30" s="2">
        <v>6115.29</v>
      </c>
      <c r="E30" s="6">
        <v>20</v>
      </c>
      <c r="F30" s="6">
        <v>0</v>
      </c>
      <c r="G30" s="6">
        <v>2</v>
      </c>
      <c r="H30" s="6">
        <v>9</v>
      </c>
      <c r="I30" s="6">
        <v>3</v>
      </c>
      <c r="K30" s="16" t="s">
        <v>56</v>
      </c>
      <c r="M30" s="18">
        <v>0</v>
      </c>
    </row>
    <row r="31" spans="1:13" x14ac:dyDescent="0.3">
      <c r="A31" s="11" t="s">
        <v>22</v>
      </c>
      <c r="B31" s="1" t="s">
        <v>25</v>
      </c>
      <c r="C31" s="1" t="s">
        <v>31</v>
      </c>
      <c r="D31" s="2">
        <v>6112.19</v>
      </c>
      <c r="E31" s="6">
        <v>20</v>
      </c>
      <c r="F31" s="6">
        <v>0</v>
      </c>
      <c r="G31" s="6">
        <v>2</v>
      </c>
      <c r="H31" s="6">
        <v>9</v>
      </c>
      <c r="I31" s="6">
        <v>3</v>
      </c>
      <c r="K31" s="16" t="s">
        <v>56</v>
      </c>
      <c r="M31" s="18">
        <v>0</v>
      </c>
    </row>
    <row r="32" spans="1:13" x14ac:dyDescent="0.3">
      <c r="A32" s="11" t="s">
        <v>22</v>
      </c>
      <c r="B32" s="1" t="s">
        <v>25</v>
      </c>
      <c r="C32" s="1" t="s">
        <v>32</v>
      </c>
      <c r="D32" s="2">
        <v>6211.39</v>
      </c>
      <c r="E32" s="6">
        <v>20</v>
      </c>
      <c r="F32" s="6">
        <v>5</v>
      </c>
      <c r="G32" s="6">
        <v>2</v>
      </c>
      <c r="H32" s="6">
        <v>9</v>
      </c>
      <c r="I32" s="6">
        <v>3</v>
      </c>
      <c r="K32" s="16" t="s">
        <v>56</v>
      </c>
      <c r="M32" s="18">
        <v>0</v>
      </c>
    </row>
    <row r="33" spans="1:13" x14ac:dyDescent="0.3">
      <c r="A33" s="11" t="s">
        <v>22</v>
      </c>
      <c r="B33" s="1" t="s">
        <v>41</v>
      </c>
      <c r="C33" s="1" t="s">
        <v>42</v>
      </c>
      <c r="D33" s="2">
        <v>4202.92</v>
      </c>
      <c r="E33" s="6">
        <v>20</v>
      </c>
      <c r="F33" s="6">
        <v>20</v>
      </c>
      <c r="G33" s="6">
        <v>2</v>
      </c>
      <c r="H33" s="6">
        <v>9</v>
      </c>
      <c r="I33" s="6">
        <v>3</v>
      </c>
      <c r="K33" s="16" t="s">
        <v>56</v>
      </c>
      <c r="M33" s="18">
        <v>0</v>
      </c>
    </row>
    <row r="34" spans="1:13" x14ac:dyDescent="0.3">
      <c r="A34" s="11" t="s">
        <v>22</v>
      </c>
      <c r="B34" s="1" t="s">
        <v>41</v>
      </c>
      <c r="C34" s="1" t="s">
        <v>43</v>
      </c>
      <c r="D34" s="2">
        <v>6115.99</v>
      </c>
      <c r="E34" s="6">
        <v>20</v>
      </c>
      <c r="F34" s="6">
        <v>0</v>
      </c>
      <c r="G34" s="6">
        <v>2</v>
      </c>
      <c r="H34" s="6">
        <v>9</v>
      </c>
      <c r="I34" s="6">
        <v>3</v>
      </c>
      <c r="K34" s="16" t="s">
        <v>56</v>
      </c>
      <c r="M34" s="18">
        <v>0</v>
      </c>
    </row>
    <row r="35" spans="1:13" x14ac:dyDescent="0.3">
      <c r="A35" s="11" t="s">
        <v>22</v>
      </c>
      <c r="B35" s="1" t="s">
        <v>41</v>
      </c>
      <c r="C35" s="1" t="s">
        <v>46</v>
      </c>
      <c r="D35" s="2">
        <v>6216.0010000000002</v>
      </c>
      <c r="E35" s="6">
        <v>20</v>
      </c>
      <c r="F35" s="6">
        <v>0</v>
      </c>
      <c r="G35" s="6">
        <v>2</v>
      </c>
      <c r="H35" s="6">
        <v>9</v>
      </c>
      <c r="I35" s="6">
        <v>3</v>
      </c>
      <c r="K35" s="16" t="s">
        <v>56</v>
      </c>
      <c r="M35" s="18">
        <v>0</v>
      </c>
    </row>
    <row r="36" spans="1:13" x14ac:dyDescent="0.3">
      <c r="A36" s="11" t="s">
        <v>22</v>
      </c>
      <c r="B36" s="1" t="s">
        <v>41</v>
      </c>
      <c r="C36" s="1" t="s">
        <v>44</v>
      </c>
      <c r="D36" s="2">
        <v>9506.6209999999992</v>
      </c>
      <c r="E36" s="6">
        <v>20</v>
      </c>
      <c r="F36" s="6">
        <v>30</v>
      </c>
      <c r="G36" s="6">
        <v>2</v>
      </c>
      <c r="H36" s="6">
        <v>17</v>
      </c>
      <c r="I36" s="7">
        <v>5.5</v>
      </c>
      <c r="K36" s="16" t="s">
        <v>56</v>
      </c>
      <c r="M36" s="18">
        <v>0</v>
      </c>
    </row>
    <row r="37" spans="1:13" x14ac:dyDescent="0.3">
      <c r="A37" s="11" t="s">
        <v>22</v>
      </c>
      <c r="B37" s="1" t="s">
        <v>41</v>
      </c>
      <c r="C37" s="1" t="s">
        <v>45</v>
      </c>
      <c r="D37" s="2">
        <v>9506.6991999999991</v>
      </c>
      <c r="E37" s="6">
        <v>20</v>
      </c>
      <c r="F37" s="6">
        <v>30</v>
      </c>
      <c r="G37" s="6">
        <v>2</v>
      </c>
      <c r="H37" s="6">
        <v>17</v>
      </c>
      <c r="I37" s="7">
        <v>5.5</v>
      </c>
      <c r="K37" s="16" t="s">
        <v>56</v>
      </c>
      <c r="M37" s="18">
        <v>0</v>
      </c>
    </row>
    <row r="38" spans="1:13" x14ac:dyDescent="0.3">
      <c r="A38" s="11" t="s">
        <v>22</v>
      </c>
      <c r="B38" s="1" t="s">
        <v>41</v>
      </c>
      <c r="C38" s="1" t="s">
        <v>49</v>
      </c>
      <c r="D38" s="2">
        <v>9506.9910999999993</v>
      </c>
      <c r="E38" s="6">
        <v>11</v>
      </c>
      <c r="F38" s="6">
        <v>30</v>
      </c>
      <c r="G38" s="6">
        <v>2</v>
      </c>
      <c r="H38" s="6">
        <v>17</v>
      </c>
      <c r="I38" s="7">
        <v>5.5</v>
      </c>
      <c r="K38" s="16" t="s">
        <v>56</v>
      </c>
      <c r="M38" s="18">
        <v>0</v>
      </c>
    </row>
    <row r="39" spans="1:13" x14ac:dyDescent="0.3">
      <c r="A39" s="11" t="s">
        <v>22</v>
      </c>
      <c r="B39" s="1" t="s">
        <v>41</v>
      </c>
      <c r="C39" s="1" t="s">
        <v>47</v>
      </c>
      <c r="D39" s="2">
        <v>3923.3009999999999</v>
      </c>
      <c r="E39" s="6">
        <v>20</v>
      </c>
      <c r="F39" s="6">
        <v>15</v>
      </c>
      <c r="G39" s="6">
        <v>2</v>
      </c>
      <c r="H39" s="6">
        <v>17</v>
      </c>
      <c r="I39" s="7">
        <v>5.5</v>
      </c>
      <c r="K39" s="15">
        <v>0.15</v>
      </c>
      <c r="M39" s="19" t="s">
        <v>57</v>
      </c>
    </row>
    <row r="40" spans="1:13" x14ac:dyDescent="0.3">
      <c r="A40" s="11" t="s">
        <v>22</v>
      </c>
      <c r="B40" s="1" t="s">
        <v>41</v>
      </c>
      <c r="C40" s="1" t="s">
        <v>48</v>
      </c>
      <c r="D40" s="2">
        <v>4202.32</v>
      </c>
      <c r="E40" s="6">
        <v>20</v>
      </c>
      <c r="F40" s="6">
        <v>20</v>
      </c>
      <c r="G40" s="6">
        <v>2</v>
      </c>
      <c r="H40" s="6">
        <v>9</v>
      </c>
      <c r="I40" s="6">
        <v>3</v>
      </c>
      <c r="K40" s="16" t="s">
        <v>56</v>
      </c>
      <c r="M40" s="18">
        <v>0</v>
      </c>
    </row>
    <row r="41" spans="1:13" x14ac:dyDescent="0.3">
      <c r="A41" s="11" t="s">
        <v>22</v>
      </c>
      <c r="B41" s="1" t="s">
        <v>41</v>
      </c>
      <c r="C41" s="1" t="s">
        <v>50</v>
      </c>
      <c r="D41" s="2">
        <v>9506.91</v>
      </c>
      <c r="E41" s="6">
        <v>11</v>
      </c>
      <c r="F41" s="6">
        <v>20</v>
      </c>
      <c r="G41" s="6">
        <v>2</v>
      </c>
      <c r="H41" s="6">
        <v>17</v>
      </c>
      <c r="I41" s="7">
        <v>5.5</v>
      </c>
      <c r="K41" s="16" t="s">
        <v>56</v>
      </c>
      <c r="M41" s="18">
        <v>0</v>
      </c>
    </row>
    <row r="42" spans="1:13" x14ac:dyDescent="0.3">
      <c r="A42" s="11" t="s">
        <v>22</v>
      </c>
      <c r="B42" s="1" t="s">
        <v>41</v>
      </c>
      <c r="C42" s="1" t="s">
        <v>52</v>
      </c>
      <c r="D42" s="2">
        <v>6117.8</v>
      </c>
      <c r="E42" s="6">
        <v>20</v>
      </c>
      <c r="F42" s="6">
        <v>0</v>
      </c>
      <c r="G42" s="6">
        <v>2</v>
      </c>
      <c r="H42" s="6">
        <v>9</v>
      </c>
      <c r="I42" s="6">
        <v>3</v>
      </c>
      <c r="K42" s="16" t="s">
        <v>56</v>
      </c>
      <c r="M42" s="18">
        <v>0</v>
      </c>
    </row>
    <row r="43" spans="1:13" x14ac:dyDescent="0.3">
      <c r="A43" s="11" t="s">
        <v>22</v>
      </c>
      <c r="B43" s="1" t="s">
        <v>41</v>
      </c>
      <c r="C43" s="1" t="s">
        <v>51</v>
      </c>
      <c r="D43" s="2">
        <v>8414.2000000000007</v>
      </c>
      <c r="E43" s="6">
        <v>11</v>
      </c>
      <c r="F43" s="6">
        <v>0</v>
      </c>
      <c r="G43" s="6">
        <v>2</v>
      </c>
      <c r="H43" s="6">
        <v>17</v>
      </c>
      <c r="I43" s="7">
        <v>5.5</v>
      </c>
      <c r="K43" s="16" t="s">
        <v>56</v>
      </c>
      <c r="M43" s="18">
        <v>0</v>
      </c>
    </row>
    <row r="45" spans="1:13" x14ac:dyDescent="0.3">
      <c r="A45" s="20" t="s">
        <v>59</v>
      </c>
      <c r="B45" s="1" t="s">
        <v>60</v>
      </c>
      <c r="C45" s="1" t="s">
        <v>60</v>
      </c>
      <c r="D45" s="2">
        <v>9102.11</v>
      </c>
      <c r="E45" s="6">
        <v>3</v>
      </c>
      <c r="F45" s="6">
        <v>30</v>
      </c>
      <c r="G45" s="6">
        <v>2</v>
      </c>
      <c r="H45" s="6">
        <v>17</v>
      </c>
      <c r="I45" s="7">
        <v>5.5</v>
      </c>
      <c r="K45" s="15">
        <v>0.3</v>
      </c>
      <c r="M45" s="19" t="s">
        <v>61</v>
      </c>
    </row>
    <row r="46" spans="1:13" x14ac:dyDescent="0.3">
      <c r="A46" s="20" t="s">
        <v>59</v>
      </c>
      <c r="B46" s="1" t="s">
        <v>63</v>
      </c>
      <c r="C46" s="1" t="s">
        <v>63</v>
      </c>
      <c r="D46" s="2">
        <v>9114.9</v>
      </c>
      <c r="E46" s="6">
        <v>3</v>
      </c>
      <c r="F46" s="6">
        <v>0</v>
      </c>
      <c r="G46" s="6">
        <v>2</v>
      </c>
      <c r="H46" s="6">
        <v>17</v>
      </c>
      <c r="I46" s="7">
        <v>5.5</v>
      </c>
      <c r="K46" s="16" t="s">
        <v>56</v>
      </c>
      <c r="M46" s="18">
        <v>0</v>
      </c>
    </row>
    <row r="47" spans="1:13" x14ac:dyDescent="0.3">
      <c r="A47" s="20" t="s">
        <v>59</v>
      </c>
      <c r="B47" s="1" t="s">
        <v>63</v>
      </c>
      <c r="C47" s="1" t="s">
        <v>64</v>
      </c>
      <c r="D47" s="2">
        <v>8506.5</v>
      </c>
      <c r="E47" s="6">
        <v>11</v>
      </c>
      <c r="F47" s="6">
        <v>0</v>
      </c>
      <c r="G47" s="6">
        <v>2</v>
      </c>
      <c r="H47" s="6">
        <v>17</v>
      </c>
      <c r="I47" s="7">
        <v>5.5</v>
      </c>
      <c r="K47" s="16" t="s">
        <v>56</v>
      </c>
      <c r="M47" s="18">
        <v>0</v>
      </c>
    </row>
    <row r="48" spans="1:13" x14ac:dyDescent="0.3">
      <c r="A48" s="20" t="s">
        <v>62</v>
      </c>
      <c r="B48" s="1" t="s">
        <v>60</v>
      </c>
      <c r="C48" s="1" t="s">
        <v>60</v>
      </c>
      <c r="D48" s="2">
        <v>9102.11</v>
      </c>
      <c r="E48" s="6">
        <v>3</v>
      </c>
      <c r="F48" s="6">
        <v>30</v>
      </c>
      <c r="G48" s="6">
        <v>2</v>
      </c>
      <c r="H48" s="6">
        <v>17</v>
      </c>
      <c r="I48" s="7">
        <v>5.5</v>
      </c>
      <c r="K48" s="15">
        <v>0.3</v>
      </c>
      <c r="M48" s="19" t="s">
        <v>61</v>
      </c>
    </row>
  </sheetData>
  <mergeCells count="2">
    <mergeCell ref="E2:I2"/>
    <mergeCell ref="K2:K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1"/>
  <sheetViews>
    <sheetView showGridLines="0" topLeftCell="A31" workbookViewId="0">
      <selection activeCell="C49" sqref="C49"/>
    </sheetView>
  </sheetViews>
  <sheetFormatPr defaultRowHeight="14.4" x14ac:dyDescent="0.3"/>
  <cols>
    <col min="1" max="1" width="26" bestFit="1" customWidth="1"/>
    <col min="2" max="2" width="17" bestFit="1" customWidth="1"/>
    <col min="3" max="3" width="72.44140625" customWidth="1"/>
    <col min="4" max="4" width="9.5546875" bestFit="1" customWidth="1"/>
    <col min="5" max="7" width="8.88671875" customWidth="1"/>
    <col min="8" max="8" width="10.88671875" customWidth="1"/>
    <col min="9" max="10" width="8.88671875" customWidth="1"/>
    <col min="11" max="11" width="1.44140625" customWidth="1"/>
    <col min="12" max="12" width="1.21875" customWidth="1"/>
  </cols>
  <sheetData>
    <row r="2" spans="1:10" x14ac:dyDescent="0.3">
      <c r="A2" s="26"/>
      <c r="B2" s="26"/>
      <c r="C2" s="26"/>
      <c r="D2" s="8"/>
      <c r="E2" s="45"/>
      <c r="F2" s="46"/>
      <c r="G2" s="46"/>
      <c r="H2" s="46"/>
      <c r="I2" s="46"/>
      <c r="J2" s="47"/>
    </row>
    <row r="3" spans="1:10" x14ac:dyDescent="0.3">
      <c r="A3" s="26" t="s">
        <v>10</v>
      </c>
      <c r="B3" s="26" t="s">
        <v>11</v>
      </c>
      <c r="C3" s="25"/>
      <c r="D3" s="8" t="s">
        <v>13</v>
      </c>
      <c r="E3" s="8" t="s">
        <v>14</v>
      </c>
      <c r="F3" s="8" t="s">
        <v>15</v>
      </c>
      <c r="G3" s="8" t="s">
        <v>16</v>
      </c>
      <c r="H3" s="8" t="s">
        <v>92</v>
      </c>
      <c r="I3" s="8" t="s">
        <v>65</v>
      </c>
      <c r="J3" s="8" t="s">
        <v>18</v>
      </c>
    </row>
    <row r="4" spans="1:10" x14ac:dyDescent="0.3">
      <c r="A4" s="10" t="s">
        <v>0</v>
      </c>
      <c r="B4" s="1" t="s">
        <v>1</v>
      </c>
      <c r="C4" s="1" t="s">
        <v>67</v>
      </c>
      <c r="D4" s="2">
        <v>6403.99</v>
      </c>
      <c r="E4" s="4">
        <v>20</v>
      </c>
      <c r="F4" s="27">
        <v>40</v>
      </c>
      <c r="G4" s="28">
        <v>6</v>
      </c>
      <c r="H4" s="28">
        <v>25</v>
      </c>
      <c r="I4" s="4">
        <v>3</v>
      </c>
      <c r="J4" s="4">
        <v>6</v>
      </c>
    </row>
    <row r="5" spans="1:10" x14ac:dyDescent="0.3">
      <c r="A5" s="10" t="s">
        <v>0</v>
      </c>
      <c r="B5" s="1" t="s">
        <v>1</v>
      </c>
      <c r="C5" s="1" t="s">
        <v>66</v>
      </c>
      <c r="D5" s="2">
        <v>6404.19</v>
      </c>
      <c r="E5" s="4">
        <v>20</v>
      </c>
      <c r="F5" s="27">
        <v>40</v>
      </c>
      <c r="G5" s="28">
        <v>6</v>
      </c>
      <c r="H5" s="28">
        <v>25</v>
      </c>
      <c r="I5" s="4">
        <v>3</v>
      </c>
      <c r="J5" s="4">
        <v>6</v>
      </c>
    </row>
    <row r="6" spans="1:10" x14ac:dyDescent="0.3">
      <c r="A6" s="10" t="s">
        <v>0</v>
      </c>
      <c r="B6" s="1" t="s">
        <v>1</v>
      </c>
      <c r="C6" s="1" t="s">
        <v>68</v>
      </c>
      <c r="D6" s="2">
        <v>6402.99</v>
      </c>
      <c r="E6" s="4">
        <v>20</v>
      </c>
      <c r="F6" s="27">
        <v>20</v>
      </c>
      <c r="G6" s="28">
        <v>6</v>
      </c>
      <c r="H6" s="28">
        <v>25</v>
      </c>
      <c r="I6" s="4">
        <v>3</v>
      </c>
      <c r="J6" s="4">
        <v>6</v>
      </c>
    </row>
    <row r="7" spans="1:10" x14ac:dyDescent="0.3">
      <c r="A7" s="10" t="s">
        <v>0</v>
      </c>
      <c r="B7" s="1" t="s">
        <v>2</v>
      </c>
      <c r="C7" s="1" t="s">
        <v>69</v>
      </c>
      <c r="D7" s="2">
        <v>4202.21</v>
      </c>
      <c r="E7" s="4">
        <v>20</v>
      </c>
      <c r="F7" s="27">
        <v>20</v>
      </c>
      <c r="G7" s="28">
        <v>6</v>
      </c>
      <c r="H7" s="28">
        <v>25</v>
      </c>
      <c r="I7" s="4">
        <v>3</v>
      </c>
      <c r="J7" s="4">
        <v>6</v>
      </c>
    </row>
    <row r="8" spans="1:10" x14ac:dyDescent="0.3">
      <c r="A8" s="10" t="s">
        <v>0</v>
      </c>
      <c r="B8" s="1" t="s">
        <v>2</v>
      </c>
      <c r="C8" s="1" t="s">
        <v>70</v>
      </c>
      <c r="D8" s="2">
        <v>4202.22</v>
      </c>
      <c r="E8" s="4">
        <v>20</v>
      </c>
      <c r="F8" s="27">
        <v>20</v>
      </c>
      <c r="G8" s="28">
        <v>6</v>
      </c>
      <c r="H8" s="28">
        <v>25</v>
      </c>
      <c r="I8" s="4">
        <v>3</v>
      </c>
      <c r="J8" s="4">
        <v>6</v>
      </c>
    </row>
    <row r="9" spans="1:10" x14ac:dyDescent="0.3">
      <c r="A9" s="10" t="s">
        <v>0</v>
      </c>
      <c r="B9" s="1" t="s">
        <v>2</v>
      </c>
      <c r="C9" s="1" t="s">
        <v>71</v>
      </c>
      <c r="D9" s="2">
        <v>4202.1189999999997</v>
      </c>
      <c r="E9" s="4">
        <v>20</v>
      </c>
      <c r="F9" s="27">
        <v>20</v>
      </c>
      <c r="G9" s="28">
        <v>6</v>
      </c>
      <c r="H9" s="28">
        <v>25</v>
      </c>
      <c r="I9" s="4">
        <v>3</v>
      </c>
      <c r="J9" s="4">
        <v>6</v>
      </c>
    </row>
    <row r="10" spans="1:10" x14ac:dyDescent="0.3">
      <c r="A10" s="10" t="s">
        <v>0</v>
      </c>
      <c r="B10" s="1" t="s">
        <v>2</v>
      </c>
      <c r="C10" s="1" t="s">
        <v>72</v>
      </c>
      <c r="D10" s="2">
        <v>4202.1289999999999</v>
      </c>
      <c r="E10" s="4">
        <v>20</v>
      </c>
      <c r="F10" s="27">
        <v>20</v>
      </c>
      <c r="G10" s="28">
        <v>6</v>
      </c>
      <c r="H10" s="28">
        <v>25</v>
      </c>
      <c r="I10" s="4">
        <v>3</v>
      </c>
      <c r="J10" s="4">
        <v>6</v>
      </c>
    </row>
    <row r="11" spans="1:10" x14ac:dyDescent="0.3">
      <c r="A11" s="10" t="s">
        <v>0</v>
      </c>
      <c r="B11" s="1" t="s">
        <v>78</v>
      </c>
      <c r="C11" s="1" t="s">
        <v>73</v>
      </c>
      <c r="D11" s="2">
        <v>4202.3100000000004</v>
      </c>
      <c r="E11" s="4">
        <v>20</v>
      </c>
      <c r="F11" s="27">
        <v>20</v>
      </c>
      <c r="G11" s="28">
        <v>6</v>
      </c>
      <c r="H11" s="28">
        <v>25</v>
      </c>
      <c r="I11" s="4">
        <v>3</v>
      </c>
      <c r="J11" s="4">
        <v>6</v>
      </c>
    </row>
    <row r="12" spans="1:10" x14ac:dyDescent="0.3">
      <c r="A12" s="10" t="s">
        <v>0</v>
      </c>
      <c r="B12" s="1" t="s">
        <v>78</v>
      </c>
      <c r="C12" s="1" t="s">
        <v>74</v>
      </c>
      <c r="D12" s="2">
        <v>4202.32</v>
      </c>
      <c r="E12" s="4">
        <v>20</v>
      </c>
      <c r="F12" s="27">
        <v>20</v>
      </c>
      <c r="G12" s="28">
        <v>6</v>
      </c>
      <c r="H12" s="28">
        <v>25</v>
      </c>
      <c r="I12" s="4">
        <v>3</v>
      </c>
      <c r="J12" s="4">
        <v>6</v>
      </c>
    </row>
    <row r="13" spans="1:10" x14ac:dyDescent="0.3">
      <c r="A13" s="10" t="s">
        <v>0</v>
      </c>
      <c r="B13" s="1" t="s">
        <v>5</v>
      </c>
      <c r="C13" s="1" t="s">
        <v>6</v>
      </c>
      <c r="D13" s="2">
        <v>4203.3</v>
      </c>
      <c r="E13" s="4">
        <v>20</v>
      </c>
      <c r="F13" s="27">
        <v>50</v>
      </c>
      <c r="G13" s="28">
        <v>6</v>
      </c>
      <c r="H13" s="28">
        <v>25</v>
      </c>
      <c r="I13" s="4">
        <v>3</v>
      </c>
      <c r="J13" s="4">
        <v>6</v>
      </c>
    </row>
    <row r="14" spans="1:10" x14ac:dyDescent="0.3">
      <c r="E14" s="3"/>
      <c r="F14" s="29"/>
      <c r="G14" s="30"/>
      <c r="H14" s="30"/>
      <c r="I14" s="3"/>
      <c r="J14" s="22"/>
    </row>
    <row r="15" spans="1:10" x14ac:dyDescent="0.3">
      <c r="A15" s="9" t="s">
        <v>7</v>
      </c>
      <c r="B15" s="1" t="s">
        <v>1</v>
      </c>
      <c r="C15" s="1" t="s">
        <v>75</v>
      </c>
      <c r="D15" s="2">
        <v>6403.99</v>
      </c>
      <c r="E15" s="4">
        <v>20</v>
      </c>
      <c r="F15" s="27">
        <v>40</v>
      </c>
      <c r="G15" s="28">
        <v>6</v>
      </c>
      <c r="H15" s="28">
        <v>25</v>
      </c>
      <c r="I15" s="4">
        <v>3</v>
      </c>
      <c r="J15" s="4">
        <v>6</v>
      </c>
    </row>
    <row r="16" spans="1:10" x14ac:dyDescent="0.3">
      <c r="A16" s="9" t="s">
        <v>7</v>
      </c>
      <c r="B16" s="1" t="s">
        <v>1</v>
      </c>
      <c r="C16" s="1" t="s">
        <v>76</v>
      </c>
      <c r="D16" s="2">
        <v>6404.19</v>
      </c>
      <c r="E16" s="4">
        <v>20</v>
      </c>
      <c r="F16" s="27">
        <v>40</v>
      </c>
      <c r="G16" s="28">
        <v>6</v>
      </c>
      <c r="H16" s="28">
        <v>25</v>
      </c>
      <c r="I16" s="4">
        <v>3</v>
      </c>
      <c r="J16" s="4">
        <v>6</v>
      </c>
    </row>
    <row r="17" spans="1:10" x14ac:dyDescent="0.3">
      <c r="A17" s="9" t="s">
        <v>7</v>
      </c>
      <c r="B17" s="1" t="s">
        <v>1</v>
      </c>
      <c r="C17" s="1" t="s">
        <v>77</v>
      </c>
      <c r="D17" s="2">
        <v>6402.99</v>
      </c>
      <c r="E17" s="4">
        <v>20</v>
      </c>
      <c r="F17" s="27">
        <v>20</v>
      </c>
      <c r="G17" s="28">
        <v>6</v>
      </c>
      <c r="H17" s="28">
        <v>25</v>
      </c>
      <c r="I17" s="4">
        <v>3</v>
      </c>
      <c r="J17" s="4">
        <v>6</v>
      </c>
    </row>
    <row r="18" spans="1:10" x14ac:dyDescent="0.3">
      <c r="A18" s="9" t="s">
        <v>7</v>
      </c>
      <c r="B18" s="1" t="s">
        <v>2</v>
      </c>
      <c r="C18" s="1" t="s">
        <v>69</v>
      </c>
      <c r="D18" s="2">
        <v>4202.21</v>
      </c>
      <c r="E18" s="4">
        <v>20</v>
      </c>
      <c r="F18" s="27">
        <v>20</v>
      </c>
      <c r="G18" s="28">
        <v>6</v>
      </c>
      <c r="H18" s="28">
        <v>25</v>
      </c>
      <c r="I18" s="4">
        <v>3</v>
      </c>
      <c r="J18" s="4">
        <v>6</v>
      </c>
    </row>
    <row r="19" spans="1:10" x14ac:dyDescent="0.3">
      <c r="A19" s="9" t="s">
        <v>7</v>
      </c>
      <c r="B19" s="1" t="s">
        <v>2</v>
      </c>
      <c r="C19" s="1" t="s">
        <v>70</v>
      </c>
      <c r="D19" s="2">
        <v>4202.22</v>
      </c>
      <c r="E19" s="4">
        <v>20</v>
      </c>
      <c r="F19" s="27">
        <v>20</v>
      </c>
      <c r="G19" s="28">
        <v>6</v>
      </c>
      <c r="H19" s="28">
        <v>25</v>
      </c>
      <c r="I19" s="4">
        <v>3</v>
      </c>
      <c r="J19" s="4">
        <v>6</v>
      </c>
    </row>
    <row r="20" spans="1:10" x14ac:dyDescent="0.3">
      <c r="A20" s="9" t="s">
        <v>7</v>
      </c>
      <c r="B20" s="1" t="s">
        <v>78</v>
      </c>
      <c r="C20" s="1" t="s">
        <v>73</v>
      </c>
      <c r="D20" s="2">
        <v>4202.3100000000004</v>
      </c>
      <c r="E20" s="4">
        <v>20</v>
      </c>
      <c r="F20" s="27">
        <v>20</v>
      </c>
      <c r="G20" s="28">
        <v>6</v>
      </c>
      <c r="H20" s="28">
        <v>25</v>
      </c>
      <c r="I20" s="4">
        <v>3</v>
      </c>
      <c r="J20" s="4">
        <v>6</v>
      </c>
    </row>
    <row r="21" spans="1:10" x14ac:dyDescent="0.3">
      <c r="A21" s="9" t="s">
        <v>7</v>
      </c>
      <c r="B21" s="1" t="s">
        <v>78</v>
      </c>
      <c r="C21" s="1" t="s">
        <v>74</v>
      </c>
      <c r="D21" s="2">
        <v>4202.32</v>
      </c>
      <c r="E21" s="4">
        <v>20</v>
      </c>
      <c r="F21" s="27">
        <v>20</v>
      </c>
      <c r="G21" s="28">
        <v>6</v>
      </c>
      <c r="H21" s="28">
        <v>25</v>
      </c>
      <c r="I21" s="4">
        <v>3</v>
      </c>
      <c r="J21" s="4">
        <v>6</v>
      </c>
    </row>
    <row r="22" spans="1:10" x14ac:dyDescent="0.3">
      <c r="A22" s="9" t="s">
        <v>7</v>
      </c>
      <c r="B22" s="1" t="s">
        <v>9</v>
      </c>
      <c r="C22" s="1" t="s">
        <v>9</v>
      </c>
      <c r="D22" s="2">
        <v>9004.1</v>
      </c>
      <c r="E22" s="4">
        <v>3</v>
      </c>
      <c r="F22" s="27">
        <v>30</v>
      </c>
      <c r="G22" s="28">
        <v>2</v>
      </c>
      <c r="H22" s="28">
        <v>25</v>
      </c>
      <c r="I22" s="4">
        <v>3</v>
      </c>
      <c r="J22" s="4">
        <v>6</v>
      </c>
    </row>
    <row r="23" spans="1:10" x14ac:dyDescent="0.3">
      <c r="F23" s="31"/>
      <c r="G23" s="31"/>
      <c r="H23" s="31"/>
      <c r="J23" s="23"/>
    </row>
    <row r="24" spans="1:10" x14ac:dyDescent="0.3">
      <c r="A24" s="11" t="s">
        <v>86</v>
      </c>
      <c r="B24" s="1" t="s">
        <v>1</v>
      </c>
      <c r="C24" s="1" t="s">
        <v>84</v>
      </c>
      <c r="D24" s="2">
        <v>6402.19</v>
      </c>
      <c r="E24" s="6">
        <v>20</v>
      </c>
      <c r="F24" s="27">
        <v>20</v>
      </c>
      <c r="G24" s="28">
        <v>6</v>
      </c>
      <c r="H24" s="28">
        <v>25</v>
      </c>
      <c r="I24" s="4">
        <v>3</v>
      </c>
      <c r="J24" s="4">
        <v>6</v>
      </c>
    </row>
    <row r="25" spans="1:10" x14ac:dyDescent="0.3">
      <c r="A25" s="11" t="s">
        <v>85</v>
      </c>
      <c r="B25" s="1" t="s">
        <v>1</v>
      </c>
      <c r="C25" s="1" t="s">
        <v>79</v>
      </c>
      <c r="D25" s="2">
        <v>6402.99</v>
      </c>
      <c r="E25" s="6">
        <v>20</v>
      </c>
      <c r="F25" s="27">
        <v>20</v>
      </c>
      <c r="G25" s="28">
        <v>6</v>
      </c>
      <c r="H25" s="28">
        <v>25</v>
      </c>
      <c r="I25" s="4">
        <v>3</v>
      </c>
      <c r="J25" s="4">
        <v>6</v>
      </c>
    </row>
    <row r="26" spans="1:10" x14ac:dyDescent="0.3">
      <c r="A26" s="11" t="s">
        <v>88</v>
      </c>
      <c r="B26" s="1" t="s">
        <v>1</v>
      </c>
      <c r="C26" s="1" t="s">
        <v>80</v>
      </c>
      <c r="D26" s="2">
        <v>6404.11</v>
      </c>
      <c r="E26" s="6">
        <v>20</v>
      </c>
      <c r="F26" s="27">
        <v>40</v>
      </c>
      <c r="G26" s="28">
        <v>6</v>
      </c>
      <c r="H26" s="28">
        <v>25</v>
      </c>
      <c r="I26" s="4">
        <v>3</v>
      </c>
      <c r="J26" s="4">
        <v>6</v>
      </c>
    </row>
    <row r="27" spans="1:10" x14ac:dyDescent="0.3">
      <c r="A27" s="11" t="s">
        <v>88</v>
      </c>
      <c r="B27" s="1" t="s">
        <v>1</v>
      </c>
      <c r="C27" s="1" t="s">
        <v>81</v>
      </c>
      <c r="D27" s="2">
        <v>6403.19</v>
      </c>
      <c r="E27" s="6">
        <v>20</v>
      </c>
      <c r="F27" s="27">
        <v>20</v>
      </c>
      <c r="G27" s="28">
        <v>6</v>
      </c>
      <c r="H27" s="28">
        <v>25</v>
      </c>
      <c r="I27" s="4">
        <v>3</v>
      </c>
      <c r="J27" s="4">
        <v>6</v>
      </c>
    </row>
    <row r="28" spans="1:10" x14ac:dyDescent="0.3">
      <c r="A28" s="11" t="s">
        <v>87</v>
      </c>
      <c r="B28" s="1" t="s">
        <v>1</v>
      </c>
      <c r="C28" s="1" t="s">
        <v>89</v>
      </c>
      <c r="D28" s="2">
        <v>6403.99</v>
      </c>
      <c r="E28" s="4">
        <v>20</v>
      </c>
      <c r="F28" s="27">
        <v>40</v>
      </c>
      <c r="G28" s="28">
        <v>6</v>
      </c>
      <c r="H28" s="28">
        <v>25</v>
      </c>
      <c r="I28" s="4">
        <v>3</v>
      </c>
      <c r="J28" s="4">
        <v>6</v>
      </c>
    </row>
    <row r="29" spans="1:10" x14ac:dyDescent="0.3">
      <c r="A29" s="11" t="s">
        <v>88</v>
      </c>
      <c r="B29" s="1" t="s">
        <v>25</v>
      </c>
      <c r="C29" s="1" t="s">
        <v>26</v>
      </c>
      <c r="D29" s="2">
        <v>6109.9089999999997</v>
      </c>
      <c r="E29" s="6">
        <v>20</v>
      </c>
      <c r="F29" s="27">
        <v>10</v>
      </c>
      <c r="G29" s="28">
        <v>6</v>
      </c>
      <c r="H29" s="28">
        <v>18</v>
      </c>
      <c r="I29" s="4">
        <v>3</v>
      </c>
      <c r="J29" s="4">
        <v>6</v>
      </c>
    </row>
    <row r="30" spans="1:10" x14ac:dyDescent="0.3">
      <c r="A30" s="11" t="s">
        <v>88</v>
      </c>
      <c r="B30" s="1" t="s">
        <v>25</v>
      </c>
      <c r="C30" s="1" t="s">
        <v>27</v>
      </c>
      <c r="D30" s="2">
        <v>6105.2</v>
      </c>
      <c r="E30" s="6">
        <v>20</v>
      </c>
      <c r="F30" s="27">
        <v>10</v>
      </c>
      <c r="G30" s="28">
        <v>6</v>
      </c>
      <c r="H30" s="28">
        <v>18</v>
      </c>
      <c r="I30" s="4">
        <v>3</v>
      </c>
      <c r="J30" s="4">
        <v>6</v>
      </c>
    </row>
    <row r="31" spans="1:10" x14ac:dyDescent="0.3">
      <c r="A31" s="11" t="s">
        <v>88</v>
      </c>
      <c r="B31" s="1" t="s">
        <v>25</v>
      </c>
      <c r="C31" s="1" t="s">
        <v>33</v>
      </c>
      <c r="D31" s="2">
        <v>6103.39</v>
      </c>
      <c r="E31" s="6">
        <v>20</v>
      </c>
      <c r="F31" s="27">
        <v>10</v>
      </c>
      <c r="G31" s="28">
        <v>6</v>
      </c>
      <c r="H31" s="28">
        <v>18</v>
      </c>
      <c r="I31" s="4">
        <v>3</v>
      </c>
      <c r="J31" s="4">
        <v>6</v>
      </c>
    </row>
    <row r="32" spans="1:10" x14ac:dyDescent="0.3">
      <c r="A32" s="11" t="s">
        <v>88</v>
      </c>
      <c r="B32" s="1" t="s">
        <v>25</v>
      </c>
      <c r="C32" s="1" t="s">
        <v>34</v>
      </c>
      <c r="D32" s="2">
        <v>6104.39</v>
      </c>
      <c r="E32" s="6">
        <v>20</v>
      </c>
      <c r="F32" s="27">
        <v>10</v>
      </c>
      <c r="G32" s="28">
        <v>6</v>
      </c>
      <c r="H32" s="28">
        <v>18</v>
      </c>
      <c r="I32" s="4">
        <v>3</v>
      </c>
      <c r="J32" s="4">
        <v>6</v>
      </c>
    </row>
    <row r="33" spans="1:10" x14ac:dyDescent="0.3">
      <c r="A33" s="11" t="s">
        <v>88</v>
      </c>
      <c r="B33" s="1" t="s">
        <v>25</v>
      </c>
      <c r="C33" s="1" t="s">
        <v>35</v>
      </c>
      <c r="D33" s="2">
        <v>6203.39</v>
      </c>
      <c r="E33" s="6">
        <v>20</v>
      </c>
      <c r="F33" s="27">
        <v>10</v>
      </c>
      <c r="G33" s="28">
        <v>6</v>
      </c>
      <c r="H33" s="28">
        <v>18</v>
      </c>
      <c r="I33" s="4">
        <v>3</v>
      </c>
      <c r="J33" s="4">
        <v>6</v>
      </c>
    </row>
    <row r="34" spans="1:10" x14ac:dyDescent="0.3">
      <c r="A34" s="11" t="s">
        <v>88</v>
      </c>
      <c r="B34" s="1" t="s">
        <v>25</v>
      </c>
      <c r="C34" s="1" t="s">
        <v>36</v>
      </c>
      <c r="D34" s="2">
        <v>6204.39</v>
      </c>
      <c r="E34" s="6">
        <v>20</v>
      </c>
      <c r="F34" s="27">
        <v>10</v>
      </c>
      <c r="G34" s="28">
        <v>6</v>
      </c>
      <c r="H34" s="28">
        <v>18</v>
      </c>
      <c r="I34" s="4">
        <v>3</v>
      </c>
      <c r="J34" s="4">
        <v>6</v>
      </c>
    </row>
    <row r="35" spans="1:10" x14ac:dyDescent="0.3">
      <c r="A35" s="11" t="s">
        <v>88</v>
      </c>
      <c r="B35" s="1" t="s">
        <v>25</v>
      </c>
      <c r="C35" s="1" t="s">
        <v>37</v>
      </c>
      <c r="D35" s="2">
        <v>6103.49</v>
      </c>
      <c r="E35" s="6">
        <v>20</v>
      </c>
      <c r="F35" s="27">
        <v>10</v>
      </c>
      <c r="G35" s="28">
        <v>6</v>
      </c>
      <c r="H35" s="28">
        <v>18</v>
      </c>
      <c r="I35" s="4">
        <v>3</v>
      </c>
      <c r="J35" s="4">
        <v>6</v>
      </c>
    </row>
    <row r="36" spans="1:10" x14ac:dyDescent="0.3">
      <c r="A36" s="11" t="s">
        <v>88</v>
      </c>
      <c r="B36" s="1" t="s">
        <v>25</v>
      </c>
      <c r="C36" s="1" t="s">
        <v>38</v>
      </c>
      <c r="D36" s="2">
        <v>6104.69</v>
      </c>
      <c r="E36" s="6">
        <v>20</v>
      </c>
      <c r="F36" s="27">
        <v>10</v>
      </c>
      <c r="G36" s="28">
        <v>6</v>
      </c>
      <c r="H36" s="28">
        <v>18</v>
      </c>
      <c r="I36" s="4">
        <v>3</v>
      </c>
      <c r="J36" s="4">
        <v>6</v>
      </c>
    </row>
    <row r="37" spans="1:10" x14ac:dyDescent="0.3">
      <c r="A37" s="11" t="s">
        <v>88</v>
      </c>
      <c r="B37" s="1" t="s">
        <v>25</v>
      </c>
      <c r="C37" s="1" t="s">
        <v>39</v>
      </c>
      <c r="D37" s="2">
        <v>6203.49</v>
      </c>
      <c r="E37" s="6">
        <v>20</v>
      </c>
      <c r="F37" s="27">
        <v>10</v>
      </c>
      <c r="G37" s="28">
        <v>6</v>
      </c>
      <c r="H37" s="28">
        <v>18</v>
      </c>
      <c r="I37" s="4">
        <v>3</v>
      </c>
      <c r="J37" s="4">
        <v>6</v>
      </c>
    </row>
    <row r="38" spans="1:10" x14ac:dyDescent="0.3">
      <c r="A38" s="11" t="s">
        <v>88</v>
      </c>
      <c r="B38" s="1" t="s">
        <v>25</v>
      </c>
      <c r="C38" s="1" t="s">
        <v>40</v>
      </c>
      <c r="D38" s="2">
        <v>6204.6289999999999</v>
      </c>
      <c r="E38" s="6">
        <v>20</v>
      </c>
      <c r="F38" s="27">
        <v>10</v>
      </c>
      <c r="G38" s="28">
        <v>6</v>
      </c>
      <c r="H38" s="28">
        <v>18</v>
      </c>
      <c r="I38" s="4">
        <v>3</v>
      </c>
      <c r="J38" s="4">
        <v>6</v>
      </c>
    </row>
    <row r="39" spans="1:10" x14ac:dyDescent="0.3">
      <c r="A39" s="11" t="s">
        <v>88</v>
      </c>
      <c r="B39" s="1" t="s">
        <v>25</v>
      </c>
      <c r="C39" s="1" t="s">
        <v>28</v>
      </c>
      <c r="D39" s="2">
        <v>6212.1</v>
      </c>
      <c r="E39" s="6">
        <v>20</v>
      </c>
      <c r="F39" s="27">
        <v>10</v>
      </c>
      <c r="G39" s="28">
        <v>6</v>
      </c>
      <c r="H39" s="28">
        <v>18</v>
      </c>
      <c r="I39" s="4">
        <v>3</v>
      </c>
      <c r="J39" s="4">
        <v>6</v>
      </c>
    </row>
    <row r="40" spans="1:10" x14ac:dyDescent="0.3">
      <c r="A40" s="11" t="s">
        <v>88</v>
      </c>
      <c r="B40" s="1" t="s">
        <v>25</v>
      </c>
      <c r="C40" s="1" t="s">
        <v>29</v>
      </c>
      <c r="D40" s="2">
        <v>6307.9030000000002</v>
      </c>
      <c r="E40" s="6">
        <v>20</v>
      </c>
      <c r="F40" s="27">
        <v>10</v>
      </c>
      <c r="G40" s="28">
        <v>6</v>
      </c>
      <c r="H40" s="28">
        <v>18</v>
      </c>
      <c r="I40" s="4">
        <v>3</v>
      </c>
      <c r="J40" s="4">
        <v>6</v>
      </c>
    </row>
    <row r="41" spans="1:10" x14ac:dyDescent="0.3">
      <c r="A41" s="11" t="s">
        <v>88</v>
      </c>
      <c r="B41" s="1" t="s">
        <v>25</v>
      </c>
      <c r="C41" s="1" t="s">
        <v>30</v>
      </c>
      <c r="D41" s="2">
        <v>6115.29</v>
      </c>
      <c r="E41" s="6">
        <v>20</v>
      </c>
      <c r="F41" s="27">
        <v>10</v>
      </c>
      <c r="G41" s="28">
        <v>6</v>
      </c>
      <c r="H41" s="28">
        <v>18</v>
      </c>
      <c r="I41" s="4">
        <v>3</v>
      </c>
      <c r="J41" s="4">
        <v>6</v>
      </c>
    </row>
    <row r="42" spans="1:10" x14ac:dyDescent="0.3">
      <c r="A42" s="11" t="s">
        <v>88</v>
      </c>
      <c r="B42" s="1" t="s">
        <v>25</v>
      </c>
      <c r="C42" s="1" t="s">
        <v>31</v>
      </c>
      <c r="D42" s="2">
        <v>6112.19</v>
      </c>
      <c r="E42" s="6">
        <v>20</v>
      </c>
      <c r="F42" s="27">
        <v>10</v>
      </c>
      <c r="G42" s="28">
        <v>6</v>
      </c>
      <c r="H42" s="28">
        <v>18</v>
      </c>
      <c r="I42" s="4">
        <v>3</v>
      </c>
      <c r="J42" s="4">
        <v>6</v>
      </c>
    </row>
    <row r="43" spans="1:10" x14ac:dyDescent="0.3">
      <c r="A43" s="11" t="s">
        <v>88</v>
      </c>
      <c r="B43" s="1" t="s">
        <v>25</v>
      </c>
      <c r="C43" s="1" t="s">
        <v>32</v>
      </c>
      <c r="D43" s="2">
        <v>6211.39</v>
      </c>
      <c r="E43" s="6">
        <v>20</v>
      </c>
      <c r="F43" s="27">
        <v>10</v>
      </c>
      <c r="G43" s="28">
        <v>6</v>
      </c>
      <c r="H43" s="28">
        <v>18</v>
      </c>
      <c r="I43" s="4">
        <v>3</v>
      </c>
      <c r="J43" s="4">
        <v>6</v>
      </c>
    </row>
    <row r="44" spans="1:10" x14ac:dyDescent="0.3">
      <c r="A44" s="11" t="s">
        <v>88</v>
      </c>
      <c r="B44" s="1" t="s">
        <v>41</v>
      </c>
      <c r="C44" s="1" t="s">
        <v>42</v>
      </c>
      <c r="D44" s="2">
        <v>4202.92</v>
      </c>
      <c r="E44" s="6">
        <v>20</v>
      </c>
      <c r="F44" s="27">
        <v>20</v>
      </c>
      <c r="G44" s="28">
        <v>6</v>
      </c>
      <c r="H44" s="28">
        <v>25</v>
      </c>
      <c r="I44" s="4">
        <v>3</v>
      </c>
      <c r="J44" s="4">
        <v>6</v>
      </c>
    </row>
    <row r="45" spans="1:10" x14ac:dyDescent="0.3">
      <c r="A45" s="11" t="s">
        <v>88</v>
      </c>
      <c r="B45" s="1" t="s">
        <v>41</v>
      </c>
      <c r="C45" s="1" t="s">
        <v>43</v>
      </c>
      <c r="D45" s="2">
        <v>6115.99</v>
      </c>
      <c r="E45" s="6">
        <v>20</v>
      </c>
      <c r="F45" s="27">
        <v>10</v>
      </c>
      <c r="G45" s="28">
        <v>6</v>
      </c>
      <c r="H45" s="28">
        <v>18</v>
      </c>
      <c r="I45" s="4">
        <v>3</v>
      </c>
      <c r="J45" s="4">
        <v>6</v>
      </c>
    </row>
    <row r="46" spans="1:10" x14ac:dyDescent="0.3">
      <c r="A46" s="11" t="s">
        <v>88</v>
      </c>
      <c r="B46" s="1" t="s">
        <v>41</v>
      </c>
      <c r="C46" s="1" t="s">
        <v>46</v>
      </c>
      <c r="D46" s="2">
        <v>6216.0010000000002</v>
      </c>
      <c r="E46" s="6">
        <v>20</v>
      </c>
      <c r="F46" s="27">
        <v>0</v>
      </c>
      <c r="G46" s="28">
        <v>6</v>
      </c>
      <c r="H46" s="28">
        <v>18</v>
      </c>
      <c r="I46" s="4">
        <v>3</v>
      </c>
      <c r="J46" s="4">
        <v>6</v>
      </c>
    </row>
    <row r="47" spans="1:10" x14ac:dyDescent="0.3">
      <c r="A47" s="11" t="s">
        <v>90</v>
      </c>
      <c r="B47" s="1" t="s">
        <v>41</v>
      </c>
      <c r="C47" s="1" t="s">
        <v>44</v>
      </c>
      <c r="D47" s="2">
        <v>9506.6209999999992</v>
      </c>
      <c r="E47" s="6">
        <v>20</v>
      </c>
      <c r="F47" s="27">
        <v>30</v>
      </c>
      <c r="G47" s="28">
        <v>6</v>
      </c>
      <c r="H47" s="28">
        <v>18</v>
      </c>
      <c r="I47" s="4">
        <v>3</v>
      </c>
      <c r="J47" s="4">
        <v>6</v>
      </c>
    </row>
    <row r="48" spans="1:10" x14ac:dyDescent="0.3">
      <c r="A48" s="11" t="s">
        <v>91</v>
      </c>
      <c r="B48" s="1" t="s">
        <v>41</v>
      </c>
      <c r="C48" s="1" t="s">
        <v>45</v>
      </c>
      <c r="D48" s="2">
        <v>9506.6991999999991</v>
      </c>
      <c r="E48" s="6">
        <v>20</v>
      </c>
      <c r="F48" s="27">
        <v>30</v>
      </c>
      <c r="G48" s="28">
        <v>6</v>
      </c>
      <c r="H48" s="28">
        <v>18</v>
      </c>
      <c r="I48" s="4">
        <v>3</v>
      </c>
      <c r="J48" s="4">
        <v>6</v>
      </c>
    </row>
    <row r="49" spans="1:10" x14ac:dyDescent="0.3">
      <c r="A49" s="11" t="s">
        <v>91</v>
      </c>
      <c r="B49" s="1" t="s">
        <v>41</v>
      </c>
      <c r="C49" s="1" t="s">
        <v>49</v>
      </c>
      <c r="D49" s="2">
        <v>9506.91</v>
      </c>
      <c r="E49" s="6">
        <v>11</v>
      </c>
      <c r="F49" s="27">
        <v>20</v>
      </c>
      <c r="G49" s="28">
        <v>2</v>
      </c>
      <c r="H49" s="28">
        <v>18</v>
      </c>
      <c r="I49" s="4">
        <v>3</v>
      </c>
      <c r="J49" s="4">
        <v>6</v>
      </c>
    </row>
    <row r="50" spans="1:10" x14ac:dyDescent="0.3">
      <c r="A50" s="11" t="s">
        <v>91</v>
      </c>
      <c r="B50" s="1" t="s">
        <v>41</v>
      </c>
      <c r="C50" s="1" t="s">
        <v>47</v>
      </c>
      <c r="D50" s="2">
        <v>3923.3009999999999</v>
      </c>
      <c r="E50" s="6">
        <v>20</v>
      </c>
      <c r="F50" s="27">
        <v>15</v>
      </c>
      <c r="G50" s="28">
        <v>6</v>
      </c>
      <c r="H50" s="28">
        <v>18</v>
      </c>
      <c r="I50" s="4">
        <v>3</v>
      </c>
      <c r="J50" s="4">
        <v>6</v>
      </c>
    </row>
    <row r="51" spans="1:10" x14ac:dyDescent="0.3">
      <c r="A51" s="11" t="s">
        <v>91</v>
      </c>
      <c r="B51" s="1" t="s">
        <v>41</v>
      </c>
      <c r="C51" s="1" t="s">
        <v>48</v>
      </c>
      <c r="D51" s="2">
        <v>4202.32</v>
      </c>
      <c r="E51" s="6">
        <v>20</v>
      </c>
      <c r="F51" s="27">
        <v>20</v>
      </c>
      <c r="G51" s="28">
        <v>6</v>
      </c>
      <c r="H51" s="28">
        <v>25</v>
      </c>
      <c r="I51" s="4">
        <v>3</v>
      </c>
      <c r="J51" s="4">
        <v>6</v>
      </c>
    </row>
    <row r="52" spans="1:10" x14ac:dyDescent="0.3">
      <c r="A52" s="11" t="s">
        <v>91</v>
      </c>
      <c r="B52" s="1" t="s">
        <v>41</v>
      </c>
      <c r="C52" s="1" t="s">
        <v>50</v>
      </c>
      <c r="D52" s="2">
        <v>9506.91</v>
      </c>
      <c r="E52" s="6">
        <v>11</v>
      </c>
      <c r="F52" s="27">
        <v>20</v>
      </c>
      <c r="G52" s="28">
        <v>2</v>
      </c>
      <c r="H52" s="28">
        <v>18</v>
      </c>
      <c r="I52" s="4">
        <v>3</v>
      </c>
      <c r="J52" s="4">
        <v>6</v>
      </c>
    </row>
    <row r="53" spans="1:10" x14ac:dyDescent="0.3">
      <c r="A53" s="11" t="s">
        <v>91</v>
      </c>
      <c r="B53" s="1" t="s">
        <v>41</v>
      </c>
      <c r="C53" s="1" t="s">
        <v>52</v>
      </c>
      <c r="D53" s="2">
        <v>6117.8</v>
      </c>
      <c r="E53" s="6">
        <v>20</v>
      </c>
      <c r="F53" s="27">
        <v>10</v>
      </c>
      <c r="G53" s="28">
        <v>6</v>
      </c>
      <c r="H53" s="28">
        <v>18</v>
      </c>
      <c r="I53" s="4">
        <v>3</v>
      </c>
      <c r="J53" s="4">
        <v>6</v>
      </c>
    </row>
    <row r="54" spans="1:10" x14ac:dyDescent="0.3">
      <c r="A54" s="11" t="s">
        <v>91</v>
      </c>
      <c r="B54" s="1" t="s">
        <v>41</v>
      </c>
      <c r="C54" s="1" t="s">
        <v>51</v>
      </c>
      <c r="D54" s="2">
        <v>8414.2000000000007</v>
      </c>
      <c r="E54" s="27">
        <v>3</v>
      </c>
      <c r="F54" s="27">
        <v>0</v>
      </c>
      <c r="G54" s="28">
        <v>2</v>
      </c>
      <c r="H54" s="28">
        <v>18</v>
      </c>
      <c r="I54" s="4">
        <v>3</v>
      </c>
      <c r="J54" s="4">
        <v>6</v>
      </c>
    </row>
    <row r="55" spans="1:10" x14ac:dyDescent="0.3">
      <c r="J55" s="23"/>
    </row>
    <row r="56" spans="1:10" hidden="1" x14ac:dyDescent="0.3">
      <c r="A56" s="20" t="s">
        <v>82</v>
      </c>
      <c r="B56" s="1" t="s">
        <v>60</v>
      </c>
      <c r="C56" s="1" t="s">
        <v>60</v>
      </c>
      <c r="D56" s="2">
        <v>9102.11</v>
      </c>
      <c r="E56" s="6">
        <v>3</v>
      </c>
      <c r="F56" s="6">
        <v>30</v>
      </c>
      <c r="G56" s="4">
        <v>2</v>
      </c>
      <c r="H56" s="24">
        <v>25</v>
      </c>
      <c r="I56" s="4">
        <v>3</v>
      </c>
      <c r="J56" s="7">
        <v>5.5</v>
      </c>
    </row>
    <row r="57" spans="1:10" hidden="1" x14ac:dyDescent="0.3">
      <c r="A57" s="20" t="s">
        <v>83</v>
      </c>
      <c r="B57" s="1" t="s">
        <v>63</v>
      </c>
      <c r="C57" s="1" t="s">
        <v>63</v>
      </c>
      <c r="D57" s="2">
        <v>9114.9</v>
      </c>
      <c r="E57" s="6">
        <v>3</v>
      </c>
      <c r="F57" s="6">
        <v>0</v>
      </c>
      <c r="G57" s="4">
        <v>2</v>
      </c>
      <c r="H57" s="4">
        <v>18</v>
      </c>
      <c r="I57" s="4">
        <v>3</v>
      </c>
      <c r="J57" s="7">
        <v>5.5</v>
      </c>
    </row>
    <row r="58" spans="1:10" hidden="1" x14ac:dyDescent="0.3">
      <c r="A58" s="20" t="s">
        <v>59</v>
      </c>
      <c r="B58" s="1" t="s">
        <v>63</v>
      </c>
      <c r="C58" s="1" t="s">
        <v>64</v>
      </c>
      <c r="D58" s="2">
        <v>8506.5</v>
      </c>
      <c r="E58" s="6">
        <v>11</v>
      </c>
      <c r="F58" s="6">
        <v>0</v>
      </c>
      <c r="G58" s="4">
        <v>2</v>
      </c>
      <c r="H58" s="4">
        <v>18</v>
      </c>
      <c r="I58" s="4">
        <v>3</v>
      </c>
      <c r="J58" s="7">
        <v>5.5</v>
      </c>
    </row>
    <row r="59" spans="1:10" hidden="1" x14ac:dyDescent="0.3"/>
    <row r="60" spans="1:10" hidden="1" x14ac:dyDescent="0.3"/>
    <row r="61" spans="1:10" hidden="1" x14ac:dyDescent="0.3"/>
  </sheetData>
  <mergeCells count="1">
    <mergeCell ref="E2:J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showGridLines="0" tabSelected="1" workbookViewId="0">
      <selection activeCell="V10" sqref="V10"/>
    </sheetView>
  </sheetViews>
  <sheetFormatPr defaultRowHeight="14.4" x14ac:dyDescent="0.3"/>
  <cols>
    <col min="1" max="1" width="9.5546875" style="43" bestFit="1" customWidth="1"/>
    <col min="2" max="7" width="8.88671875" style="32"/>
    <col min="8" max="8" width="0.88671875" customWidth="1"/>
    <col min="9" max="13" width="0" hidden="1" customWidth="1"/>
    <col min="14" max="14" width="1" hidden="1" customWidth="1"/>
    <col min="15" max="19" width="0" hidden="1" customWidth="1"/>
  </cols>
  <sheetData>
    <row r="1" spans="1:19" x14ac:dyDescent="0.3">
      <c r="A1" t="s">
        <v>111</v>
      </c>
      <c r="B1" t="s">
        <v>14</v>
      </c>
      <c r="C1" t="s">
        <v>15</v>
      </c>
      <c r="D1" t="s">
        <v>16</v>
      </c>
      <c r="E1" t="s">
        <v>17</v>
      </c>
      <c r="F1" t="s">
        <v>65</v>
      </c>
      <c r="G1" t="s">
        <v>18</v>
      </c>
      <c r="I1" s="36" t="s">
        <v>14</v>
      </c>
      <c r="J1" s="36" t="s">
        <v>15</v>
      </c>
      <c r="K1" s="36" t="s">
        <v>16</v>
      </c>
      <c r="L1" s="36" t="s">
        <v>17</v>
      </c>
      <c r="M1" s="36" t="s">
        <v>18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</row>
    <row r="2" spans="1:19" x14ac:dyDescent="0.3">
      <c r="A2" s="17" t="s">
        <v>181</v>
      </c>
      <c r="B2" s="33">
        <v>0.2</v>
      </c>
      <c r="C2" s="34">
        <v>0</v>
      </c>
      <c r="D2" s="33">
        <v>0.04</v>
      </c>
      <c r="E2" s="33">
        <v>0.18</v>
      </c>
      <c r="F2" s="33">
        <v>0.03</v>
      </c>
      <c r="G2" s="33">
        <v>0.06</v>
      </c>
      <c r="I2" s="33">
        <v>0.2</v>
      </c>
      <c r="J2" s="33">
        <v>0.4</v>
      </c>
      <c r="K2" s="33">
        <v>0.06</v>
      </c>
      <c r="L2" s="33">
        <v>0.25</v>
      </c>
      <c r="M2" s="33">
        <v>0.06</v>
      </c>
      <c r="O2" s="34">
        <f>I2-B2</f>
        <v>0</v>
      </c>
      <c r="P2" s="35">
        <f>C2-J2</f>
        <v>-0.4</v>
      </c>
      <c r="Q2" s="35">
        <f>D2-K2</f>
        <v>-1.9999999999999997E-2</v>
      </c>
      <c r="R2" s="34">
        <f>L2-E2</f>
        <v>7.0000000000000007E-2</v>
      </c>
      <c r="S2" s="34">
        <f t="shared" ref="S2" si="0">M2-G2</f>
        <v>0</v>
      </c>
    </row>
    <row r="3" spans="1:19" x14ac:dyDescent="0.3">
      <c r="A3" s="42" t="s">
        <v>107</v>
      </c>
      <c r="B3" s="33">
        <v>0.2</v>
      </c>
      <c r="C3" s="33">
        <v>0.15</v>
      </c>
      <c r="D3" s="33">
        <v>0.04</v>
      </c>
      <c r="E3" s="33">
        <v>0.18</v>
      </c>
      <c r="F3" s="33">
        <v>0.03</v>
      </c>
      <c r="G3" s="33">
        <v>0.06</v>
      </c>
      <c r="I3" s="33">
        <v>0.2</v>
      </c>
      <c r="J3" s="33">
        <v>0.2</v>
      </c>
      <c r="K3" s="33">
        <v>0.06</v>
      </c>
      <c r="L3" s="33">
        <v>0.25</v>
      </c>
      <c r="M3" s="33">
        <v>0.06</v>
      </c>
      <c r="O3" s="34">
        <f t="shared" ref="O3:O22" si="1">I3-B3</f>
        <v>0</v>
      </c>
      <c r="P3" s="34">
        <f>C3-J3</f>
        <v>-5.0000000000000017E-2</v>
      </c>
      <c r="Q3" s="35">
        <f t="shared" ref="Q3:Q26" si="2">D3-K3</f>
        <v>-1.9999999999999997E-2</v>
      </c>
      <c r="R3" s="34">
        <f t="shared" ref="R3:R26" si="3">L3-E3</f>
        <v>7.0000000000000007E-2</v>
      </c>
      <c r="S3" s="34">
        <f t="shared" ref="S3:S26" si="4">M3-G3</f>
        <v>0</v>
      </c>
    </row>
    <row r="4" spans="1:19" x14ac:dyDescent="0.3">
      <c r="A4" s="17" t="s">
        <v>119</v>
      </c>
      <c r="B4" s="33">
        <v>0.2</v>
      </c>
      <c r="C4" s="33">
        <v>0.24</v>
      </c>
      <c r="D4" s="33">
        <v>0.04</v>
      </c>
      <c r="E4" s="33">
        <v>0.25</v>
      </c>
      <c r="F4" s="33">
        <v>0.03</v>
      </c>
      <c r="G4" s="33">
        <v>0.06</v>
      </c>
      <c r="I4" s="33"/>
      <c r="J4" s="33"/>
      <c r="K4" s="33"/>
      <c r="L4" s="33"/>
      <c r="M4" s="33"/>
      <c r="O4" s="34"/>
      <c r="P4" s="34"/>
      <c r="Q4" s="35"/>
      <c r="R4" s="34"/>
      <c r="S4" s="34"/>
    </row>
    <row r="5" spans="1:19" x14ac:dyDescent="0.3">
      <c r="A5" s="17" t="s">
        <v>184</v>
      </c>
      <c r="B5" s="33">
        <v>0.2</v>
      </c>
      <c r="C5" s="34">
        <v>0</v>
      </c>
      <c r="D5" s="33">
        <v>0.04</v>
      </c>
      <c r="E5" s="33">
        <v>0.18</v>
      </c>
      <c r="F5" s="33">
        <v>0.03</v>
      </c>
      <c r="G5" s="33">
        <v>0.06</v>
      </c>
      <c r="I5" s="33"/>
      <c r="J5" s="33"/>
      <c r="K5" s="33"/>
      <c r="L5" s="33"/>
      <c r="M5" s="33"/>
      <c r="O5" s="34"/>
      <c r="P5" s="34"/>
      <c r="Q5" s="35"/>
      <c r="R5" s="34"/>
      <c r="S5" s="34"/>
    </row>
    <row r="6" spans="1:19" x14ac:dyDescent="0.3">
      <c r="A6" s="17" t="s">
        <v>165</v>
      </c>
      <c r="B6" s="33">
        <v>0.2</v>
      </c>
      <c r="C6" s="33">
        <v>0.1</v>
      </c>
      <c r="D6" s="33">
        <v>0.04</v>
      </c>
      <c r="E6" s="33">
        <v>0.18</v>
      </c>
      <c r="F6" s="33">
        <v>0.03</v>
      </c>
      <c r="G6" s="33">
        <v>0.06</v>
      </c>
      <c r="I6" s="33">
        <v>0.2</v>
      </c>
      <c r="J6" s="33">
        <v>0.5</v>
      </c>
      <c r="K6" s="33">
        <v>0.06</v>
      </c>
      <c r="L6" s="33">
        <v>0.25</v>
      </c>
      <c r="M6" s="33">
        <v>0.06</v>
      </c>
      <c r="O6" s="34">
        <f t="shared" si="1"/>
        <v>0</v>
      </c>
      <c r="P6" s="35">
        <f>C6-J6</f>
        <v>-0.4</v>
      </c>
      <c r="Q6" s="35">
        <f t="shared" si="2"/>
        <v>-1.9999999999999997E-2</v>
      </c>
      <c r="R6" s="34">
        <f t="shared" si="3"/>
        <v>7.0000000000000007E-2</v>
      </c>
      <c r="S6" s="34">
        <f t="shared" si="4"/>
        <v>0</v>
      </c>
    </row>
    <row r="7" spans="1:19" x14ac:dyDescent="0.3">
      <c r="A7" s="17" t="s">
        <v>183</v>
      </c>
      <c r="B7" s="33">
        <v>0.2</v>
      </c>
      <c r="C7" s="34">
        <v>0</v>
      </c>
      <c r="D7" s="33">
        <v>0.04</v>
      </c>
      <c r="E7" s="33">
        <v>0.18</v>
      </c>
      <c r="F7" s="33">
        <v>0.03</v>
      </c>
      <c r="G7" s="33">
        <v>0.06</v>
      </c>
      <c r="I7" s="33">
        <v>0.03</v>
      </c>
      <c r="J7" s="33">
        <v>0.3</v>
      </c>
      <c r="K7" s="33">
        <v>0.02</v>
      </c>
      <c r="L7" s="33">
        <v>0.25</v>
      </c>
      <c r="M7" s="33">
        <v>0.06</v>
      </c>
      <c r="O7" s="35">
        <f>B7-I7</f>
        <v>0.17</v>
      </c>
      <c r="P7" s="35">
        <f>C7-J7</f>
        <v>-0.3</v>
      </c>
      <c r="Q7" s="35">
        <f t="shared" si="2"/>
        <v>0.02</v>
      </c>
      <c r="R7" s="34">
        <f t="shared" si="3"/>
        <v>7.0000000000000007E-2</v>
      </c>
      <c r="S7" s="34">
        <f t="shared" si="4"/>
        <v>0</v>
      </c>
    </row>
    <row r="8" spans="1:19" x14ac:dyDescent="0.3">
      <c r="A8" s="17" t="s">
        <v>188</v>
      </c>
      <c r="B8" s="33">
        <v>0.2</v>
      </c>
      <c r="C8" s="33">
        <v>0.2</v>
      </c>
      <c r="D8" s="33">
        <v>0.04</v>
      </c>
      <c r="E8" s="33">
        <v>0.25</v>
      </c>
      <c r="F8" s="33">
        <v>0.03</v>
      </c>
      <c r="G8" s="33">
        <v>0.06</v>
      </c>
      <c r="I8" s="33">
        <v>0.2</v>
      </c>
      <c r="J8" s="33">
        <v>0.2</v>
      </c>
      <c r="K8" s="33">
        <v>0.06</v>
      </c>
      <c r="L8" s="33">
        <v>0.25</v>
      </c>
      <c r="M8" s="33">
        <v>0.06</v>
      </c>
      <c r="O8" s="34">
        <f t="shared" si="1"/>
        <v>0</v>
      </c>
      <c r="P8" s="34">
        <f>C8-J8</f>
        <v>0</v>
      </c>
      <c r="Q8" s="35">
        <f t="shared" si="2"/>
        <v>-1.9999999999999997E-2</v>
      </c>
      <c r="R8" s="34">
        <f t="shared" si="3"/>
        <v>0</v>
      </c>
      <c r="S8" s="34">
        <f t="shared" si="4"/>
        <v>0</v>
      </c>
    </row>
    <row r="9" spans="1:19" x14ac:dyDescent="0.3">
      <c r="A9" s="17" t="s">
        <v>190</v>
      </c>
      <c r="B9" s="33">
        <v>0.2</v>
      </c>
      <c r="C9" s="33">
        <v>0.2</v>
      </c>
      <c r="D9" s="33">
        <v>0.04</v>
      </c>
      <c r="E9" s="33">
        <v>0.25</v>
      </c>
      <c r="F9" s="33">
        <v>0.03</v>
      </c>
      <c r="G9" s="33">
        <v>0.06</v>
      </c>
      <c r="I9" s="33"/>
      <c r="J9" s="33"/>
      <c r="K9" s="33"/>
      <c r="L9" s="33"/>
      <c r="M9" s="33"/>
      <c r="O9" s="34"/>
      <c r="P9" s="34"/>
      <c r="Q9" s="35"/>
      <c r="R9" s="34"/>
      <c r="S9" s="34"/>
    </row>
    <row r="10" spans="1:19" x14ac:dyDescent="0.3">
      <c r="A10" s="17" t="s">
        <v>171</v>
      </c>
      <c r="B10" s="33">
        <v>0.2</v>
      </c>
      <c r="C10" s="33">
        <v>0.2</v>
      </c>
      <c r="D10" s="33">
        <v>0.04</v>
      </c>
      <c r="E10" s="33">
        <v>0.25</v>
      </c>
      <c r="F10" s="33">
        <v>0.03</v>
      </c>
      <c r="G10" s="33">
        <v>0.06</v>
      </c>
      <c r="I10" s="33">
        <v>0.2</v>
      </c>
      <c r="J10" s="33">
        <v>0.1</v>
      </c>
      <c r="K10" s="33">
        <v>0.06</v>
      </c>
      <c r="L10" s="33">
        <v>0.18</v>
      </c>
      <c r="M10" s="33">
        <v>0.06</v>
      </c>
      <c r="O10" s="34">
        <f t="shared" si="1"/>
        <v>0</v>
      </c>
      <c r="P10" s="34">
        <f>C10-J10</f>
        <v>0.1</v>
      </c>
      <c r="Q10" s="35">
        <f t="shared" si="2"/>
        <v>-1.9999999999999997E-2</v>
      </c>
      <c r="R10" s="34">
        <f t="shared" si="3"/>
        <v>-7.0000000000000007E-2</v>
      </c>
      <c r="S10" s="34">
        <f t="shared" si="4"/>
        <v>0</v>
      </c>
    </row>
    <row r="11" spans="1:19" x14ac:dyDescent="0.3">
      <c r="A11" s="42" t="s">
        <v>116</v>
      </c>
      <c r="B11" s="33">
        <v>0.2</v>
      </c>
      <c r="C11" s="33">
        <v>0.2</v>
      </c>
      <c r="D11" s="33">
        <v>0.04</v>
      </c>
      <c r="E11" s="33">
        <v>0.25</v>
      </c>
      <c r="F11" s="33">
        <v>0.03</v>
      </c>
      <c r="G11" s="33">
        <v>0.06</v>
      </c>
      <c r="I11" s="33">
        <v>0.2</v>
      </c>
      <c r="J11" s="33">
        <v>0.1</v>
      </c>
      <c r="K11" s="33">
        <v>0.06</v>
      </c>
      <c r="L11" s="33">
        <v>0.18</v>
      </c>
      <c r="M11" s="33">
        <v>0.06</v>
      </c>
      <c r="O11" s="34">
        <f t="shared" si="1"/>
        <v>0</v>
      </c>
      <c r="P11" s="34">
        <f>C11-J11</f>
        <v>0.1</v>
      </c>
      <c r="Q11" s="35">
        <f t="shared" si="2"/>
        <v>-1.9999999999999997E-2</v>
      </c>
      <c r="R11" s="34">
        <f t="shared" si="3"/>
        <v>-7.0000000000000007E-2</v>
      </c>
      <c r="S11" s="34">
        <f t="shared" si="4"/>
        <v>0</v>
      </c>
    </row>
    <row r="12" spans="1:19" x14ac:dyDescent="0.3">
      <c r="A12" s="42" t="s">
        <v>114</v>
      </c>
      <c r="B12" s="33">
        <v>0.2</v>
      </c>
      <c r="C12" s="33">
        <v>0.2</v>
      </c>
      <c r="D12" s="33">
        <v>0.04</v>
      </c>
      <c r="E12" s="33">
        <v>0.25</v>
      </c>
      <c r="F12" s="33">
        <v>0.03</v>
      </c>
      <c r="G12" s="33">
        <v>0.06</v>
      </c>
      <c r="I12" s="33"/>
      <c r="J12" s="33"/>
      <c r="K12" s="33"/>
      <c r="L12" s="33"/>
      <c r="M12" s="33"/>
      <c r="O12" s="34"/>
      <c r="P12" s="34"/>
      <c r="Q12" s="35"/>
      <c r="R12" s="34"/>
      <c r="S12" s="34"/>
    </row>
    <row r="13" spans="1:19" x14ac:dyDescent="0.3">
      <c r="A13" s="42" t="s">
        <v>117</v>
      </c>
      <c r="B13" s="33">
        <v>0.2</v>
      </c>
      <c r="C13" s="33">
        <v>0.2</v>
      </c>
      <c r="D13" s="33">
        <v>0.04</v>
      </c>
      <c r="E13" s="33">
        <v>0.25</v>
      </c>
      <c r="F13" s="33">
        <v>0.03</v>
      </c>
      <c r="G13" s="33">
        <v>0.06</v>
      </c>
      <c r="I13" s="33">
        <v>0.2</v>
      </c>
      <c r="J13" s="33">
        <v>0.1</v>
      </c>
      <c r="K13" s="33">
        <v>0.06</v>
      </c>
      <c r="L13" s="33">
        <v>0.18</v>
      </c>
      <c r="M13" s="33">
        <v>0.06</v>
      </c>
      <c r="O13" s="34">
        <f t="shared" si="1"/>
        <v>0</v>
      </c>
      <c r="P13" s="34">
        <f t="shared" ref="P13:P26" si="5">C13-J13</f>
        <v>0.1</v>
      </c>
      <c r="Q13" s="35">
        <f t="shared" si="2"/>
        <v>-1.9999999999999997E-2</v>
      </c>
      <c r="R13" s="34">
        <f t="shared" si="3"/>
        <v>-7.0000000000000007E-2</v>
      </c>
      <c r="S13" s="34">
        <f t="shared" si="4"/>
        <v>0</v>
      </c>
    </row>
    <row r="14" spans="1:19" x14ac:dyDescent="0.3">
      <c r="A14" s="42" t="s">
        <v>118</v>
      </c>
      <c r="B14" s="33">
        <v>0.2</v>
      </c>
      <c r="C14" s="33">
        <v>0.2</v>
      </c>
      <c r="D14" s="33">
        <v>0.04</v>
      </c>
      <c r="E14" s="33">
        <v>0.25</v>
      </c>
      <c r="F14" s="33">
        <v>0.03</v>
      </c>
      <c r="G14" s="33">
        <v>0.06</v>
      </c>
      <c r="I14" s="33">
        <v>0.2</v>
      </c>
      <c r="J14" s="33">
        <v>0.1</v>
      </c>
      <c r="K14" s="33">
        <v>0.06</v>
      </c>
      <c r="L14" s="33">
        <v>0.18</v>
      </c>
      <c r="M14" s="33">
        <v>0.06</v>
      </c>
      <c r="O14" s="34">
        <f t="shared" si="1"/>
        <v>0</v>
      </c>
      <c r="P14" s="34">
        <f t="shared" si="5"/>
        <v>0.1</v>
      </c>
      <c r="Q14" s="35">
        <f t="shared" si="2"/>
        <v>-1.9999999999999997E-2</v>
      </c>
      <c r="R14" s="34">
        <f t="shared" si="3"/>
        <v>-7.0000000000000007E-2</v>
      </c>
      <c r="S14" s="34">
        <f t="shared" si="4"/>
        <v>0</v>
      </c>
    </row>
    <row r="15" spans="1:19" x14ac:dyDescent="0.3">
      <c r="A15" s="17" t="s">
        <v>173</v>
      </c>
      <c r="B15" s="33">
        <v>0.2</v>
      </c>
      <c r="C15" s="33">
        <v>0.2</v>
      </c>
      <c r="D15" s="33">
        <v>0.04</v>
      </c>
      <c r="E15" s="33">
        <v>0.25</v>
      </c>
      <c r="F15" s="33">
        <v>0.03</v>
      </c>
      <c r="G15" s="33">
        <v>0.06</v>
      </c>
      <c r="I15" s="33">
        <v>0.2</v>
      </c>
      <c r="J15" s="33">
        <v>0.1</v>
      </c>
      <c r="K15" s="33">
        <v>0.06</v>
      </c>
      <c r="L15" s="33">
        <v>0.18</v>
      </c>
      <c r="M15" s="33">
        <v>0.06</v>
      </c>
      <c r="O15" s="34">
        <f t="shared" si="1"/>
        <v>0</v>
      </c>
      <c r="P15" s="34">
        <f t="shared" si="5"/>
        <v>0.1</v>
      </c>
      <c r="Q15" s="35">
        <f t="shared" si="2"/>
        <v>-1.9999999999999997E-2</v>
      </c>
      <c r="R15" s="34">
        <f t="shared" si="3"/>
        <v>-7.0000000000000007E-2</v>
      </c>
      <c r="S15" s="34">
        <f t="shared" si="4"/>
        <v>0</v>
      </c>
    </row>
    <row r="16" spans="1:19" x14ac:dyDescent="0.3">
      <c r="A16" s="17" t="s">
        <v>189</v>
      </c>
      <c r="B16" s="33">
        <v>0.2</v>
      </c>
      <c r="C16" s="33">
        <v>0.2</v>
      </c>
      <c r="D16" s="33">
        <v>0.04</v>
      </c>
      <c r="E16" s="33">
        <v>0.25</v>
      </c>
      <c r="F16" s="33">
        <v>0.03</v>
      </c>
      <c r="G16" s="33">
        <v>0.06</v>
      </c>
      <c r="I16" s="33">
        <v>0.2</v>
      </c>
      <c r="J16" s="33">
        <v>0.1</v>
      </c>
      <c r="K16" s="33">
        <v>0.06</v>
      </c>
      <c r="L16" s="33">
        <v>0.18</v>
      </c>
      <c r="M16" s="33">
        <v>0.06</v>
      </c>
      <c r="O16" s="34">
        <f t="shared" si="1"/>
        <v>0</v>
      </c>
      <c r="P16" s="34">
        <f t="shared" si="5"/>
        <v>0.1</v>
      </c>
      <c r="Q16" s="35">
        <f t="shared" si="2"/>
        <v>-1.9999999999999997E-2</v>
      </c>
      <c r="R16" s="34">
        <f t="shared" si="3"/>
        <v>-7.0000000000000007E-2</v>
      </c>
      <c r="S16" s="34">
        <f t="shared" si="4"/>
        <v>0</v>
      </c>
    </row>
    <row r="17" spans="1:19" x14ac:dyDescent="0.3">
      <c r="A17" s="42" t="s">
        <v>115</v>
      </c>
      <c r="B17" s="33">
        <v>0.2</v>
      </c>
      <c r="C17" s="33">
        <v>0.2</v>
      </c>
      <c r="D17" s="33">
        <v>0.04</v>
      </c>
      <c r="E17" s="33">
        <v>0.25</v>
      </c>
      <c r="F17" s="33">
        <v>0.03</v>
      </c>
      <c r="G17" s="33">
        <v>0.06</v>
      </c>
      <c r="I17" s="33">
        <v>0.2</v>
      </c>
      <c r="J17" s="33">
        <v>0.1</v>
      </c>
      <c r="K17" s="33">
        <v>0.06</v>
      </c>
      <c r="L17" s="33">
        <v>0.18</v>
      </c>
      <c r="M17" s="33">
        <v>0.06</v>
      </c>
      <c r="O17" s="34">
        <f t="shared" si="1"/>
        <v>0</v>
      </c>
      <c r="P17" s="34">
        <f t="shared" si="5"/>
        <v>0.1</v>
      </c>
      <c r="Q17" s="35">
        <f t="shared" si="2"/>
        <v>-1.9999999999999997E-2</v>
      </c>
      <c r="R17" s="34">
        <f t="shared" si="3"/>
        <v>-7.0000000000000007E-2</v>
      </c>
      <c r="S17" s="34">
        <f t="shared" si="4"/>
        <v>0</v>
      </c>
    </row>
    <row r="18" spans="1:19" x14ac:dyDescent="0.3">
      <c r="A18" s="17" t="s">
        <v>177</v>
      </c>
      <c r="B18" s="33">
        <v>0.2</v>
      </c>
      <c r="C18" s="33">
        <v>0.2</v>
      </c>
      <c r="D18" s="33">
        <v>0.04</v>
      </c>
      <c r="E18" s="33">
        <v>0.25</v>
      </c>
      <c r="F18" s="33">
        <v>0.03</v>
      </c>
      <c r="G18" s="33">
        <v>0.06</v>
      </c>
      <c r="I18" s="33">
        <v>0.2</v>
      </c>
      <c r="J18" s="33">
        <v>0.1</v>
      </c>
      <c r="K18" s="33">
        <v>0.06</v>
      </c>
      <c r="L18" s="33">
        <v>0.18</v>
      </c>
      <c r="M18" s="33">
        <v>0.06</v>
      </c>
      <c r="O18" s="34">
        <f t="shared" si="1"/>
        <v>0</v>
      </c>
      <c r="P18" s="34">
        <f t="shared" si="5"/>
        <v>0.1</v>
      </c>
      <c r="Q18" s="35">
        <f t="shared" si="2"/>
        <v>-1.9999999999999997E-2</v>
      </c>
      <c r="R18" s="34">
        <f t="shared" si="3"/>
        <v>-7.0000000000000007E-2</v>
      </c>
      <c r="S18" s="34">
        <f t="shared" si="4"/>
        <v>0</v>
      </c>
    </row>
    <row r="19" spans="1:19" x14ac:dyDescent="0.3">
      <c r="A19" s="42" t="s">
        <v>94</v>
      </c>
      <c r="B19" s="33">
        <v>0.2</v>
      </c>
      <c r="C19" s="33">
        <v>0.4</v>
      </c>
      <c r="D19" s="33">
        <v>0.04</v>
      </c>
      <c r="E19" s="33">
        <v>0.25</v>
      </c>
      <c r="F19" s="33">
        <v>0.03</v>
      </c>
      <c r="G19" s="33">
        <v>0.06</v>
      </c>
      <c r="I19" s="33">
        <v>0.2</v>
      </c>
      <c r="J19" s="33">
        <v>0.3</v>
      </c>
      <c r="K19" s="33">
        <v>0.06</v>
      </c>
      <c r="L19" s="33">
        <v>0.18</v>
      </c>
      <c r="M19" s="33">
        <v>0.06</v>
      </c>
      <c r="O19" s="34">
        <f t="shared" si="1"/>
        <v>0</v>
      </c>
      <c r="P19" s="35">
        <f t="shared" si="5"/>
        <v>0.10000000000000003</v>
      </c>
      <c r="Q19" s="35">
        <f t="shared" si="2"/>
        <v>-1.9999999999999997E-2</v>
      </c>
      <c r="R19" s="34">
        <f t="shared" si="3"/>
        <v>-7.0000000000000007E-2</v>
      </c>
      <c r="S19" s="34">
        <f t="shared" si="4"/>
        <v>0</v>
      </c>
    </row>
    <row r="20" spans="1:19" x14ac:dyDescent="0.3">
      <c r="A20" s="17" t="s">
        <v>193</v>
      </c>
      <c r="B20" s="33">
        <v>0.2</v>
      </c>
      <c r="C20" s="34">
        <v>0</v>
      </c>
      <c r="D20" s="33">
        <v>0.04</v>
      </c>
      <c r="E20" s="33">
        <v>0.18</v>
      </c>
      <c r="F20" s="33">
        <v>0.03</v>
      </c>
      <c r="G20" s="33">
        <v>0.06</v>
      </c>
      <c r="I20" s="33">
        <v>0.2</v>
      </c>
      <c r="J20" s="33">
        <v>0.3</v>
      </c>
      <c r="K20" s="33">
        <v>0.06</v>
      </c>
      <c r="L20" s="33">
        <v>0.18</v>
      </c>
      <c r="M20" s="33">
        <v>0.06</v>
      </c>
      <c r="O20" s="34">
        <f t="shared" si="1"/>
        <v>0</v>
      </c>
      <c r="P20" s="35">
        <f t="shared" si="5"/>
        <v>-0.3</v>
      </c>
      <c r="Q20" s="35">
        <f t="shared" si="2"/>
        <v>-1.9999999999999997E-2</v>
      </c>
      <c r="R20" s="34">
        <f t="shared" si="3"/>
        <v>0</v>
      </c>
      <c r="S20" s="34">
        <f t="shared" si="4"/>
        <v>0</v>
      </c>
    </row>
    <row r="21" spans="1:19" x14ac:dyDescent="0.3">
      <c r="A21" s="17" t="s">
        <v>133</v>
      </c>
      <c r="B21" s="33">
        <v>0.2</v>
      </c>
      <c r="C21" s="33">
        <v>0.1</v>
      </c>
      <c r="D21" s="33">
        <v>0.04</v>
      </c>
      <c r="E21" s="33">
        <v>0.18</v>
      </c>
      <c r="F21" s="33">
        <v>0.03</v>
      </c>
      <c r="G21" s="33">
        <v>0.06</v>
      </c>
      <c r="I21" s="33">
        <v>0.2</v>
      </c>
      <c r="J21" s="34">
        <v>0</v>
      </c>
      <c r="K21" s="33">
        <v>0.06</v>
      </c>
      <c r="L21" s="33">
        <v>0.18</v>
      </c>
      <c r="M21" s="33">
        <v>0.06</v>
      </c>
      <c r="O21" s="34">
        <f t="shared" si="1"/>
        <v>0</v>
      </c>
      <c r="P21" s="34">
        <f t="shared" si="5"/>
        <v>0.1</v>
      </c>
      <c r="Q21" s="35">
        <f t="shared" si="2"/>
        <v>-1.9999999999999997E-2</v>
      </c>
      <c r="R21" s="34">
        <f t="shared" si="3"/>
        <v>0</v>
      </c>
      <c r="S21" s="34">
        <f t="shared" si="4"/>
        <v>0</v>
      </c>
    </row>
    <row r="22" spans="1:19" x14ac:dyDescent="0.3">
      <c r="A22" s="17" t="s">
        <v>164</v>
      </c>
      <c r="B22" s="33">
        <v>0.2</v>
      </c>
      <c r="C22" s="33">
        <v>0.1</v>
      </c>
      <c r="D22" s="33">
        <v>0.04</v>
      </c>
      <c r="E22" s="33">
        <v>0.18</v>
      </c>
      <c r="F22" s="33">
        <v>0.03</v>
      </c>
      <c r="G22" s="33">
        <v>0.06</v>
      </c>
      <c r="I22" s="33">
        <v>0.2</v>
      </c>
      <c r="J22" s="33">
        <v>0.15</v>
      </c>
      <c r="K22" s="33">
        <v>0.06</v>
      </c>
      <c r="L22" s="33">
        <v>0.18</v>
      </c>
      <c r="M22" s="33">
        <v>0.06</v>
      </c>
      <c r="O22" s="34">
        <f t="shared" si="1"/>
        <v>0</v>
      </c>
      <c r="P22" s="34">
        <f t="shared" si="5"/>
        <v>-4.9999999999999989E-2</v>
      </c>
      <c r="Q22" s="35">
        <f t="shared" si="2"/>
        <v>-1.9999999999999997E-2</v>
      </c>
      <c r="R22" s="34">
        <f t="shared" si="3"/>
        <v>0</v>
      </c>
      <c r="S22" s="34">
        <f t="shared" si="4"/>
        <v>0</v>
      </c>
    </row>
    <row r="23" spans="1:19" x14ac:dyDescent="0.3">
      <c r="A23" s="17" t="s">
        <v>137</v>
      </c>
      <c r="B23" s="33">
        <v>0.2</v>
      </c>
      <c r="C23" s="33">
        <v>0.1</v>
      </c>
      <c r="D23" s="33">
        <v>0.04</v>
      </c>
      <c r="E23" s="33">
        <v>0.18</v>
      </c>
      <c r="F23" s="33">
        <v>0.03</v>
      </c>
      <c r="G23" s="33">
        <v>0.06</v>
      </c>
      <c r="I23" s="33">
        <v>0.2</v>
      </c>
      <c r="J23" s="33">
        <v>0.1</v>
      </c>
      <c r="K23" s="33">
        <v>0.06</v>
      </c>
      <c r="L23" s="33">
        <v>0.18</v>
      </c>
      <c r="M23" s="33">
        <v>0.06</v>
      </c>
      <c r="O23" s="34">
        <f t="shared" ref="O23" si="6">I23-B23</f>
        <v>0</v>
      </c>
      <c r="P23" s="34">
        <f t="shared" si="5"/>
        <v>0</v>
      </c>
      <c r="Q23" s="35">
        <f t="shared" si="2"/>
        <v>-1.9999999999999997E-2</v>
      </c>
      <c r="R23" s="34">
        <f t="shared" ref="R23" si="7">L23-E23</f>
        <v>0</v>
      </c>
      <c r="S23" s="34">
        <f t="shared" ref="S23" si="8">M23-G23</f>
        <v>0</v>
      </c>
    </row>
    <row r="24" spans="1:19" s="40" customFormat="1" x14ac:dyDescent="0.3">
      <c r="A24" s="17" t="s">
        <v>162</v>
      </c>
      <c r="B24" s="33">
        <v>0.2</v>
      </c>
      <c r="C24" s="33">
        <v>0.1</v>
      </c>
      <c r="D24" s="33">
        <v>0.04</v>
      </c>
      <c r="E24" s="33">
        <v>0.18</v>
      </c>
      <c r="F24" s="33">
        <v>0.03</v>
      </c>
      <c r="G24" s="33">
        <v>0.06</v>
      </c>
      <c r="I24" s="38">
        <v>0.11</v>
      </c>
      <c r="J24" s="38">
        <v>0.2</v>
      </c>
      <c r="K24" s="38">
        <v>0.02</v>
      </c>
      <c r="L24" s="38">
        <v>0.18</v>
      </c>
      <c r="M24" s="38">
        <v>0.06</v>
      </c>
      <c r="O24" s="41">
        <f>B24-I24</f>
        <v>9.0000000000000011E-2</v>
      </c>
      <c r="P24" s="39">
        <f t="shared" si="5"/>
        <v>-0.1</v>
      </c>
      <c r="Q24" s="41">
        <f t="shared" si="2"/>
        <v>0.02</v>
      </c>
      <c r="R24" s="39">
        <f t="shared" si="3"/>
        <v>0</v>
      </c>
      <c r="S24" s="39">
        <f t="shared" si="4"/>
        <v>0</v>
      </c>
    </row>
    <row r="25" spans="1:19" x14ac:dyDescent="0.3">
      <c r="A25" s="17" t="s">
        <v>157</v>
      </c>
      <c r="B25" s="33">
        <v>0.2</v>
      </c>
      <c r="C25" s="33">
        <v>0.1</v>
      </c>
      <c r="D25" s="33">
        <v>0.04</v>
      </c>
      <c r="E25" s="33">
        <v>0.18</v>
      </c>
      <c r="F25" s="33">
        <v>0.03</v>
      </c>
      <c r="G25" s="33">
        <v>0.06</v>
      </c>
      <c r="I25" s="33">
        <v>0.03</v>
      </c>
      <c r="J25" s="33">
        <v>0.3</v>
      </c>
      <c r="K25" s="33">
        <v>0.02</v>
      </c>
      <c r="L25" s="33">
        <v>0.25</v>
      </c>
      <c r="M25" s="33">
        <v>0.06</v>
      </c>
      <c r="O25" s="35">
        <f>B25-I25</f>
        <v>0.17</v>
      </c>
      <c r="P25" s="35">
        <f t="shared" si="5"/>
        <v>-0.19999999999999998</v>
      </c>
      <c r="Q25" s="35">
        <f t="shared" si="2"/>
        <v>0.02</v>
      </c>
      <c r="R25" s="34">
        <f t="shared" si="3"/>
        <v>7.0000000000000007E-2</v>
      </c>
      <c r="S25" s="34">
        <f t="shared" si="4"/>
        <v>0</v>
      </c>
    </row>
    <row r="26" spans="1:19" x14ac:dyDescent="0.3">
      <c r="A26" s="17" t="s">
        <v>159</v>
      </c>
      <c r="B26" s="33">
        <v>0.2</v>
      </c>
      <c r="C26" s="33">
        <v>0.1</v>
      </c>
      <c r="D26" s="33">
        <v>0.04</v>
      </c>
      <c r="E26" s="33">
        <v>0.18</v>
      </c>
      <c r="F26" s="33">
        <v>0.03</v>
      </c>
      <c r="G26" s="33">
        <v>0.06</v>
      </c>
      <c r="I26" s="33">
        <v>0.03</v>
      </c>
      <c r="J26" s="34">
        <v>0</v>
      </c>
      <c r="K26" s="33">
        <v>0.02</v>
      </c>
      <c r="L26" s="33">
        <v>0.18</v>
      </c>
      <c r="M26" s="33">
        <v>0.06</v>
      </c>
      <c r="O26" s="35">
        <f>B26-I26</f>
        <v>0.17</v>
      </c>
      <c r="P26" s="34">
        <f t="shared" si="5"/>
        <v>0.1</v>
      </c>
      <c r="Q26" s="35">
        <f t="shared" si="2"/>
        <v>0.02</v>
      </c>
      <c r="R26" s="34">
        <f t="shared" si="3"/>
        <v>0</v>
      </c>
      <c r="S26" s="34">
        <f t="shared" si="4"/>
        <v>0</v>
      </c>
    </row>
    <row r="27" spans="1:19" x14ac:dyDescent="0.3">
      <c r="A27" s="42" t="s">
        <v>99</v>
      </c>
      <c r="B27" s="33">
        <v>0.2</v>
      </c>
      <c r="C27" s="33">
        <v>0.1</v>
      </c>
      <c r="D27" s="33">
        <v>0.04</v>
      </c>
      <c r="E27" s="33">
        <v>0.18</v>
      </c>
      <c r="F27" s="33">
        <v>0.03</v>
      </c>
      <c r="G27" s="33">
        <v>0.06</v>
      </c>
    </row>
    <row r="28" spans="1:19" x14ac:dyDescent="0.3">
      <c r="A28" s="17" t="s">
        <v>139</v>
      </c>
      <c r="B28" s="33">
        <v>0.2</v>
      </c>
      <c r="C28" s="33">
        <v>0.1</v>
      </c>
      <c r="D28" s="33">
        <v>0.04</v>
      </c>
      <c r="E28" s="33">
        <v>0.18</v>
      </c>
      <c r="F28" s="33">
        <v>0.03</v>
      </c>
      <c r="G28" s="33">
        <v>0.06</v>
      </c>
    </row>
    <row r="29" spans="1:19" x14ac:dyDescent="0.3">
      <c r="A29" s="42" t="s">
        <v>113</v>
      </c>
      <c r="B29" s="33">
        <v>0.2</v>
      </c>
      <c r="C29" s="33">
        <v>0.1</v>
      </c>
      <c r="D29" s="33">
        <v>0.04</v>
      </c>
      <c r="E29" s="33">
        <v>0.18</v>
      </c>
      <c r="F29" s="33">
        <v>0.03</v>
      </c>
      <c r="G29" s="33">
        <v>0.06</v>
      </c>
    </row>
    <row r="30" spans="1:19" x14ac:dyDescent="0.3">
      <c r="A30" s="42" t="s">
        <v>97</v>
      </c>
      <c r="B30" s="33">
        <v>0.2</v>
      </c>
      <c r="C30" s="33">
        <v>0.1</v>
      </c>
      <c r="D30" s="33">
        <v>0.04</v>
      </c>
      <c r="E30" s="33">
        <v>0.18</v>
      </c>
      <c r="F30" s="33">
        <v>0.03</v>
      </c>
      <c r="G30" s="33">
        <v>0.06</v>
      </c>
    </row>
    <row r="31" spans="1:19" x14ac:dyDescent="0.3">
      <c r="A31" s="17" t="s">
        <v>129</v>
      </c>
      <c r="B31" s="33">
        <v>0.2</v>
      </c>
      <c r="C31" s="33">
        <v>0.1</v>
      </c>
      <c r="D31" s="33">
        <v>0.04</v>
      </c>
      <c r="E31" s="33">
        <v>0.18</v>
      </c>
      <c r="F31" s="33">
        <v>0.03</v>
      </c>
      <c r="G31" s="33">
        <v>0.06</v>
      </c>
    </row>
    <row r="32" spans="1:19" x14ac:dyDescent="0.3">
      <c r="A32" s="17" t="s">
        <v>136</v>
      </c>
      <c r="B32" s="33">
        <v>0.2</v>
      </c>
      <c r="C32" s="33">
        <v>0.1</v>
      </c>
      <c r="D32" s="33">
        <v>0.04</v>
      </c>
      <c r="E32" s="33">
        <v>0.18</v>
      </c>
      <c r="F32" s="33">
        <v>0.03</v>
      </c>
      <c r="G32" s="33">
        <v>0.06</v>
      </c>
    </row>
    <row r="33" spans="1:7" x14ac:dyDescent="0.3">
      <c r="A33" s="17" t="s">
        <v>140</v>
      </c>
      <c r="B33" s="33">
        <v>0.2</v>
      </c>
      <c r="C33" s="33">
        <v>0.1</v>
      </c>
      <c r="D33" s="33">
        <v>0.04</v>
      </c>
      <c r="E33" s="33">
        <v>0.18</v>
      </c>
      <c r="F33" s="33">
        <v>0.03</v>
      </c>
      <c r="G33" s="33">
        <v>0.06</v>
      </c>
    </row>
    <row r="34" spans="1:7" x14ac:dyDescent="0.3">
      <c r="A34" s="17" t="s">
        <v>127</v>
      </c>
      <c r="B34" s="33">
        <v>0.2</v>
      </c>
      <c r="C34" s="33">
        <v>0.1</v>
      </c>
      <c r="D34" s="33">
        <v>0.04</v>
      </c>
      <c r="E34" s="33">
        <v>0.18</v>
      </c>
      <c r="F34" s="33">
        <v>0.03</v>
      </c>
      <c r="G34" s="33">
        <v>0.06</v>
      </c>
    </row>
    <row r="35" spans="1:7" x14ac:dyDescent="0.3">
      <c r="A35" s="17" t="s">
        <v>150</v>
      </c>
      <c r="B35" s="33">
        <v>0.2</v>
      </c>
      <c r="C35" s="33">
        <v>0.1</v>
      </c>
      <c r="D35" s="33">
        <v>0.04</v>
      </c>
      <c r="E35" s="33">
        <v>0.18</v>
      </c>
      <c r="F35" s="33">
        <v>0.03</v>
      </c>
      <c r="G35" s="33">
        <v>0.06</v>
      </c>
    </row>
    <row r="36" spans="1:7" x14ac:dyDescent="0.3">
      <c r="A36" s="17" t="s">
        <v>130</v>
      </c>
      <c r="B36" s="33">
        <v>0.2</v>
      </c>
      <c r="C36" s="33">
        <v>0.1</v>
      </c>
      <c r="D36" s="33">
        <v>0.04</v>
      </c>
      <c r="E36" s="33">
        <v>0.18</v>
      </c>
      <c r="F36" s="33">
        <v>0.03</v>
      </c>
      <c r="G36" s="33">
        <v>0.06</v>
      </c>
    </row>
    <row r="37" spans="1:7" x14ac:dyDescent="0.3">
      <c r="A37" s="42" t="s">
        <v>96</v>
      </c>
      <c r="B37" s="33">
        <v>0.2</v>
      </c>
      <c r="C37" s="33">
        <v>0.1</v>
      </c>
      <c r="D37" s="33">
        <v>0.04</v>
      </c>
      <c r="E37" s="33">
        <v>0.18</v>
      </c>
      <c r="F37" s="33">
        <v>0.03</v>
      </c>
      <c r="G37" s="33">
        <v>0.06</v>
      </c>
    </row>
    <row r="38" spans="1:7" x14ac:dyDescent="0.3">
      <c r="A38" s="17" t="s">
        <v>187</v>
      </c>
      <c r="B38" s="33">
        <v>0.2</v>
      </c>
      <c r="C38" s="33">
        <v>0.1</v>
      </c>
      <c r="D38" s="33">
        <v>0.04</v>
      </c>
      <c r="E38" s="33">
        <v>0.18</v>
      </c>
      <c r="F38" s="33">
        <v>0.03</v>
      </c>
      <c r="G38" s="33">
        <v>0.06</v>
      </c>
    </row>
    <row r="39" spans="1:7" x14ac:dyDescent="0.3">
      <c r="A39" s="17" t="s">
        <v>195</v>
      </c>
      <c r="B39" s="33">
        <v>0.2</v>
      </c>
      <c r="C39" s="33">
        <v>0.1</v>
      </c>
      <c r="D39" s="33">
        <v>0.04</v>
      </c>
      <c r="E39" s="33">
        <v>0.18</v>
      </c>
      <c r="F39" s="33">
        <v>0.03</v>
      </c>
      <c r="G39" s="33">
        <v>0.06</v>
      </c>
    </row>
    <row r="40" spans="1:7" x14ac:dyDescent="0.3">
      <c r="A40" s="17" t="s">
        <v>194</v>
      </c>
      <c r="B40" s="33">
        <v>0.2</v>
      </c>
      <c r="C40" s="33">
        <v>0.1</v>
      </c>
      <c r="D40" s="33">
        <v>0.04</v>
      </c>
      <c r="E40" s="33">
        <v>0.18</v>
      </c>
      <c r="F40" s="33">
        <v>0.03</v>
      </c>
      <c r="G40" s="33">
        <v>0.06</v>
      </c>
    </row>
    <row r="41" spans="1:7" x14ac:dyDescent="0.3">
      <c r="A41" s="17" t="s">
        <v>141</v>
      </c>
      <c r="B41" s="33">
        <v>0.2</v>
      </c>
      <c r="C41" s="33">
        <v>0.1</v>
      </c>
      <c r="D41" s="33">
        <v>0.04</v>
      </c>
      <c r="E41" s="33">
        <v>0.18</v>
      </c>
      <c r="F41" s="33">
        <v>0.03</v>
      </c>
      <c r="G41" s="33">
        <v>0.06</v>
      </c>
    </row>
    <row r="42" spans="1:7" x14ac:dyDescent="0.3">
      <c r="A42" s="17" t="s">
        <v>124</v>
      </c>
      <c r="B42" s="33">
        <v>0.2</v>
      </c>
      <c r="C42" s="33">
        <v>0.1</v>
      </c>
      <c r="D42" s="33">
        <v>0.04</v>
      </c>
      <c r="E42" s="33">
        <v>0.18</v>
      </c>
      <c r="F42" s="33">
        <v>0.03</v>
      </c>
      <c r="G42" s="33">
        <v>0.06</v>
      </c>
    </row>
    <row r="43" spans="1:7" x14ac:dyDescent="0.3">
      <c r="A43" s="17" t="s">
        <v>154</v>
      </c>
      <c r="B43" s="33">
        <v>0.2</v>
      </c>
      <c r="C43" s="33">
        <v>0.1</v>
      </c>
      <c r="D43" s="33">
        <v>0.04</v>
      </c>
      <c r="E43" s="33">
        <v>0.18</v>
      </c>
      <c r="F43" s="33">
        <v>0.03</v>
      </c>
      <c r="G43" s="33">
        <v>0.06</v>
      </c>
    </row>
    <row r="44" spans="1:7" x14ac:dyDescent="0.3">
      <c r="A44" s="17" t="s">
        <v>132</v>
      </c>
      <c r="B44" s="33">
        <v>0.2</v>
      </c>
      <c r="C44" s="33">
        <v>0.1</v>
      </c>
      <c r="D44" s="33">
        <v>0.04</v>
      </c>
      <c r="E44" s="33">
        <v>0.18</v>
      </c>
      <c r="F44" s="33">
        <v>0.03</v>
      </c>
      <c r="G44" s="33">
        <v>0.06</v>
      </c>
    </row>
    <row r="45" spans="1:7" x14ac:dyDescent="0.3">
      <c r="A45" s="17" t="s">
        <v>163</v>
      </c>
      <c r="B45" s="33">
        <v>0.2</v>
      </c>
      <c r="C45" s="33">
        <v>0.1</v>
      </c>
      <c r="D45" s="33">
        <v>0.04</v>
      </c>
      <c r="E45" s="33">
        <v>0.18</v>
      </c>
      <c r="F45" s="33">
        <v>0.03</v>
      </c>
      <c r="G45" s="33">
        <v>0.06</v>
      </c>
    </row>
    <row r="46" spans="1:7" x14ac:dyDescent="0.3">
      <c r="A46" s="42" t="s">
        <v>100</v>
      </c>
      <c r="B46" s="33">
        <v>0.2</v>
      </c>
      <c r="C46" s="33">
        <v>0.1</v>
      </c>
      <c r="D46" s="33">
        <v>0.04</v>
      </c>
      <c r="E46" s="33">
        <v>0.18</v>
      </c>
      <c r="F46" s="33">
        <v>0.03</v>
      </c>
      <c r="G46" s="33">
        <v>0.06</v>
      </c>
    </row>
    <row r="47" spans="1:7" x14ac:dyDescent="0.3">
      <c r="A47" s="17" t="s">
        <v>152</v>
      </c>
      <c r="B47" s="33">
        <v>0.2</v>
      </c>
      <c r="C47" s="33">
        <v>0.1</v>
      </c>
      <c r="D47" s="33">
        <v>0.04</v>
      </c>
      <c r="E47" s="33">
        <v>0.18</v>
      </c>
      <c r="F47" s="33">
        <v>0.03</v>
      </c>
      <c r="G47" s="33">
        <v>0.06</v>
      </c>
    </row>
    <row r="48" spans="1:7" x14ac:dyDescent="0.3">
      <c r="A48" s="17" t="s">
        <v>128</v>
      </c>
      <c r="B48" s="33">
        <v>0.2</v>
      </c>
      <c r="C48" s="33">
        <v>0.1</v>
      </c>
      <c r="D48" s="33">
        <v>0.04</v>
      </c>
      <c r="E48" s="33">
        <v>0.18</v>
      </c>
      <c r="F48" s="33">
        <v>0.03</v>
      </c>
      <c r="G48" s="33">
        <v>0.06</v>
      </c>
    </row>
    <row r="49" spans="1:7" x14ac:dyDescent="0.3">
      <c r="A49" s="17" t="s">
        <v>126</v>
      </c>
      <c r="B49" s="33">
        <v>0.2</v>
      </c>
      <c r="C49" s="33">
        <v>0.1</v>
      </c>
      <c r="D49" s="33">
        <v>0.04</v>
      </c>
      <c r="E49" s="33">
        <v>0.18</v>
      </c>
      <c r="F49" s="33">
        <v>0.03</v>
      </c>
      <c r="G49" s="33">
        <v>0.06</v>
      </c>
    </row>
    <row r="50" spans="1:7" x14ac:dyDescent="0.3">
      <c r="A50" s="17" t="s">
        <v>153</v>
      </c>
      <c r="B50" s="33">
        <v>0.2</v>
      </c>
      <c r="C50" s="33">
        <v>0.1</v>
      </c>
      <c r="D50" s="33">
        <v>0.04</v>
      </c>
      <c r="E50" s="33">
        <v>0.18</v>
      </c>
      <c r="F50" s="33">
        <v>0.03</v>
      </c>
      <c r="G50" s="33">
        <v>0.06</v>
      </c>
    </row>
    <row r="51" spans="1:7" x14ac:dyDescent="0.3">
      <c r="A51" s="42" t="s">
        <v>98</v>
      </c>
      <c r="B51" s="33">
        <v>0.2</v>
      </c>
      <c r="C51" s="33">
        <v>0.1</v>
      </c>
      <c r="D51" s="33">
        <v>0.04</v>
      </c>
      <c r="E51" s="33">
        <v>0.18</v>
      </c>
      <c r="F51" s="33">
        <v>0.03</v>
      </c>
      <c r="G51" s="33">
        <v>0.06</v>
      </c>
    </row>
    <row r="52" spans="1:7" x14ac:dyDescent="0.3">
      <c r="A52" s="42" t="s">
        <v>103</v>
      </c>
      <c r="B52" s="33">
        <v>0.2</v>
      </c>
      <c r="C52" s="33">
        <v>0.1</v>
      </c>
      <c r="D52" s="33">
        <v>0.04</v>
      </c>
      <c r="E52" s="33">
        <v>0.18</v>
      </c>
      <c r="F52" s="33">
        <v>0.03</v>
      </c>
      <c r="G52" s="33">
        <v>0.06</v>
      </c>
    </row>
    <row r="53" spans="1:7" x14ac:dyDescent="0.3">
      <c r="A53" s="17" t="s">
        <v>148</v>
      </c>
      <c r="B53" s="33">
        <v>0.2</v>
      </c>
      <c r="C53" s="33">
        <v>0.1</v>
      </c>
      <c r="D53" s="33">
        <v>0.04</v>
      </c>
      <c r="E53" s="33">
        <v>0.18</v>
      </c>
      <c r="F53" s="33">
        <v>0.03</v>
      </c>
      <c r="G53" s="33">
        <v>0.06</v>
      </c>
    </row>
    <row r="54" spans="1:7" x14ac:dyDescent="0.3">
      <c r="A54" s="17" t="s">
        <v>151</v>
      </c>
      <c r="B54" s="33">
        <v>0.2</v>
      </c>
      <c r="C54" s="33">
        <v>0.1</v>
      </c>
      <c r="D54" s="33">
        <v>0.04</v>
      </c>
      <c r="E54" s="33">
        <v>0.18</v>
      </c>
      <c r="F54" s="33">
        <v>0.03</v>
      </c>
      <c r="G54" s="33">
        <v>0.06</v>
      </c>
    </row>
    <row r="55" spans="1:7" x14ac:dyDescent="0.3">
      <c r="A55" s="17" t="s">
        <v>121</v>
      </c>
      <c r="B55" s="33">
        <v>0.2</v>
      </c>
      <c r="C55" s="33">
        <v>0.1</v>
      </c>
      <c r="D55" s="33">
        <v>0.04</v>
      </c>
      <c r="E55" s="33">
        <v>0.18</v>
      </c>
      <c r="F55" s="33">
        <v>0.03</v>
      </c>
      <c r="G55" s="33">
        <v>0.06</v>
      </c>
    </row>
    <row r="56" spans="1:7" x14ac:dyDescent="0.3">
      <c r="A56" s="17" t="s">
        <v>196</v>
      </c>
      <c r="B56" s="33">
        <v>0.2</v>
      </c>
      <c r="C56" s="33">
        <v>0.1</v>
      </c>
      <c r="D56" s="33">
        <v>0.04</v>
      </c>
      <c r="E56" s="33">
        <v>0.18</v>
      </c>
      <c r="F56" s="33">
        <v>0.03</v>
      </c>
      <c r="G56" s="33">
        <v>0.06</v>
      </c>
    </row>
    <row r="57" spans="1:7" x14ac:dyDescent="0.3">
      <c r="A57" s="17" t="s">
        <v>180</v>
      </c>
      <c r="B57" s="33">
        <v>0.2</v>
      </c>
      <c r="C57" s="33">
        <v>0.1</v>
      </c>
      <c r="D57" s="33">
        <v>0.04</v>
      </c>
      <c r="E57" s="33">
        <v>0.18</v>
      </c>
      <c r="F57" s="33">
        <v>0.03</v>
      </c>
      <c r="G57" s="33">
        <v>0.06</v>
      </c>
    </row>
    <row r="58" spans="1:7" x14ac:dyDescent="0.3">
      <c r="A58" s="42" t="s">
        <v>112</v>
      </c>
      <c r="B58" s="33">
        <v>0.2</v>
      </c>
      <c r="C58" s="33">
        <v>0.1</v>
      </c>
      <c r="D58" s="33">
        <v>0.04</v>
      </c>
      <c r="E58" s="33">
        <v>0.18</v>
      </c>
      <c r="F58" s="33">
        <v>0.03</v>
      </c>
      <c r="G58" s="33">
        <v>0.06</v>
      </c>
    </row>
    <row r="59" spans="1:7" x14ac:dyDescent="0.3">
      <c r="A59" s="17" t="s">
        <v>156</v>
      </c>
      <c r="B59" s="33">
        <v>0.2</v>
      </c>
      <c r="C59" s="33">
        <v>0.1</v>
      </c>
      <c r="D59" s="33">
        <v>0.04</v>
      </c>
      <c r="E59" s="33">
        <v>0.18</v>
      </c>
      <c r="F59" s="33">
        <v>0.03</v>
      </c>
      <c r="G59" s="33">
        <v>0.06</v>
      </c>
    </row>
    <row r="60" spans="1:7" x14ac:dyDescent="0.3">
      <c r="A60" s="17" t="s">
        <v>198</v>
      </c>
      <c r="B60" s="33">
        <v>0.2</v>
      </c>
      <c r="C60" s="33">
        <v>0.1</v>
      </c>
      <c r="D60" s="33">
        <v>0.04</v>
      </c>
      <c r="E60" s="33">
        <v>0.18</v>
      </c>
      <c r="F60" s="33">
        <v>0.03</v>
      </c>
      <c r="G60" s="33">
        <v>0.06</v>
      </c>
    </row>
    <row r="61" spans="1:7" x14ac:dyDescent="0.3">
      <c r="A61" s="17" t="s">
        <v>155</v>
      </c>
      <c r="B61" s="33">
        <v>0.2</v>
      </c>
      <c r="C61" s="33">
        <v>0.1</v>
      </c>
      <c r="D61" s="33">
        <v>0.04</v>
      </c>
      <c r="E61" s="33">
        <v>0.18</v>
      </c>
      <c r="F61" s="33">
        <v>0.03</v>
      </c>
      <c r="G61" s="33">
        <v>0.06</v>
      </c>
    </row>
    <row r="62" spans="1:7" x14ac:dyDescent="0.3">
      <c r="A62" s="17" t="s">
        <v>167</v>
      </c>
      <c r="B62" s="33">
        <v>0.2</v>
      </c>
      <c r="C62" s="33">
        <v>0.1</v>
      </c>
      <c r="D62" s="33">
        <v>0.04</v>
      </c>
      <c r="E62" s="33">
        <v>0.18</v>
      </c>
      <c r="F62" s="33">
        <v>0.03</v>
      </c>
      <c r="G62" s="33">
        <v>0.06</v>
      </c>
    </row>
    <row r="63" spans="1:7" x14ac:dyDescent="0.3">
      <c r="A63" s="17" t="s">
        <v>135</v>
      </c>
      <c r="B63" s="33">
        <v>0.2</v>
      </c>
      <c r="C63" s="33">
        <v>0.1</v>
      </c>
      <c r="D63" s="33">
        <v>0.04</v>
      </c>
      <c r="E63" s="33">
        <v>0.18</v>
      </c>
      <c r="F63" s="33">
        <v>0.03</v>
      </c>
      <c r="G63" s="33">
        <v>0.06</v>
      </c>
    </row>
    <row r="64" spans="1:7" x14ac:dyDescent="0.3">
      <c r="A64" s="17" t="s">
        <v>197</v>
      </c>
      <c r="B64" s="33">
        <v>0.2</v>
      </c>
      <c r="C64" s="33">
        <v>0.1</v>
      </c>
      <c r="D64" s="33">
        <v>0.04</v>
      </c>
      <c r="E64" s="33">
        <v>0.18</v>
      </c>
      <c r="F64" s="33">
        <v>0.03</v>
      </c>
      <c r="G64" s="33">
        <v>0.06</v>
      </c>
    </row>
    <row r="65" spans="1:7" x14ac:dyDescent="0.3">
      <c r="A65" s="17" t="s">
        <v>175</v>
      </c>
      <c r="B65" s="33">
        <v>0.2</v>
      </c>
      <c r="C65" s="33">
        <v>0.1</v>
      </c>
      <c r="D65" s="33">
        <v>0.04</v>
      </c>
      <c r="E65" s="33">
        <v>0.18</v>
      </c>
      <c r="F65" s="33">
        <v>0.03</v>
      </c>
      <c r="G65" s="33">
        <v>0.06</v>
      </c>
    </row>
    <row r="66" spans="1:7" x14ac:dyDescent="0.3">
      <c r="A66" s="17" t="s">
        <v>138</v>
      </c>
      <c r="B66" s="33">
        <v>0.2</v>
      </c>
      <c r="C66" s="33">
        <v>0.1</v>
      </c>
      <c r="D66" s="33">
        <v>0.04</v>
      </c>
      <c r="E66" s="33">
        <v>0.18</v>
      </c>
      <c r="F66" s="33">
        <v>0.03</v>
      </c>
      <c r="G66" s="33">
        <v>0.06</v>
      </c>
    </row>
    <row r="67" spans="1:7" x14ac:dyDescent="0.3">
      <c r="A67" s="17" t="s">
        <v>131</v>
      </c>
      <c r="B67" s="33">
        <v>0.2</v>
      </c>
      <c r="C67" s="33">
        <v>0.1</v>
      </c>
      <c r="D67" s="33">
        <v>0.04</v>
      </c>
      <c r="E67" s="33">
        <v>0.18</v>
      </c>
      <c r="F67" s="33">
        <v>0.03</v>
      </c>
      <c r="G67" s="33">
        <v>0.06</v>
      </c>
    </row>
    <row r="68" spans="1:7" x14ac:dyDescent="0.3">
      <c r="A68" s="17" t="s">
        <v>176</v>
      </c>
      <c r="B68" s="33">
        <v>0.2</v>
      </c>
      <c r="C68" s="33">
        <v>0.1</v>
      </c>
      <c r="D68" s="33">
        <v>0.04</v>
      </c>
      <c r="E68" s="33">
        <v>0.18</v>
      </c>
      <c r="F68" s="33">
        <v>0.03</v>
      </c>
      <c r="G68" s="33">
        <v>0.06</v>
      </c>
    </row>
    <row r="69" spans="1:7" x14ac:dyDescent="0.3">
      <c r="A69" s="17" t="s">
        <v>160</v>
      </c>
      <c r="B69" s="33">
        <v>0.2</v>
      </c>
      <c r="C69" s="33">
        <v>0.1</v>
      </c>
      <c r="D69" s="33">
        <v>0.04</v>
      </c>
      <c r="E69" s="33">
        <v>0.18</v>
      </c>
      <c r="F69" s="33">
        <v>0.03</v>
      </c>
      <c r="G69" s="33">
        <v>0.06</v>
      </c>
    </row>
    <row r="70" spans="1:7" x14ac:dyDescent="0.3">
      <c r="A70" s="17" t="s">
        <v>158</v>
      </c>
      <c r="B70" s="33">
        <v>0.2</v>
      </c>
      <c r="C70" s="33">
        <v>0.1</v>
      </c>
      <c r="D70" s="33">
        <v>0.04</v>
      </c>
      <c r="E70" s="33">
        <v>0.18</v>
      </c>
      <c r="F70" s="33">
        <v>0.03</v>
      </c>
      <c r="G70" s="33">
        <v>0.06</v>
      </c>
    </row>
    <row r="71" spans="1:7" x14ac:dyDescent="0.3">
      <c r="A71" s="17" t="s">
        <v>147</v>
      </c>
      <c r="B71" s="33">
        <v>0.2</v>
      </c>
      <c r="C71" s="33">
        <v>0.1</v>
      </c>
      <c r="D71" s="33">
        <v>0.04</v>
      </c>
      <c r="E71" s="33">
        <v>0.18</v>
      </c>
      <c r="F71" s="33">
        <v>0.03</v>
      </c>
      <c r="G71" s="33">
        <v>0.06</v>
      </c>
    </row>
    <row r="72" spans="1:7" x14ac:dyDescent="0.3">
      <c r="A72" s="17" t="s">
        <v>166</v>
      </c>
      <c r="B72" s="33">
        <v>0.2</v>
      </c>
      <c r="C72" s="33">
        <v>0.1</v>
      </c>
      <c r="D72" s="33">
        <v>0.04</v>
      </c>
      <c r="E72" s="33">
        <v>0.18</v>
      </c>
      <c r="F72" s="33">
        <v>0.03</v>
      </c>
      <c r="G72" s="33">
        <v>0.06</v>
      </c>
    </row>
    <row r="73" spans="1:7" x14ac:dyDescent="0.3">
      <c r="A73" s="42" t="s">
        <v>101</v>
      </c>
      <c r="B73" s="33">
        <v>0.2</v>
      </c>
      <c r="C73" s="33">
        <v>0.1</v>
      </c>
      <c r="D73" s="33">
        <v>0.04</v>
      </c>
      <c r="E73" s="33">
        <v>0.18</v>
      </c>
      <c r="F73" s="33">
        <v>0.03</v>
      </c>
      <c r="G73" s="33">
        <v>0.06</v>
      </c>
    </row>
    <row r="74" spans="1:7" x14ac:dyDescent="0.3">
      <c r="A74" s="17" t="s">
        <v>192</v>
      </c>
      <c r="B74" s="33">
        <v>0.2</v>
      </c>
      <c r="C74" s="33">
        <v>0.1</v>
      </c>
      <c r="D74" s="33">
        <v>0.04</v>
      </c>
      <c r="E74" s="33">
        <v>0.18</v>
      </c>
      <c r="F74" s="33">
        <v>0.03</v>
      </c>
      <c r="G74" s="33">
        <v>0.06</v>
      </c>
    </row>
    <row r="75" spans="1:7" x14ac:dyDescent="0.3">
      <c r="A75" s="17" t="s">
        <v>191</v>
      </c>
      <c r="B75" s="33">
        <v>0.2</v>
      </c>
      <c r="C75" s="33">
        <v>0.1</v>
      </c>
      <c r="D75" s="33">
        <v>0.04</v>
      </c>
      <c r="E75" s="33">
        <v>0.18</v>
      </c>
      <c r="F75" s="33">
        <v>0.03</v>
      </c>
      <c r="G75" s="33">
        <v>0.06</v>
      </c>
    </row>
    <row r="76" spans="1:7" x14ac:dyDescent="0.3">
      <c r="A76" s="42" t="s">
        <v>106</v>
      </c>
      <c r="B76" s="33">
        <v>0.2</v>
      </c>
      <c r="C76" s="34">
        <v>0</v>
      </c>
      <c r="D76" s="33">
        <v>0.04</v>
      </c>
      <c r="E76" s="33">
        <v>0.18</v>
      </c>
      <c r="F76" s="33">
        <v>0.03</v>
      </c>
      <c r="G76" s="33">
        <v>0.06</v>
      </c>
    </row>
    <row r="77" spans="1:7" x14ac:dyDescent="0.3">
      <c r="A77" s="17" t="s">
        <v>185</v>
      </c>
      <c r="B77" s="33">
        <v>0.2</v>
      </c>
      <c r="C77" s="33">
        <v>0.1</v>
      </c>
      <c r="D77" s="33">
        <v>0.04</v>
      </c>
      <c r="E77" s="33">
        <v>0.18</v>
      </c>
      <c r="F77" s="33">
        <v>0.03</v>
      </c>
      <c r="G77" s="33">
        <v>0.06</v>
      </c>
    </row>
    <row r="78" spans="1:7" x14ac:dyDescent="0.3">
      <c r="A78" s="17" t="s">
        <v>125</v>
      </c>
      <c r="B78" s="33">
        <v>0.2</v>
      </c>
      <c r="C78" s="33">
        <v>0.1</v>
      </c>
      <c r="D78" s="33">
        <v>0.04</v>
      </c>
      <c r="E78" s="33">
        <v>0.18</v>
      </c>
      <c r="F78" s="33">
        <v>0.03</v>
      </c>
      <c r="G78" s="33">
        <v>0.06</v>
      </c>
    </row>
    <row r="79" spans="1:7" x14ac:dyDescent="0.3">
      <c r="A79" s="17" t="s">
        <v>186</v>
      </c>
      <c r="B79" s="33">
        <v>0.2</v>
      </c>
      <c r="C79" s="33">
        <v>0.1</v>
      </c>
      <c r="D79" s="33">
        <v>0.04</v>
      </c>
      <c r="E79" s="33">
        <v>0.18</v>
      </c>
      <c r="F79" s="33">
        <v>0.03</v>
      </c>
      <c r="G79" s="33">
        <v>0.06</v>
      </c>
    </row>
    <row r="80" spans="1:7" x14ac:dyDescent="0.3">
      <c r="A80" s="17" t="s">
        <v>178</v>
      </c>
      <c r="B80" s="33">
        <v>0.2</v>
      </c>
      <c r="C80" s="33">
        <v>0.1</v>
      </c>
      <c r="D80" s="33">
        <v>0.04</v>
      </c>
      <c r="E80" s="33">
        <v>0.18</v>
      </c>
      <c r="F80" s="33">
        <v>0.03</v>
      </c>
      <c r="G80" s="33">
        <v>0.06</v>
      </c>
    </row>
    <row r="81" spans="1:7" x14ac:dyDescent="0.3">
      <c r="A81" s="17" t="s">
        <v>149</v>
      </c>
      <c r="B81" s="33">
        <v>0.2</v>
      </c>
      <c r="C81" s="33">
        <v>0.2</v>
      </c>
      <c r="D81" s="33">
        <v>0.04</v>
      </c>
      <c r="E81" s="33">
        <v>0.25</v>
      </c>
      <c r="F81" s="33">
        <v>0.03</v>
      </c>
      <c r="G81" s="33">
        <v>0.06</v>
      </c>
    </row>
    <row r="82" spans="1:7" x14ac:dyDescent="0.3">
      <c r="A82" s="17" t="s">
        <v>146</v>
      </c>
      <c r="B82" s="33">
        <v>0.2</v>
      </c>
      <c r="C82" s="33">
        <v>0.2</v>
      </c>
      <c r="D82" s="33">
        <v>0.04</v>
      </c>
      <c r="E82" s="33">
        <v>0.25</v>
      </c>
      <c r="F82" s="33">
        <v>0.03</v>
      </c>
      <c r="G82" s="33">
        <v>0.06</v>
      </c>
    </row>
    <row r="83" spans="1:7" x14ac:dyDescent="0.3">
      <c r="A83" s="17" t="s">
        <v>170</v>
      </c>
      <c r="B83" s="33">
        <v>0.2</v>
      </c>
      <c r="C83" s="33">
        <v>0.2</v>
      </c>
      <c r="D83" s="33">
        <v>0.04</v>
      </c>
      <c r="E83" s="33">
        <v>0.25</v>
      </c>
      <c r="F83" s="33">
        <v>0.03</v>
      </c>
      <c r="G83" s="33">
        <v>0.06</v>
      </c>
    </row>
    <row r="84" spans="1:7" x14ac:dyDescent="0.3">
      <c r="A84" s="17" t="s">
        <v>122</v>
      </c>
      <c r="B84" s="33">
        <v>0.2</v>
      </c>
      <c r="C84" s="33">
        <v>0.2</v>
      </c>
      <c r="D84" s="33">
        <v>0.04</v>
      </c>
      <c r="E84" s="33">
        <v>0.25</v>
      </c>
      <c r="F84" s="33">
        <v>0.03</v>
      </c>
      <c r="G84" s="33">
        <v>0.06</v>
      </c>
    </row>
    <row r="85" spans="1:7" x14ac:dyDescent="0.3">
      <c r="A85" s="17" t="s">
        <v>134</v>
      </c>
      <c r="B85" s="33">
        <v>0.2</v>
      </c>
      <c r="C85" s="33">
        <v>0.2</v>
      </c>
      <c r="D85" s="33">
        <v>0.04</v>
      </c>
      <c r="E85" s="33">
        <v>0.25</v>
      </c>
      <c r="F85" s="33">
        <v>0.03</v>
      </c>
      <c r="G85" s="33">
        <v>0.06</v>
      </c>
    </row>
    <row r="86" spans="1:7" x14ac:dyDescent="0.3">
      <c r="A86" s="17" t="s">
        <v>168</v>
      </c>
      <c r="B86" s="33">
        <v>0.2</v>
      </c>
      <c r="C86" s="33">
        <v>0.32</v>
      </c>
      <c r="D86" s="33">
        <v>0.04</v>
      </c>
      <c r="E86" s="33">
        <v>0.25</v>
      </c>
      <c r="F86" s="33">
        <v>0.03</v>
      </c>
      <c r="G86" s="33">
        <v>0.06</v>
      </c>
    </row>
    <row r="87" spans="1:7" x14ac:dyDescent="0.3">
      <c r="A87" s="17" t="s">
        <v>120</v>
      </c>
      <c r="B87" s="33">
        <v>0.2</v>
      </c>
      <c r="C87" s="33">
        <v>0.32</v>
      </c>
      <c r="D87" s="33">
        <v>0.04</v>
      </c>
      <c r="E87" s="33">
        <v>0.25</v>
      </c>
      <c r="F87" s="33">
        <v>0.03</v>
      </c>
      <c r="G87" s="33">
        <v>0.06</v>
      </c>
    </row>
    <row r="88" spans="1:7" x14ac:dyDescent="0.3">
      <c r="A88" s="42" t="s">
        <v>93</v>
      </c>
      <c r="B88" s="33">
        <v>0.2</v>
      </c>
      <c r="C88" s="33">
        <v>0.32</v>
      </c>
      <c r="D88" s="33">
        <v>0.04</v>
      </c>
      <c r="E88" s="33">
        <v>0.25</v>
      </c>
      <c r="F88" s="33">
        <v>0.03</v>
      </c>
      <c r="G88" s="33">
        <v>0.06</v>
      </c>
    </row>
    <row r="89" spans="1:7" x14ac:dyDescent="0.3">
      <c r="A89" s="17" t="s">
        <v>161</v>
      </c>
      <c r="B89" s="33">
        <v>0.2</v>
      </c>
      <c r="C89" s="33">
        <v>0.32</v>
      </c>
      <c r="D89" s="33">
        <v>0.04</v>
      </c>
      <c r="E89" s="33">
        <v>0.25</v>
      </c>
      <c r="F89" s="33">
        <v>0.03</v>
      </c>
      <c r="G89" s="33">
        <v>0.06</v>
      </c>
    </row>
    <row r="90" spans="1:7" x14ac:dyDescent="0.3">
      <c r="A90" s="17" t="s">
        <v>169</v>
      </c>
      <c r="B90" s="33">
        <v>0.2</v>
      </c>
      <c r="C90" s="33">
        <v>0.32</v>
      </c>
      <c r="D90" s="33">
        <v>0.04</v>
      </c>
      <c r="E90" s="33">
        <v>0.25</v>
      </c>
      <c r="F90" s="33">
        <v>0.03</v>
      </c>
      <c r="G90" s="33">
        <v>0.06</v>
      </c>
    </row>
    <row r="91" spans="1:7" x14ac:dyDescent="0.3">
      <c r="A91" s="17" t="s">
        <v>182</v>
      </c>
      <c r="B91" s="33">
        <v>0.2</v>
      </c>
      <c r="C91" s="33">
        <v>0.1</v>
      </c>
      <c r="D91" s="33">
        <v>0.04</v>
      </c>
      <c r="E91" s="33">
        <v>0.18</v>
      </c>
      <c r="F91" s="33">
        <v>0.03</v>
      </c>
      <c r="G91" s="33">
        <v>0.06</v>
      </c>
    </row>
    <row r="92" spans="1:7" x14ac:dyDescent="0.3">
      <c r="A92" s="42" t="s">
        <v>102</v>
      </c>
      <c r="B92" s="33">
        <v>0.2</v>
      </c>
      <c r="C92" s="33">
        <v>0.1</v>
      </c>
      <c r="D92" s="33">
        <v>0.04</v>
      </c>
      <c r="E92" s="33">
        <v>0.18</v>
      </c>
      <c r="F92" s="33">
        <v>0.03</v>
      </c>
      <c r="G92" s="33">
        <v>0.06</v>
      </c>
    </row>
    <row r="93" spans="1:7" x14ac:dyDescent="0.3">
      <c r="A93" s="17" t="s">
        <v>144</v>
      </c>
      <c r="B93" s="33">
        <v>0.1</v>
      </c>
      <c r="C93" s="34">
        <v>0</v>
      </c>
      <c r="D93" s="34">
        <v>0</v>
      </c>
      <c r="E93" s="33">
        <v>0.18</v>
      </c>
      <c r="F93" s="33">
        <v>0.03</v>
      </c>
      <c r="G93" s="33">
        <v>0.06</v>
      </c>
    </row>
    <row r="94" spans="1:7" x14ac:dyDescent="0.3">
      <c r="A94" s="17" t="s">
        <v>172</v>
      </c>
      <c r="B94" s="33">
        <v>0.1</v>
      </c>
      <c r="C94" s="33">
        <v>0.36</v>
      </c>
      <c r="D94" s="34">
        <v>0</v>
      </c>
      <c r="E94" s="33">
        <v>0.25</v>
      </c>
      <c r="F94" s="33">
        <v>0.03</v>
      </c>
      <c r="G94" s="33">
        <v>0.06</v>
      </c>
    </row>
    <row r="95" spans="1:7" x14ac:dyDescent="0.3">
      <c r="A95" s="17" t="s">
        <v>174</v>
      </c>
      <c r="B95" s="33">
        <v>0.2</v>
      </c>
      <c r="C95" s="34">
        <v>0</v>
      </c>
      <c r="D95" s="33">
        <v>0.04</v>
      </c>
      <c r="E95" s="33">
        <v>0.18</v>
      </c>
      <c r="F95" s="33">
        <v>0.03</v>
      </c>
      <c r="G95" s="33">
        <v>0.06</v>
      </c>
    </row>
    <row r="96" spans="1:7" x14ac:dyDescent="0.3">
      <c r="A96" s="17" t="s">
        <v>179</v>
      </c>
      <c r="B96" s="34">
        <v>0</v>
      </c>
      <c r="C96" s="34">
        <v>0</v>
      </c>
      <c r="D96" s="34">
        <v>0</v>
      </c>
      <c r="E96" s="33">
        <v>0.18</v>
      </c>
      <c r="F96" s="33">
        <v>0.03</v>
      </c>
      <c r="G96" s="33">
        <v>0.06</v>
      </c>
    </row>
    <row r="97" spans="1:7" x14ac:dyDescent="0.3">
      <c r="A97" s="17" t="s">
        <v>142</v>
      </c>
      <c r="B97" s="33">
        <v>0.15</v>
      </c>
      <c r="C97" s="33">
        <v>7.1999999999999995E-2</v>
      </c>
      <c r="D97" s="33">
        <v>0.02</v>
      </c>
      <c r="E97" s="33">
        <v>0.18</v>
      </c>
      <c r="F97" s="33">
        <v>0.03</v>
      </c>
      <c r="G97" s="33">
        <v>0.06</v>
      </c>
    </row>
    <row r="98" spans="1:7" x14ac:dyDescent="0.3">
      <c r="A98" s="42" t="s">
        <v>95</v>
      </c>
      <c r="B98" s="34">
        <v>0</v>
      </c>
      <c r="C98" s="33">
        <v>0.24</v>
      </c>
      <c r="D98" s="34">
        <v>0</v>
      </c>
      <c r="E98" s="33">
        <v>0.25</v>
      </c>
      <c r="F98" s="33">
        <v>0.03</v>
      </c>
      <c r="G98" s="33">
        <v>0.06</v>
      </c>
    </row>
    <row r="99" spans="1:7" x14ac:dyDescent="0.3">
      <c r="A99" s="42" t="s">
        <v>108</v>
      </c>
      <c r="B99" s="34">
        <v>0</v>
      </c>
      <c r="C99" s="33">
        <v>0.24</v>
      </c>
      <c r="D99" s="34">
        <v>0</v>
      </c>
      <c r="E99" s="33">
        <v>0.25</v>
      </c>
      <c r="F99" s="33">
        <v>0.03</v>
      </c>
      <c r="G99" s="33">
        <v>0.06</v>
      </c>
    </row>
    <row r="100" spans="1:7" x14ac:dyDescent="0.3">
      <c r="A100" s="17" t="s">
        <v>143</v>
      </c>
      <c r="B100" s="33">
        <v>0.1</v>
      </c>
      <c r="C100" s="34">
        <v>0</v>
      </c>
      <c r="D100" s="34">
        <v>0</v>
      </c>
      <c r="E100" s="33">
        <v>0.18</v>
      </c>
      <c r="F100" s="33">
        <v>0.03</v>
      </c>
      <c r="G100" s="33">
        <v>0.06</v>
      </c>
    </row>
    <row r="101" spans="1:7" x14ac:dyDescent="0.3">
      <c r="A101" s="17" t="s">
        <v>145</v>
      </c>
      <c r="B101" s="34">
        <v>0</v>
      </c>
      <c r="C101" s="34">
        <v>0</v>
      </c>
      <c r="D101" s="34">
        <v>0</v>
      </c>
      <c r="E101" s="33">
        <v>0.18</v>
      </c>
      <c r="F101" s="33">
        <v>0.03</v>
      </c>
      <c r="G101" s="33">
        <v>0.06</v>
      </c>
    </row>
    <row r="102" spans="1:7" x14ac:dyDescent="0.3">
      <c r="A102" s="17" t="s">
        <v>109</v>
      </c>
      <c r="B102" s="34">
        <v>0</v>
      </c>
      <c r="C102" s="34">
        <v>0</v>
      </c>
      <c r="D102" s="34">
        <v>0</v>
      </c>
      <c r="E102" s="33">
        <v>0.18</v>
      </c>
      <c r="F102" s="33">
        <v>0.03</v>
      </c>
      <c r="G102" s="33">
        <v>0.06</v>
      </c>
    </row>
    <row r="103" spans="1:7" x14ac:dyDescent="0.3">
      <c r="A103" s="42" t="s">
        <v>104</v>
      </c>
      <c r="B103" s="33">
        <v>0.2</v>
      </c>
      <c r="C103" s="33">
        <v>0.24</v>
      </c>
      <c r="D103" s="33">
        <v>0.04</v>
      </c>
      <c r="E103" s="33">
        <v>0.18</v>
      </c>
      <c r="F103" s="33">
        <v>0.03</v>
      </c>
      <c r="G103" s="33">
        <v>0.06</v>
      </c>
    </row>
    <row r="104" spans="1:7" x14ac:dyDescent="0.3">
      <c r="A104" s="42" t="s">
        <v>105</v>
      </c>
      <c r="B104" s="33">
        <v>0.2</v>
      </c>
      <c r="C104" s="33">
        <v>0.24</v>
      </c>
      <c r="D104" s="33">
        <v>0.04</v>
      </c>
      <c r="E104" s="33">
        <v>0.18</v>
      </c>
      <c r="F104" s="33">
        <v>0.03</v>
      </c>
      <c r="G104" s="33">
        <v>0.06</v>
      </c>
    </row>
    <row r="105" spans="1:7" x14ac:dyDescent="0.3">
      <c r="A105" s="42" t="s">
        <v>110</v>
      </c>
      <c r="B105" s="38">
        <v>0.1</v>
      </c>
      <c r="C105" s="38">
        <v>0.2</v>
      </c>
      <c r="D105" s="39">
        <v>0</v>
      </c>
      <c r="E105" s="38">
        <v>0.18</v>
      </c>
      <c r="F105" s="33">
        <v>0.03</v>
      </c>
      <c r="G105" s="38">
        <v>0.06</v>
      </c>
    </row>
    <row r="106" spans="1:7" x14ac:dyDescent="0.3">
      <c r="A106" s="17" t="s">
        <v>123</v>
      </c>
      <c r="B106" s="38">
        <v>0.1</v>
      </c>
      <c r="C106" s="38">
        <v>0.24</v>
      </c>
      <c r="D106" s="39">
        <v>0</v>
      </c>
      <c r="E106" s="38">
        <v>0.18</v>
      </c>
      <c r="F106" s="33">
        <v>0.03</v>
      </c>
      <c r="G106" s="38">
        <v>0.06</v>
      </c>
    </row>
  </sheetData>
  <sortState ref="A4:H108">
    <sortCondition ref="A4:A108"/>
  </sortState>
  <pageMargins left="0.7" right="0.7" top="0.75" bottom="0.75" header="0.3" footer="0.3"/>
  <pageSetup paperSize="9" orientation="portrait" r:id="rId1"/>
  <ignoredErrors>
    <ignoredError sqref="A2:A1048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"/>
  <sheetViews>
    <sheetView workbookViewId="0">
      <selection activeCell="F35" sqref="F35"/>
    </sheetView>
  </sheetViews>
  <sheetFormatPr defaultRowHeight="14.4" x14ac:dyDescent="0.3"/>
  <cols>
    <col min="1" max="1" width="9.44140625" bestFit="1" customWidth="1"/>
    <col min="2" max="2" width="10.77734375" style="44" bestFit="1" customWidth="1"/>
  </cols>
  <sheetData>
    <row r="1" spans="1:3" x14ac:dyDescent="0.3">
      <c r="A1" s="17" t="s">
        <v>181</v>
      </c>
      <c r="B1" s="44" t="s">
        <v>181</v>
      </c>
      <c r="C1" t="str">
        <f>IF(A1=B1, "Same", "Different")</f>
        <v>Same</v>
      </c>
    </row>
    <row r="2" spans="1:3" x14ac:dyDescent="0.3">
      <c r="A2" s="42" t="s">
        <v>107</v>
      </c>
      <c r="B2" s="44" t="s">
        <v>107</v>
      </c>
      <c r="C2" t="str">
        <f t="shared" ref="C2:C65" si="0">IF(A2=B2, "Same", "Different")</f>
        <v>Same</v>
      </c>
    </row>
    <row r="3" spans="1:3" x14ac:dyDescent="0.3">
      <c r="A3" s="17" t="s">
        <v>119</v>
      </c>
      <c r="B3" s="44" t="s">
        <v>119</v>
      </c>
      <c r="C3" t="str">
        <f t="shared" si="0"/>
        <v>Same</v>
      </c>
    </row>
    <row r="4" spans="1:3" x14ac:dyDescent="0.3">
      <c r="A4" s="17" t="s">
        <v>184</v>
      </c>
      <c r="B4" s="44" t="s">
        <v>184</v>
      </c>
      <c r="C4" t="str">
        <f t="shared" si="0"/>
        <v>Same</v>
      </c>
    </row>
    <row r="5" spans="1:3" x14ac:dyDescent="0.3">
      <c r="A5" s="17" t="s">
        <v>165</v>
      </c>
      <c r="B5" s="44" t="s">
        <v>165</v>
      </c>
      <c r="C5" t="str">
        <f t="shared" si="0"/>
        <v>Same</v>
      </c>
    </row>
    <row r="6" spans="1:3" x14ac:dyDescent="0.3">
      <c r="A6" s="17" t="s">
        <v>183</v>
      </c>
      <c r="B6" s="44" t="s">
        <v>183</v>
      </c>
      <c r="C6" t="str">
        <f t="shared" si="0"/>
        <v>Same</v>
      </c>
    </row>
    <row r="7" spans="1:3" x14ac:dyDescent="0.3">
      <c r="A7" s="17" t="s">
        <v>188</v>
      </c>
      <c r="B7" s="44" t="s">
        <v>188</v>
      </c>
      <c r="C7" t="str">
        <f t="shared" si="0"/>
        <v>Same</v>
      </c>
    </row>
    <row r="8" spans="1:3" x14ac:dyDescent="0.3">
      <c r="A8" s="17" t="s">
        <v>190</v>
      </c>
      <c r="B8" s="44" t="s">
        <v>190</v>
      </c>
      <c r="C8" t="str">
        <f t="shared" si="0"/>
        <v>Same</v>
      </c>
    </row>
    <row r="9" spans="1:3" x14ac:dyDescent="0.3">
      <c r="A9" s="17" t="s">
        <v>171</v>
      </c>
      <c r="B9" s="44" t="s">
        <v>171</v>
      </c>
      <c r="C9" t="str">
        <f t="shared" si="0"/>
        <v>Same</v>
      </c>
    </row>
    <row r="10" spans="1:3" x14ac:dyDescent="0.3">
      <c r="A10" s="42" t="s">
        <v>116</v>
      </c>
      <c r="B10" s="44" t="s">
        <v>116</v>
      </c>
      <c r="C10" t="str">
        <f t="shared" si="0"/>
        <v>Same</v>
      </c>
    </row>
    <row r="11" spans="1:3" x14ac:dyDescent="0.3">
      <c r="A11" s="42" t="s">
        <v>114</v>
      </c>
      <c r="B11" s="44" t="s">
        <v>114</v>
      </c>
      <c r="C11" t="str">
        <f t="shared" si="0"/>
        <v>Same</v>
      </c>
    </row>
    <row r="12" spans="1:3" x14ac:dyDescent="0.3">
      <c r="A12" s="42" t="s">
        <v>117</v>
      </c>
      <c r="B12" s="44" t="s">
        <v>117</v>
      </c>
      <c r="C12" t="str">
        <f t="shared" si="0"/>
        <v>Same</v>
      </c>
    </row>
    <row r="13" spans="1:3" x14ac:dyDescent="0.3">
      <c r="A13" s="42" t="s">
        <v>118</v>
      </c>
      <c r="B13" s="44" t="s">
        <v>118</v>
      </c>
      <c r="C13" t="str">
        <f t="shared" si="0"/>
        <v>Same</v>
      </c>
    </row>
    <row r="14" spans="1:3" x14ac:dyDescent="0.3">
      <c r="A14" s="17" t="s">
        <v>173</v>
      </c>
      <c r="B14" s="44" t="s">
        <v>173</v>
      </c>
      <c r="C14" t="str">
        <f t="shared" si="0"/>
        <v>Same</v>
      </c>
    </row>
    <row r="15" spans="1:3" x14ac:dyDescent="0.3">
      <c r="A15" s="17" t="s">
        <v>189</v>
      </c>
      <c r="B15" s="44" t="s">
        <v>189</v>
      </c>
      <c r="C15" t="str">
        <f t="shared" si="0"/>
        <v>Same</v>
      </c>
    </row>
    <row r="16" spans="1:3" x14ac:dyDescent="0.3">
      <c r="A16" s="42" t="s">
        <v>115</v>
      </c>
      <c r="B16" s="44" t="s">
        <v>115</v>
      </c>
      <c r="C16" t="str">
        <f t="shared" si="0"/>
        <v>Same</v>
      </c>
    </row>
    <row r="17" spans="1:3" x14ac:dyDescent="0.3">
      <c r="A17" s="17" t="s">
        <v>177</v>
      </c>
      <c r="B17" s="44" t="s">
        <v>177</v>
      </c>
      <c r="C17" t="str">
        <f t="shared" si="0"/>
        <v>Same</v>
      </c>
    </row>
    <row r="18" spans="1:3" x14ac:dyDescent="0.3">
      <c r="A18" s="42" t="s">
        <v>94</v>
      </c>
      <c r="B18" s="44" t="s">
        <v>94</v>
      </c>
      <c r="C18" t="str">
        <f t="shared" si="0"/>
        <v>Same</v>
      </c>
    </row>
    <row r="19" spans="1:3" x14ac:dyDescent="0.3">
      <c r="A19" s="17" t="s">
        <v>193</v>
      </c>
      <c r="B19" s="44" t="s">
        <v>193</v>
      </c>
      <c r="C19" t="str">
        <f t="shared" si="0"/>
        <v>Same</v>
      </c>
    </row>
    <row r="20" spans="1:3" x14ac:dyDescent="0.3">
      <c r="A20" s="17" t="s">
        <v>133</v>
      </c>
      <c r="B20" s="44" t="s">
        <v>133</v>
      </c>
      <c r="C20" t="str">
        <f t="shared" si="0"/>
        <v>Same</v>
      </c>
    </row>
    <row r="21" spans="1:3" x14ac:dyDescent="0.3">
      <c r="A21" s="17" t="s">
        <v>164</v>
      </c>
      <c r="B21" s="44" t="s">
        <v>164</v>
      </c>
      <c r="C21" t="str">
        <f t="shared" si="0"/>
        <v>Same</v>
      </c>
    </row>
    <row r="22" spans="1:3" x14ac:dyDescent="0.3">
      <c r="A22" s="17" t="s">
        <v>137</v>
      </c>
      <c r="B22" s="44" t="s">
        <v>137</v>
      </c>
      <c r="C22" t="str">
        <f t="shared" si="0"/>
        <v>Same</v>
      </c>
    </row>
    <row r="23" spans="1:3" x14ac:dyDescent="0.3">
      <c r="A23" s="17" t="s">
        <v>162</v>
      </c>
      <c r="B23" s="44" t="s">
        <v>162</v>
      </c>
      <c r="C23" t="str">
        <f t="shared" si="0"/>
        <v>Same</v>
      </c>
    </row>
    <row r="24" spans="1:3" x14ac:dyDescent="0.3">
      <c r="A24" s="17" t="s">
        <v>157</v>
      </c>
      <c r="B24" s="44" t="s">
        <v>157</v>
      </c>
      <c r="C24" t="str">
        <f t="shared" si="0"/>
        <v>Same</v>
      </c>
    </row>
    <row r="25" spans="1:3" x14ac:dyDescent="0.3">
      <c r="A25" s="17" t="s">
        <v>159</v>
      </c>
      <c r="B25" s="44" t="s">
        <v>159</v>
      </c>
      <c r="C25" t="str">
        <f t="shared" si="0"/>
        <v>Same</v>
      </c>
    </row>
    <row r="26" spans="1:3" x14ac:dyDescent="0.3">
      <c r="A26" s="42" t="s">
        <v>99</v>
      </c>
      <c r="B26" s="44" t="s">
        <v>99</v>
      </c>
      <c r="C26" t="str">
        <f t="shared" si="0"/>
        <v>Same</v>
      </c>
    </row>
    <row r="27" spans="1:3" x14ac:dyDescent="0.3">
      <c r="A27" s="17" t="s">
        <v>139</v>
      </c>
      <c r="B27" s="44" t="s">
        <v>139</v>
      </c>
      <c r="C27" t="str">
        <f t="shared" si="0"/>
        <v>Same</v>
      </c>
    </row>
    <row r="28" spans="1:3" x14ac:dyDescent="0.3">
      <c r="A28" s="42" t="s">
        <v>113</v>
      </c>
      <c r="B28" s="44" t="s">
        <v>113</v>
      </c>
      <c r="C28" t="str">
        <f t="shared" si="0"/>
        <v>Same</v>
      </c>
    </row>
    <row r="29" spans="1:3" x14ac:dyDescent="0.3">
      <c r="A29" s="42" t="s">
        <v>97</v>
      </c>
      <c r="B29" s="44" t="s">
        <v>97</v>
      </c>
      <c r="C29" t="str">
        <f t="shared" si="0"/>
        <v>Same</v>
      </c>
    </row>
    <row r="30" spans="1:3" x14ac:dyDescent="0.3">
      <c r="A30" s="17" t="s">
        <v>129</v>
      </c>
      <c r="B30" s="44" t="s">
        <v>129</v>
      </c>
      <c r="C30" t="str">
        <f t="shared" si="0"/>
        <v>Same</v>
      </c>
    </row>
    <row r="31" spans="1:3" x14ac:dyDescent="0.3">
      <c r="A31" s="17" t="s">
        <v>136</v>
      </c>
      <c r="B31" s="44" t="s">
        <v>136</v>
      </c>
      <c r="C31" t="str">
        <f t="shared" si="0"/>
        <v>Same</v>
      </c>
    </row>
    <row r="32" spans="1:3" x14ac:dyDescent="0.3">
      <c r="A32" s="17" t="s">
        <v>140</v>
      </c>
      <c r="B32" s="44" t="s">
        <v>140</v>
      </c>
      <c r="C32" t="str">
        <f t="shared" si="0"/>
        <v>Same</v>
      </c>
    </row>
    <row r="33" spans="1:3" x14ac:dyDescent="0.3">
      <c r="A33" s="17" t="s">
        <v>127</v>
      </c>
      <c r="B33" s="44" t="s">
        <v>127</v>
      </c>
      <c r="C33" t="str">
        <f t="shared" si="0"/>
        <v>Same</v>
      </c>
    </row>
    <row r="34" spans="1:3" x14ac:dyDescent="0.3">
      <c r="A34" s="17" t="s">
        <v>150</v>
      </c>
      <c r="B34" s="44" t="s">
        <v>150</v>
      </c>
      <c r="C34" t="str">
        <f t="shared" si="0"/>
        <v>Same</v>
      </c>
    </row>
    <row r="35" spans="1:3" x14ac:dyDescent="0.3">
      <c r="A35" s="17" t="s">
        <v>130</v>
      </c>
      <c r="B35" s="44" t="s">
        <v>130</v>
      </c>
      <c r="C35" t="str">
        <f t="shared" si="0"/>
        <v>Same</v>
      </c>
    </row>
    <row r="36" spans="1:3" x14ac:dyDescent="0.3">
      <c r="A36" s="42" t="s">
        <v>96</v>
      </c>
      <c r="B36" s="44" t="s">
        <v>96</v>
      </c>
      <c r="C36" t="str">
        <f t="shared" si="0"/>
        <v>Same</v>
      </c>
    </row>
    <row r="37" spans="1:3" x14ac:dyDescent="0.3">
      <c r="A37" s="17" t="s">
        <v>187</v>
      </c>
      <c r="B37" s="44" t="s">
        <v>187</v>
      </c>
      <c r="C37" t="str">
        <f t="shared" si="0"/>
        <v>Same</v>
      </c>
    </row>
    <row r="38" spans="1:3" x14ac:dyDescent="0.3">
      <c r="A38" s="17" t="s">
        <v>195</v>
      </c>
      <c r="B38" s="44" t="s">
        <v>195</v>
      </c>
      <c r="C38" t="str">
        <f t="shared" si="0"/>
        <v>Same</v>
      </c>
    </row>
    <row r="39" spans="1:3" x14ac:dyDescent="0.3">
      <c r="A39" s="17" t="s">
        <v>194</v>
      </c>
      <c r="B39" s="44" t="s">
        <v>194</v>
      </c>
      <c r="C39" t="str">
        <f t="shared" si="0"/>
        <v>Same</v>
      </c>
    </row>
    <row r="40" spans="1:3" x14ac:dyDescent="0.3">
      <c r="A40" s="17" t="s">
        <v>141</v>
      </c>
      <c r="B40" s="44" t="s">
        <v>141</v>
      </c>
      <c r="C40" t="str">
        <f t="shared" si="0"/>
        <v>Same</v>
      </c>
    </row>
    <row r="41" spans="1:3" x14ac:dyDescent="0.3">
      <c r="A41" s="17" t="s">
        <v>124</v>
      </c>
      <c r="B41" s="44" t="s">
        <v>124</v>
      </c>
      <c r="C41" t="str">
        <f t="shared" si="0"/>
        <v>Same</v>
      </c>
    </row>
    <row r="42" spans="1:3" x14ac:dyDescent="0.3">
      <c r="A42" s="17" t="s">
        <v>154</v>
      </c>
      <c r="B42" s="44" t="s">
        <v>154</v>
      </c>
      <c r="C42" t="str">
        <f t="shared" si="0"/>
        <v>Same</v>
      </c>
    </row>
    <row r="43" spans="1:3" x14ac:dyDescent="0.3">
      <c r="A43" s="17" t="s">
        <v>132</v>
      </c>
      <c r="B43" s="44" t="s">
        <v>132</v>
      </c>
      <c r="C43" t="str">
        <f t="shared" si="0"/>
        <v>Same</v>
      </c>
    </row>
    <row r="44" spans="1:3" x14ac:dyDescent="0.3">
      <c r="A44" s="17" t="s">
        <v>163</v>
      </c>
      <c r="B44" s="44" t="s">
        <v>163</v>
      </c>
      <c r="C44" t="str">
        <f t="shared" si="0"/>
        <v>Same</v>
      </c>
    </row>
    <row r="45" spans="1:3" x14ac:dyDescent="0.3">
      <c r="A45" s="42" t="s">
        <v>100</v>
      </c>
      <c r="B45" s="44" t="s">
        <v>100</v>
      </c>
      <c r="C45" t="str">
        <f t="shared" si="0"/>
        <v>Same</v>
      </c>
    </row>
    <row r="46" spans="1:3" x14ac:dyDescent="0.3">
      <c r="A46" s="17" t="s">
        <v>152</v>
      </c>
      <c r="B46" s="44" t="s">
        <v>152</v>
      </c>
      <c r="C46" t="str">
        <f t="shared" si="0"/>
        <v>Same</v>
      </c>
    </row>
    <row r="47" spans="1:3" x14ac:dyDescent="0.3">
      <c r="A47" s="17" t="s">
        <v>128</v>
      </c>
      <c r="B47" s="44" t="s">
        <v>128</v>
      </c>
      <c r="C47" t="str">
        <f t="shared" si="0"/>
        <v>Same</v>
      </c>
    </row>
    <row r="48" spans="1:3" x14ac:dyDescent="0.3">
      <c r="A48" s="17" t="s">
        <v>126</v>
      </c>
      <c r="B48" s="44" t="s">
        <v>126</v>
      </c>
      <c r="C48" t="str">
        <f t="shared" si="0"/>
        <v>Same</v>
      </c>
    </row>
    <row r="49" spans="1:3" x14ac:dyDescent="0.3">
      <c r="A49" s="17" t="s">
        <v>153</v>
      </c>
      <c r="B49" s="44" t="s">
        <v>153</v>
      </c>
      <c r="C49" t="str">
        <f t="shared" si="0"/>
        <v>Same</v>
      </c>
    </row>
    <row r="50" spans="1:3" x14ac:dyDescent="0.3">
      <c r="A50" s="42" t="s">
        <v>98</v>
      </c>
      <c r="B50" s="44" t="s">
        <v>98</v>
      </c>
      <c r="C50" t="str">
        <f t="shared" si="0"/>
        <v>Same</v>
      </c>
    </row>
    <row r="51" spans="1:3" x14ac:dyDescent="0.3">
      <c r="A51" s="42" t="s">
        <v>103</v>
      </c>
      <c r="B51" s="44" t="s">
        <v>103</v>
      </c>
      <c r="C51" t="str">
        <f t="shared" si="0"/>
        <v>Same</v>
      </c>
    </row>
    <row r="52" spans="1:3" x14ac:dyDescent="0.3">
      <c r="A52" s="17" t="s">
        <v>148</v>
      </c>
      <c r="B52" s="44" t="s">
        <v>148</v>
      </c>
      <c r="C52" t="str">
        <f t="shared" si="0"/>
        <v>Same</v>
      </c>
    </row>
    <row r="53" spans="1:3" x14ac:dyDescent="0.3">
      <c r="A53" s="17" t="s">
        <v>151</v>
      </c>
      <c r="B53" s="44" t="s">
        <v>151</v>
      </c>
      <c r="C53" t="str">
        <f t="shared" si="0"/>
        <v>Same</v>
      </c>
    </row>
    <row r="54" spans="1:3" x14ac:dyDescent="0.3">
      <c r="A54" s="17" t="s">
        <v>121</v>
      </c>
      <c r="B54" s="44" t="s">
        <v>121</v>
      </c>
      <c r="C54" t="str">
        <f t="shared" si="0"/>
        <v>Same</v>
      </c>
    </row>
    <row r="55" spans="1:3" x14ac:dyDescent="0.3">
      <c r="A55" s="17" t="s">
        <v>196</v>
      </c>
      <c r="B55" s="44" t="s">
        <v>196</v>
      </c>
      <c r="C55" t="str">
        <f t="shared" si="0"/>
        <v>Same</v>
      </c>
    </row>
    <row r="56" spans="1:3" x14ac:dyDescent="0.3">
      <c r="A56" s="17" t="s">
        <v>180</v>
      </c>
      <c r="B56" s="44" t="s">
        <v>180</v>
      </c>
      <c r="C56" t="str">
        <f t="shared" si="0"/>
        <v>Same</v>
      </c>
    </row>
    <row r="57" spans="1:3" x14ac:dyDescent="0.3">
      <c r="A57" s="42" t="s">
        <v>112</v>
      </c>
      <c r="B57" s="44" t="s">
        <v>112</v>
      </c>
      <c r="C57" t="str">
        <f t="shared" si="0"/>
        <v>Same</v>
      </c>
    </row>
    <row r="58" spans="1:3" x14ac:dyDescent="0.3">
      <c r="A58" s="17" t="s">
        <v>156</v>
      </c>
      <c r="B58" s="44" t="s">
        <v>156</v>
      </c>
      <c r="C58" t="str">
        <f t="shared" si="0"/>
        <v>Same</v>
      </c>
    </row>
    <row r="59" spans="1:3" x14ac:dyDescent="0.3">
      <c r="A59" s="17" t="s">
        <v>198</v>
      </c>
      <c r="B59" s="44" t="s">
        <v>198</v>
      </c>
      <c r="C59" t="str">
        <f t="shared" si="0"/>
        <v>Same</v>
      </c>
    </row>
    <row r="60" spans="1:3" x14ac:dyDescent="0.3">
      <c r="A60" s="17" t="s">
        <v>155</v>
      </c>
      <c r="B60" s="44" t="s">
        <v>155</v>
      </c>
      <c r="C60" t="str">
        <f t="shared" si="0"/>
        <v>Same</v>
      </c>
    </row>
    <row r="61" spans="1:3" x14ac:dyDescent="0.3">
      <c r="A61" s="17" t="s">
        <v>167</v>
      </c>
      <c r="B61" s="44" t="s">
        <v>167</v>
      </c>
      <c r="C61" t="str">
        <f t="shared" si="0"/>
        <v>Same</v>
      </c>
    </row>
    <row r="62" spans="1:3" x14ac:dyDescent="0.3">
      <c r="A62" s="17" t="s">
        <v>135</v>
      </c>
      <c r="B62" s="44" t="s">
        <v>135</v>
      </c>
      <c r="C62" t="str">
        <f t="shared" si="0"/>
        <v>Same</v>
      </c>
    </row>
    <row r="63" spans="1:3" x14ac:dyDescent="0.3">
      <c r="A63" s="17" t="s">
        <v>197</v>
      </c>
      <c r="B63" s="44" t="s">
        <v>197</v>
      </c>
      <c r="C63" t="str">
        <f t="shared" si="0"/>
        <v>Same</v>
      </c>
    </row>
    <row r="64" spans="1:3" x14ac:dyDescent="0.3">
      <c r="A64" s="17" t="s">
        <v>175</v>
      </c>
      <c r="B64" s="44" t="s">
        <v>175</v>
      </c>
      <c r="C64" t="str">
        <f t="shared" si="0"/>
        <v>Same</v>
      </c>
    </row>
    <row r="65" spans="1:3" x14ac:dyDescent="0.3">
      <c r="A65" s="17" t="s">
        <v>138</v>
      </c>
      <c r="B65" s="44" t="s">
        <v>138</v>
      </c>
      <c r="C65" t="str">
        <f t="shared" si="0"/>
        <v>Same</v>
      </c>
    </row>
    <row r="66" spans="1:3" x14ac:dyDescent="0.3">
      <c r="A66" s="17" t="s">
        <v>131</v>
      </c>
      <c r="B66" s="44" t="s">
        <v>131</v>
      </c>
      <c r="C66" t="str">
        <f t="shared" ref="C66:C105" si="1">IF(A66=B66, "Same", "Different")</f>
        <v>Same</v>
      </c>
    </row>
    <row r="67" spans="1:3" x14ac:dyDescent="0.3">
      <c r="A67" s="17" t="s">
        <v>176</v>
      </c>
      <c r="B67" s="44" t="s">
        <v>176</v>
      </c>
      <c r="C67" t="str">
        <f t="shared" si="1"/>
        <v>Same</v>
      </c>
    </row>
    <row r="68" spans="1:3" x14ac:dyDescent="0.3">
      <c r="A68" s="17" t="s">
        <v>160</v>
      </c>
      <c r="B68" s="44" t="s">
        <v>160</v>
      </c>
      <c r="C68" t="str">
        <f t="shared" si="1"/>
        <v>Same</v>
      </c>
    </row>
    <row r="69" spans="1:3" x14ac:dyDescent="0.3">
      <c r="A69" s="17" t="s">
        <v>158</v>
      </c>
      <c r="B69" s="44" t="s">
        <v>158</v>
      </c>
      <c r="C69" t="str">
        <f t="shared" si="1"/>
        <v>Same</v>
      </c>
    </row>
    <row r="70" spans="1:3" x14ac:dyDescent="0.3">
      <c r="A70" s="17" t="s">
        <v>147</v>
      </c>
      <c r="B70" s="44" t="s">
        <v>147</v>
      </c>
      <c r="C70" t="str">
        <f t="shared" si="1"/>
        <v>Same</v>
      </c>
    </row>
    <row r="71" spans="1:3" x14ac:dyDescent="0.3">
      <c r="A71" s="17" t="s">
        <v>166</v>
      </c>
      <c r="B71" s="44" t="s">
        <v>166</v>
      </c>
      <c r="C71" t="str">
        <f t="shared" si="1"/>
        <v>Same</v>
      </c>
    </row>
    <row r="72" spans="1:3" x14ac:dyDescent="0.3">
      <c r="A72" s="42" t="s">
        <v>101</v>
      </c>
      <c r="B72" s="44" t="s">
        <v>101</v>
      </c>
      <c r="C72" t="str">
        <f t="shared" si="1"/>
        <v>Same</v>
      </c>
    </row>
    <row r="73" spans="1:3" x14ac:dyDescent="0.3">
      <c r="A73" s="17" t="s">
        <v>192</v>
      </c>
      <c r="B73" s="44" t="s">
        <v>192</v>
      </c>
      <c r="C73" t="str">
        <f t="shared" si="1"/>
        <v>Same</v>
      </c>
    </row>
    <row r="74" spans="1:3" x14ac:dyDescent="0.3">
      <c r="A74" s="17" t="s">
        <v>191</v>
      </c>
      <c r="B74" s="44" t="s">
        <v>191</v>
      </c>
      <c r="C74" t="str">
        <f t="shared" si="1"/>
        <v>Same</v>
      </c>
    </row>
    <row r="75" spans="1:3" x14ac:dyDescent="0.3">
      <c r="A75" s="42" t="s">
        <v>106</v>
      </c>
      <c r="B75" s="44" t="s">
        <v>106</v>
      </c>
      <c r="C75" t="str">
        <f t="shared" si="1"/>
        <v>Same</v>
      </c>
    </row>
    <row r="76" spans="1:3" x14ac:dyDescent="0.3">
      <c r="A76" s="17" t="s">
        <v>185</v>
      </c>
      <c r="B76" s="44" t="s">
        <v>185</v>
      </c>
      <c r="C76" t="str">
        <f t="shared" si="1"/>
        <v>Same</v>
      </c>
    </row>
    <row r="77" spans="1:3" x14ac:dyDescent="0.3">
      <c r="A77" s="17" t="s">
        <v>125</v>
      </c>
      <c r="B77" s="44" t="s">
        <v>125</v>
      </c>
      <c r="C77" t="str">
        <f t="shared" si="1"/>
        <v>Same</v>
      </c>
    </row>
    <row r="78" spans="1:3" x14ac:dyDescent="0.3">
      <c r="A78" s="17" t="s">
        <v>186</v>
      </c>
      <c r="B78" s="44" t="s">
        <v>186</v>
      </c>
      <c r="C78" t="str">
        <f t="shared" si="1"/>
        <v>Same</v>
      </c>
    </row>
    <row r="79" spans="1:3" x14ac:dyDescent="0.3">
      <c r="A79" s="17" t="s">
        <v>178</v>
      </c>
      <c r="B79" s="44" t="s">
        <v>178</v>
      </c>
      <c r="C79" t="str">
        <f t="shared" si="1"/>
        <v>Same</v>
      </c>
    </row>
    <row r="80" spans="1:3" x14ac:dyDescent="0.3">
      <c r="A80" s="17" t="s">
        <v>149</v>
      </c>
      <c r="B80" s="44" t="s">
        <v>149</v>
      </c>
      <c r="C80" t="str">
        <f t="shared" si="1"/>
        <v>Same</v>
      </c>
    </row>
    <row r="81" spans="1:3" x14ac:dyDescent="0.3">
      <c r="A81" s="17" t="s">
        <v>146</v>
      </c>
      <c r="B81" s="44" t="s">
        <v>146</v>
      </c>
      <c r="C81" t="str">
        <f t="shared" si="1"/>
        <v>Same</v>
      </c>
    </row>
    <row r="82" spans="1:3" x14ac:dyDescent="0.3">
      <c r="A82" s="17" t="s">
        <v>170</v>
      </c>
      <c r="B82" s="44" t="s">
        <v>170</v>
      </c>
      <c r="C82" t="str">
        <f t="shared" si="1"/>
        <v>Same</v>
      </c>
    </row>
    <row r="83" spans="1:3" x14ac:dyDescent="0.3">
      <c r="A83" s="17" t="s">
        <v>122</v>
      </c>
      <c r="B83" s="44" t="s">
        <v>122</v>
      </c>
      <c r="C83" t="str">
        <f t="shared" si="1"/>
        <v>Same</v>
      </c>
    </row>
    <row r="84" spans="1:3" x14ac:dyDescent="0.3">
      <c r="A84" s="17" t="s">
        <v>134</v>
      </c>
      <c r="B84" s="44" t="s">
        <v>134</v>
      </c>
      <c r="C84" t="str">
        <f t="shared" si="1"/>
        <v>Same</v>
      </c>
    </row>
    <row r="85" spans="1:3" x14ac:dyDescent="0.3">
      <c r="A85" s="17" t="s">
        <v>168</v>
      </c>
      <c r="B85" s="44" t="s">
        <v>168</v>
      </c>
      <c r="C85" t="str">
        <f t="shared" si="1"/>
        <v>Same</v>
      </c>
    </row>
    <row r="86" spans="1:3" x14ac:dyDescent="0.3">
      <c r="A86" s="17" t="s">
        <v>120</v>
      </c>
      <c r="B86" s="44" t="s">
        <v>120</v>
      </c>
      <c r="C86" t="str">
        <f t="shared" si="1"/>
        <v>Same</v>
      </c>
    </row>
    <row r="87" spans="1:3" x14ac:dyDescent="0.3">
      <c r="A87" s="42" t="s">
        <v>93</v>
      </c>
      <c r="B87" s="44" t="s">
        <v>93</v>
      </c>
      <c r="C87" t="str">
        <f t="shared" si="1"/>
        <v>Same</v>
      </c>
    </row>
    <row r="88" spans="1:3" x14ac:dyDescent="0.3">
      <c r="A88" s="17" t="s">
        <v>161</v>
      </c>
      <c r="B88" s="44" t="s">
        <v>161</v>
      </c>
      <c r="C88" t="str">
        <f t="shared" si="1"/>
        <v>Same</v>
      </c>
    </row>
    <row r="89" spans="1:3" x14ac:dyDescent="0.3">
      <c r="A89" s="17" t="s">
        <v>169</v>
      </c>
      <c r="B89" s="44" t="s">
        <v>169</v>
      </c>
      <c r="C89" t="str">
        <f t="shared" si="1"/>
        <v>Same</v>
      </c>
    </row>
    <row r="90" spans="1:3" x14ac:dyDescent="0.3">
      <c r="A90" s="17" t="s">
        <v>182</v>
      </c>
      <c r="B90" s="44" t="s">
        <v>182</v>
      </c>
      <c r="C90" t="str">
        <f t="shared" si="1"/>
        <v>Same</v>
      </c>
    </row>
    <row r="91" spans="1:3" x14ac:dyDescent="0.3">
      <c r="A91" s="42" t="s">
        <v>102</v>
      </c>
      <c r="B91" s="44" t="s">
        <v>102</v>
      </c>
      <c r="C91" t="str">
        <f t="shared" si="1"/>
        <v>Same</v>
      </c>
    </row>
    <row r="92" spans="1:3" x14ac:dyDescent="0.3">
      <c r="A92" s="17" t="s">
        <v>144</v>
      </c>
      <c r="B92" s="44" t="s">
        <v>144</v>
      </c>
      <c r="C92" t="str">
        <f t="shared" si="1"/>
        <v>Same</v>
      </c>
    </row>
    <row r="93" spans="1:3" x14ac:dyDescent="0.3">
      <c r="A93" s="17" t="s">
        <v>172</v>
      </c>
      <c r="B93" s="44" t="s">
        <v>172</v>
      </c>
      <c r="C93" t="str">
        <f t="shared" si="1"/>
        <v>Same</v>
      </c>
    </row>
    <row r="94" spans="1:3" x14ac:dyDescent="0.3">
      <c r="A94" s="17" t="s">
        <v>174</v>
      </c>
      <c r="B94" s="44" t="s">
        <v>174</v>
      </c>
      <c r="C94" t="str">
        <f t="shared" si="1"/>
        <v>Same</v>
      </c>
    </row>
    <row r="95" spans="1:3" x14ac:dyDescent="0.3">
      <c r="A95" s="17" t="s">
        <v>179</v>
      </c>
      <c r="B95" s="44" t="s">
        <v>179</v>
      </c>
      <c r="C95" t="str">
        <f t="shared" si="1"/>
        <v>Same</v>
      </c>
    </row>
    <row r="96" spans="1:3" x14ac:dyDescent="0.3">
      <c r="A96" s="17" t="s">
        <v>142</v>
      </c>
      <c r="B96" s="44" t="s">
        <v>142</v>
      </c>
      <c r="C96" t="str">
        <f t="shared" si="1"/>
        <v>Same</v>
      </c>
    </row>
    <row r="97" spans="1:3" x14ac:dyDescent="0.3">
      <c r="A97" s="42" t="s">
        <v>95</v>
      </c>
      <c r="B97" s="44" t="s">
        <v>95</v>
      </c>
      <c r="C97" t="str">
        <f t="shared" si="1"/>
        <v>Same</v>
      </c>
    </row>
    <row r="98" spans="1:3" x14ac:dyDescent="0.3">
      <c r="A98" s="42" t="s">
        <v>108</v>
      </c>
      <c r="B98" s="44" t="s">
        <v>108</v>
      </c>
      <c r="C98" t="str">
        <f t="shared" si="1"/>
        <v>Same</v>
      </c>
    </row>
    <row r="99" spans="1:3" x14ac:dyDescent="0.3">
      <c r="A99" s="17" t="s">
        <v>143</v>
      </c>
      <c r="B99" s="44" t="s">
        <v>143</v>
      </c>
      <c r="C99" t="str">
        <f t="shared" si="1"/>
        <v>Same</v>
      </c>
    </row>
    <row r="100" spans="1:3" x14ac:dyDescent="0.3">
      <c r="A100" s="17" t="s">
        <v>145</v>
      </c>
      <c r="B100" s="44" t="s">
        <v>145</v>
      </c>
      <c r="C100" t="str">
        <f t="shared" si="1"/>
        <v>Same</v>
      </c>
    </row>
    <row r="101" spans="1:3" x14ac:dyDescent="0.3">
      <c r="A101" s="17" t="s">
        <v>109</v>
      </c>
      <c r="B101" s="44" t="s">
        <v>109</v>
      </c>
      <c r="C101" t="str">
        <f t="shared" si="1"/>
        <v>Same</v>
      </c>
    </row>
    <row r="102" spans="1:3" x14ac:dyDescent="0.3">
      <c r="A102" s="42" t="s">
        <v>104</v>
      </c>
      <c r="B102" s="44" t="s">
        <v>104</v>
      </c>
      <c r="C102" t="str">
        <f t="shared" si="1"/>
        <v>Same</v>
      </c>
    </row>
    <row r="103" spans="1:3" x14ac:dyDescent="0.3">
      <c r="A103" s="42" t="s">
        <v>105</v>
      </c>
      <c r="B103" s="44" t="s">
        <v>105</v>
      </c>
      <c r="C103" t="str">
        <f t="shared" si="1"/>
        <v>Same</v>
      </c>
    </row>
    <row r="104" spans="1:3" x14ac:dyDescent="0.3">
      <c r="A104" s="42" t="s">
        <v>110</v>
      </c>
      <c r="B104" s="44" t="s">
        <v>110</v>
      </c>
      <c r="C104" t="str">
        <f t="shared" si="1"/>
        <v>Same</v>
      </c>
    </row>
    <row r="105" spans="1:3" x14ac:dyDescent="0.3">
      <c r="A105" s="17" t="s">
        <v>123</v>
      </c>
      <c r="B105" s="44" t="s">
        <v>123</v>
      </c>
      <c r="C105" t="str">
        <f t="shared" si="1"/>
        <v>Same</v>
      </c>
    </row>
    <row r="107" spans="1:3" x14ac:dyDescent="0.3">
      <c r="B107"/>
    </row>
    <row r="108" spans="1:3" x14ac:dyDescent="0.3">
      <c r="B108"/>
    </row>
    <row r="109" spans="1:3" x14ac:dyDescent="0.3">
      <c r="B109"/>
    </row>
    <row r="110" spans="1:3" x14ac:dyDescent="0.3">
      <c r="B110"/>
    </row>
    <row r="111" spans="1:3" x14ac:dyDescent="0.3">
      <c r="B111"/>
    </row>
  </sheetData>
  <sortState ref="B1:B111">
    <sortCondition ref="B63:B1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2018 - 2019</vt:lpstr>
      <vt:lpstr>PCT</vt:lpstr>
      <vt:lpstr>Sheet1</vt:lpstr>
      <vt:lpstr>Sheet3</vt:lpstr>
    </vt:vector>
  </TitlesOfParts>
  <Company>spl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Numair Arshad</dc:creator>
  <cp:lastModifiedBy>Abdullah Sufyan</cp:lastModifiedBy>
  <dcterms:created xsi:type="dcterms:W3CDTF">2017-12-28T13:34:02Z</dcterms:created>
  <dcterms:modified xsi:type="dcterms:W3CDTF">2026-05-12T13:18:41Z</dcterms:modified>
</cp:coreProperties>
</file>