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OCFA\Software Development\Landed Cost Module\"/>
    </mc:Choice>
  </mc:AlternateContent>
  <xr:revisionPtr revIDLastSave="0" documentId="8_{5D78E946-1C5D-4911-9B61-0671AD03D513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2018 - 2019" sheetId="1" state="hidden" r:id="rId1"/>
    <sheet name="PCT" sheetId="2" state="hidden" r:id="rId2"/>
    <sheet name="Sheet1" sheetId="3" r:id="rId3"/>
  </sheets>
  <definedNames>
    <definedName name="_xlnm._FilterDatabase" localSheetId="1" hidden="1">PCT!$A$2:$J$54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3" l="1"/>
  <c r="O25" i="3"/>
  <c r="O24" i="3"/>
  <c r="O23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0" i="3"/>
  <c r="P9" i="3"/>
  <c r="P8" i="3"/>
  <c r="P7" i="3"/>
  <c r="P6" i="3"/>
  <c r="P5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0" i="3"/>
  <c r="Q9" i="3"/>
  <c r="Q8" i="3"/>
  <c r="Q7" i="3"/>
  <c r="Q6" i="3"/>
  <c r="Q5" i="3"/>
  <c r="Q4" i="3"/>
  <c r="P4" i="3"/>
  <c r="S22" i="3"/>
  <c r="R22" i="3"/>
  <c r="O22" i="3"/>
  <c r="S25" i="3"/>
  <c r="R25" i="3"/>
  <c r="S24" i="3"/>
  <c r="R24" i="3"/>
  <c r="S23" i="3"/>
  <c r="R23" i="3"/>
  <c r="S21" i="3"/>
  <c r="R21" i="3"/>
  <c r="O21" i="3"/>
  <c r="S20" i="3"/>
  <c r="R20" i="3"/>
  <c r="O20" i="3"/>
  <c r="S19" i="3"/>
  <c r="R19" i="3"/>
  <c r="O19" i="3"/>
  <c r="S18" i="3"/>
  <c r="R18" i="3"/>
  <c r="O18" i="3"/>
  <c r="S17" i="3"/>
  <c r="R17" i="3"/>
  <c r="O17" i="3"/>
  <c r="S16" i="3"/>
  <c r="R16" i="3"/>
  <c r="O16" i="3"/>
  <c r="S15" i="3"/>
  <c r="R15" i="3"/>
  <c r="O15" i="3"/>
  <c r="S14" i="3"/>
  <c r="R14" i="3"/>
  <c r="O14" i="3"/>
  <c r="S13" i="3"/>
  <c r="R13" i="3"/>
  <c r="O13" i="3"/>
  <c r="S12" i="3"/>
  <c r="R12" i="3"/>
  <c r="O12" i="3"/>
  <c r="S10" i="3"/>
  <c r="R10" i="3"/>
  <c r="O10" i="3"/>
  <c r="S9" i="3"/>
  <c r="R9" i="3"/>
  <c r="O9" i="3"/>
  <c r="S8" i="3"/>
  <c r="R8" i="3"/>
  <c r="O8" i="3"/>
  <c r="S7" i="3"/>
  <c r="R7" i="3"/>
  <c r="S6" i="3"/>
  <c r="R6" i="3"/>
  <c r="O6" i="3"/>
  <c r="S5" i="3"/>
  <c r="R5" i="3"/>
  <c r="O5" i="3"/>
  <c r="S4" i="3"/>
  <c r="R4" i="3"/>
  <c r="O4" i="3"/>
</calcChain>
</file>

<file path=xl/sharedStrings.xml><?xml version="1.0" encoding="utf-8"?>
<sst xmlns="http://schemas.openxmlformats.org/spreadsheetml/2006/main" count="411" uniqueCount="144">
  <si>
    <t>Pedro</t>
  </si>
  <si>
    <t>Footwear</t>
  </si>
  <si>
    <t>Bags</t>
  </si>
  <si>
    <t>Men / Womens Bags</t>
  </si>
  <si>
    <t>Wallets</t>
  </si>
  <si>
    <t>Belts</t>
  </si>
  <si>
    <t>Mens Belts</t>
  </si>
  <si>
    <t>C&amp;K</t>
  </si>
  <si>
    <t>Womens Bags</t>
  </si>
  <si>
    <t>Sunglasses</t>
  </si>
  <si>
    <t>Brand</t>
  </si>
  <si>
    <t>Category</t>
  </si>
  <si>
    <t>Sub Category</t>
  </si>
  <si>
    <t>HS Codes</t>
  </si>
  <si>
    <t>CD</t>
  </si>
  <si>
    <t>RD</t>
  </si>
  <si>
    <t>ACD</t>
  </si>
  <si>
    <t>ST</t>
  </si>
  <si>
    <t>IT</t>
  </si>
  <si>
    <t>Mens Shoes (All types)</t>
  </si>
  <si>
    <t>DUTY STRUCTURE (in %)</t>
  </si>
  <si>
    <t>Womens Shoes (All types)</t>
  </si>
  <si>
    <t>NIKE</t>
  </si>
  <si>
    <t>All types of Shoes</t>
  </si>
  <si>
    <t>All type of Sandles/ slippers/ Slip on</t>
  </si>
  <si>
    <t>Apparel</t>
  </si>
  <si>
    <t>T-Shirts</t>
  </si>
  <si>
    <t>Polos</t>
  </si>
  <si>
    <t>Brassiers</t>
  </si>
  <si>
    <t>Caps</t>
  </si>
  <si>
    <t>Tights, Leggings</t>
  </si>
  <si>
    <t>Track Suits (knitted)</t>
  </si>
  <si>
    <t>Track Suits (Woven)</t>
  </si>
  <si>
    <t>Jackets, Hoodies (Men's Knitted)</t>
  </si>
  <si>
    <t>Jackets, Hoodies (Women's Knitted)</t>
  </si>
  <si>
    <t>Jackets, Hoodies (Men's Woven)</t>
  </si>
  <si>
    <t>Jackets, Hoodies (Women's Woven)</t>
  </si>
  <si>
    <t>Shorts, Trousers, Pants (Men's Knitted)</t>
  </si>
  <si>
    <t>Shorts, Trousers, Pants (Women's Knitted)</t>
  </si>
  <si>
    <t>Shorts, Trousers, Pants (Men's Woven)</t>
  </si>
  <si>
    <t>Shorts, Trousers, Pants (Women's Woven)</t>
  </si>
  <si>
    <t>EQP</t>
  </si>
  <si>
    <t>Bag Packs (All kinds)</t>
  </si>
  <si>
    <t>Socks</t>
  </si>
  <si>
    <t>Footballs</t>
  </si>
  <si>
    <t>Basket Balls</t>
  </si>
  <si>
    <t>Gloves (All Types)</t>
  </si>
  <si>
    <t>Water Bottles (All types)</t>
  </si>
  <si>
    <t>Basic Wallets</t>
  </si>
  <si>
    <t>Shin Guard</t>
  </si>
  <si>
    <t>Training Belts, Push Up Grips, Speed Rope, Yoga Mat, All Sleeves, All Wraps, All Weights</t>
  </si>
  <si>
    <t>Ball Pumps</t>
  </si>
  <si>
    <t>Bands (All Types)</t>
  </si>
  <si>
    <t>Artifical Jewellary</t>
  </si>
  <si>
    <t>All types of Jewellary</t>
  </si>
  <si>
    <t>Revised RD as per new SRO 1265</t>
  </si>
  <si>
    <t>same as previous</t>
  </si>
  <si>
    <t>+5%</t>
  </si>
  <si>
    <t>IMPACT</t>
  </si>
  <si>
    <t>TAG</t>
  </si>
  <si>
    <t>Watches</t>
  </si>
  <si>
    <t>+10%</t>
  </si>
  <si>
    <t>Timex</t>
  </si>
  <si>
    <t>Spare Parts</t>
  </si>
  <si>
    <t>Batteries</t>
  </si>
  <si>
    <t>AST</t>
  </si>
  <si>
    <t>Mens/ Women Shoes (Upper of Textile Material or Similar)</t>
  </si>
  <si>
    <t>Mens/ Women Shoes (Upper of Leather)</t>
  </si>
  <si>
    <t>Mens/ Women Shoes (Upper of PU/Micro Fibre or Similar with Plastic composition)</t>
  </si>
  <si>
    <t>Womens Bags (Leather)</t>
  </si>
  <si>
    <t>Womens Bags (Other than Leather)</t>
  </si>
  <si>
    <t>Men's Bags (Leather)</t>
  </si>
  <si>
    <t>Men's Bags (Other than Leather)</t>
  </si>
  <si>
    <t>Wallets/ Clutches/ Card Holders (Leather)</t>
  </si>
  <si>
    <t>Wallets/ Clutches/ Card Holders (Other Than Leather)</t>
  </si>
  <si>
    <t>Women Shoes (Upper of Leather)</t>
  </si>
  <si>
    <t>Women Shoes (Upper of Textile Material or Similar)</t>
  </si>
  <si>
    <t>Women Shoes (Upper of PU/Micro Fibre or Similar with Plastic composition)</t>
  </si>
  <si>
    <t>SLGs</t>
  </si>
  <si>
    <t>Sandals/ Slippers/ Football Shoes</t>
  </si>
  <si>
    <t>All footwear other than Sandals/ Slippers/ Football Shoes</t>
  </si>
  <si>
    <t>Footwear with Upper of Leather (if Any)</t>
  </si>
  <si>
    <t>TAG/ Timex</t>
  </si>
  <si>
    <t>TAG / Timex</t>
  </si>
  <si>
    <t>Football Shoes</t>
  </si>
  <si>
    <t>Nike/ Adidas/ UA/ Birkenstock</t>
  </si>
  <si>
    <t>Nike/ Adidas/</t>
  </si>
  <si>
    <t>Birkenstock</t>
  </si>
  <si>
    <t>Nike/ Adidas/ UA</t>
  </si>
  <si>
    <t>Footwear with Upper of Leather</t>
  </si>
  <si>
    <t>Nike/ Adidas</t>
  </si>
  <si>
    <t>Nike</t>
  </si>
  <si>
    <t>Sales Tax%</t>
  </si>
  <si>
    <t>BELTS</t>
  </si>
  <si>
    <t>SUNGLASSES</t>
  </si>
  <si>
    <t>SMALL LEATHER GOODS (CLUTCHES/WALLETS)</t>
  </si>
  <si>
    <t>TRACK SUITS</t>
  </si>
  <si>
    <t>BRASSIERS</t>
  </si>
  <si>
    <t>CAPS</t>
  </si>
  <si>
    <t>SOCKS</t>
  </si>
  <si>
    <t>FOOTBALLS</t>
  </si>
  <si>
    <t>BASKETBALLS</t>
  </si>
  <si>
    <t>GLOVES</t>
  </si>
  <si>
    <t>WATER BOTTLES</t>
  </si>
  <si>
    <t>WATCHES</t>
  </si>
  <si>
    <t>6404.1900</t>
  </si>
  <si>
    <t>BAGS (All kinds)</t>
  </si>
  <si>
    <t>FOOTWEARS (All kinds)</t>
  </si>
  <si>
    <t>4203.3000</t>
  </si>
  <si>
    <t>9004.1000</t>
  </si>
  <si>
    <t>6105.9000</t>
  </si>
  <si>
    <t>6103.4900</t>
  </si>
  <si>
    <t>6115.2900</t>
  </si>
  <si>
    <t>6103.3900</t>
  </si>
  <si>
    <t>6112.1100</t>
  </si>
  <si>
    <t>6212.1000</t>
  </si>
  <si>
    <t>6505.0000</t>
  </si>
  <si>
    <t>6115.3010</t>
  </si>
  <si>
    <t>9506.6210</t>
  </si>
  <si>
    <t>9506.6992</t>
  </si>
  <si>
    <t>6216.0010</t>
  </si>
  <si>
    <t>3923.3010</t>
  </si>
  <si>
    <t>9102.1100</t>
  </si>
  <si>
    <t>WATCHES - SPARE PARTS</t>
  </si>
  <si>
    <t>9114.9000</t>
  </si>
  <si>
    <t>9506.9100</t>
  </si>
  <si>
    <t>2025 - 2026</t>
  </si>
  <si>
    <t>2024 - 2025</t>
  </si>
  <si>
    <t>CURRENT YEAR</t>
  </si>
  <si>
    <t>PREVIOUS YEAR</t>
  </si>
  <si>
    <t>HS CODES</t>
  </si>
  <si>
    <t>PRODUCT CATEGORY</t>
  </si>
  <si>
    <t>CHANGES IN DUTY STRUCTURE</t>
  </si>
  <si>
    <t>HEAD AND WRIST BANDS</t>
  </si>
  <si>
    <t>6117.8000</t>
  </si>
  <si>
    <t>SPEED ROPE, YOGA MAT, KNEE PATELLA SLEVEES
SHIN GUARD, WRAPS, PUSH UP GRIPS</t>
  </si>
  <si>
    <t>JACKETS/ HOODIES</t>
  </si>
  <si>
    <t>T-SHIRTS / POLO</t>
  </si>
  <si>
    <t>TIGHTS / LEGGINGS</t>
  </si>
  <si>
    <t>4202.2200/ 4202.2900 / 4202.9200</t>
  </si>
  <si>
    <t>SHORTS</t>
  </si>
  <si>
    <t>TROUSERS</t>
  </si>
  <si>
    <t>6103.4300</t>
  </si>
  <si>
    <t>4202.3100 / 4202.3200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</si>
</sst>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"/>
    <numFmt numFmtId="166" formatCode="_(* #,##0.0_);_(* \(#,##0.0\);_(* &quot;-&quot;??_);_(@_)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165" fontId="0" fillId="0" borderId="1" xfId="0" applyNumberFormat="1" applyBorder="1"/>
    <xf numFmtId="167" fontId="0" fillId="0" borderId="0" xfId="1" applyNumberFormat="1" applyFont="1"/>
    <xf numFmtId="167" fontId="0" fillId="0" borderId="1" xfId="1" applyNumberFormat="1" applyFont="1" applyBorder="1"/>
    <xf numFmtId="166" fontId="0" fillId="0" borderId="1" xfId="1" applyNumberFormat="1" applyFont="1" applyBorder="1"/>
    <xf numFmtId="167" fontId="0" fillId="0" borderId="1" xfId="1" applyNumberFormat="1" applyFont="1" applyFill="1" applyBorder="1"/>
    <xf numFmtId="166" fontId="0" fillId="0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left"/>
    </xf>
    <xf numFmtId="49" fontId="2" fillId="2" borderId="5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9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/>
    </xf>
    <xf numFmtId="164" fontId="0" fillId="0" borderId="1" xfId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0" fillId="6" borderId="1" xfId="0" applyFill="1" applyBorder="1"/>
    <xf numFmtId="167" fontId="0" fillId="0" borderId="0" xfId="1" applyNumberFormat="1" applyFont="1" applyFill="1"/>
    <xf numFmtId="166" fontId="0" fillId="0" borderId="0" xfId="1" applyNumberFormat="1" applyFont="1"/>
    <xf numFmtId="166" fontId="0" fillId="0" borderId="0" xfId="0" applyNumberFormat="1"/>
    <xf numFmtId="167" fontId="3" fillId="0" borderId="1" xfId="1" applyNumberFormat="1" applyFont="1" applyFill="1" applyBorder="1"/>
    <xf numFmtId="0" fontId="0" fillId="2" borderId="0" xfId="0" applyFill="1"/>
    <xf numFmtId="0" fontId="2" fillId="2" borderId="1" xfId="0" applyFont="1" applyFill="1" applyBorder="1" applyAlignment="1">
      <alignment horizontal="left"/>
    </xf>
    <xf numFmtId="167" fontId="4" fillId="0" borderId="1" xfId="1" applyNumberFormat="1" applyFont="1" applyFill="1" applyBorder="1"/>
    <xf numFmtId="167" fontId="4" fillId="0" borderId="1" xfId="1" applyNumberFormat="1" applyFont="1" applyBorder="1"/>
    <xf numFmtId="167" fontId="4" fillId="0" borderId="0" xfId="1" applyNumberFormat="1" applyFont="1" applyFill="1"/>
    <xf numFmtId="167" fontId="4" fillId="0" borderId="0" xfId="1" applyNumberFormat="1" applyFont="1"/>
    <xf numFmtId="0" fontId="4" fillId="0" borderId="0" xfId="0" applyFont="1"/>
    <xf numFmtId="9" fontId="0" fillId="0" borderId="0" xfId="2" applyFont="1"/>
    <xf numFmtId="0" fontId="5" fillId="0" borderId="0" xfId="0" applyFont="1"/>
    <xf numFmtId="9" fontId="0" fillId="0" borderId="1" xfId="2" applyFont="1" applyBorder="1"/>
    <xf numFmtId="164" fontId="0" fillId="0" borderId="1" xfId="1" applyFont="1" applyBorder="1"/>
    <xf numFmtId="9" fontId="0" fillId="0" borderId="1" xfId="0" applyNumberFormat="1" applyBorder="1"/>
    <xf numFmtId="9" fontId="5" fillId="5" borderId="1" xfId="2" applyFont="1" applyFill="1" applyBorder="1" applyAlignment="1">
      <alignment horizontal="center"/>
    </xf>
    <xf numFmtId="9" fontId="5" fillId="3" borderId="1" xfId="2" applyFont="1" applyFill="1" applyBorder="1" applyAlignment="1">
      <alignment horizontal="center"/>
    </xf>
    <xf numFmtId="9" fontId="5" fillId="7" borderId="1" xfId="2" applyFon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8" borderId="1" xfId="0" applyFont="1" applyFill="1" applyBorder="1"/>
    <xf numFmtId="49" fontId="5" fillId="8" borderId="1" xfId="0" applyNumberFormat="1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vertical="center"/>
    </xf>
    <xf numFmtId="164" fontId="0" fillId="0" borderId="1" xfId="1" applyFont="1" applyBorder="1" applyAlignment="1">
      <alignment vertical="center"/>
    </xf>
    <xf numFmtId="0" fontId="0" fillId="0" borderId="0" xfId="0" applyAlignment="1">
      <alignment vertical="center"/>
    </xf>
    <xf numFmtId="9" fontId="0" fillId="0" borderId="1" xfId="0" applyNumberForma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49" fontId="5" fillId="5" borderId="1" xfId="2" applyNumberFormat="1" applyFont="1" applyFill="1" applyBorder="1" applyAlignment="1">
      <alignment horizontal="center"/>
    </xf>
    <xf numFmtId="49" fontId="5" fillId="3" borderId="1" xfId="2" applyNumberFormat="1" applyFont="1" applyFill="1" applyBorder="1" applyAlignment="1">
      <alignment horizontal="center"/>
    </xf>
    <xf numFmtId="9" fontId="5" fillId="5" borderId="1" xfId="2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8"/>
  <sheetViews>
    <sheetView showGridLines="0" topLeftCell="A7" workbookViewId="0">
      <selection activeCell="C20" sqref="C20"/>
    </sheetView>
  </sheetViews>
  <sheetFormatPr defaultRowHeight="14.4" x14ac:dyDescent="0.3"/>
  <cols>
    <col min="1" max="1" width="6.21875" bestFit="1" customWidth="1"/>
    <col min="2" max="2" width="17" bestFit="1" customWidth="1"/>
    <col min="3" max="3" width="73.21875" customWidth="1"/>
    <col min="4" max="4" width="9.5546875" bestFit="1" customWidth="1"/>
    <col min="10" max="10" width="1.44140625" customWidth="1"/>
    <col min="11" max="11" width="30" hidden="1" customWidth="1"/>
    <col min="12" max="12" width="1.21875" hidden="1" customWidth="1"/>
    <col min="13" max="13" width="0" style="14" hidden="1" customWidth="1"/>
    <col min="14" max="14" width="31.21875" bestFit="1" customWidth="1"/>
  </cols>
  <sheetData>
    <row r="2" spans="1:13" x14ac:dyDescent="0.3">
      <c r="A2" s="8" t="s">
        <v>10</v>
      </c>
      <c r="B2" s="8" t="s">
        <v>11</v>
      </c>
      <c r="C2" s="8" t="s">
        <v>12</v>
      </c>
      <c r="D2" s="8" t="s">
        <v>13</v>
      </c>
      <c r="E2" s="49" t="s">
        <v>20</v>
      </c>
      <c r="F2" s="50"/>
      <c r="G2" s="50"/>
      <c r="H2" s="50"/>
      <c r="I2" s="51"/>
      <c r="K2" s="52" t="s">
        <v>55</v>
      </c>
      <c r="M2" s="13" t="s">
        <v>58</v>
      </c>
    </row>
    <row r="3" spans="1:13" x14ac:dyDescent="0.3"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K3" s="53"/>
    </row>
    <row r="4" spans="1:13" x14ac:dyDescent="0.3">
      <c r="A4" s="10" t="s">
        <v>0</v>
      </c>
      <c r="B4" s="1" t="s">
        <v>1</v>
      </c>
      <c r="C4" s="1" t="s">
        <v>19</v>
      </c>
      <c r="D4" s="2">
        <v>6403.59</v>
      </c>
      <c r="E4" s="4">
        <v>20</v>
      </c>
      <c r="F4" s="6">
        <v>20</v>
      </c>
      <c r="G4" s="4">
        <v>2</v>
      </c>
      <c r="H4" s="4">
        <v>9</v>
      </c>
      <c r="I4" s="4">
        <v>3</v>
      </c>
      <c r="K4" s="15">
        <v>0.2</v>
      </c>
      <c r="M4" s="17" t="s">
        <v>57</v>
      </c>
    </row>
    <row r="5" spans="1:13" x14ac:dyDescent="0.3">
      <c r="A5" s="10" t="s">
        <v>0</v>
      </c>
      <c r="B5" s="1" t="s">
        <v>1</v>
      </c>
      <c r="C5" s="1" t="s">
        <v>21</v>
      </c>
      <c r="D5" s="2">
        <v>6403.2</v>
      </c>
      <c r="E5" s="4">
        <v>20</v>
      </c>
      <c r="F5" s="6">
        <v>20</v>
      </c>
      <c r="G5" s="4">
        <v>2</v>
      </c>
      <c r="H5" s="4">
        <v>9</v>
      </c>
      <c r="I5" s="4">
        <v>3</v>
      </c>
      <c r="K5" s="15">
        <v>0.2</v>
      </c>
      <c r="M5" s="17" t="s">
        <v>57</v>
      </c>
    </row>
    <row r="6" spans="1:13" x14ac:dyDescent="0.3">
      <c r="A6" s="10" t="s">
        <v>0</v>
      </c>
      <c r="B6" s="1" t="s">
        <v>2</v>
      </c>
      <c r="C6" s="1" t="s">
        <v>3</v>
      </c>
      <c r="D6" s="2">
        <v>4202.91</v>
      </c>
      <c r="E6" s="4">
        <v>20</v>
      </c>
      <c r="F6" s="6">
        <v>20</v>
      </c>
      <c r="G6" s="4">
        <v>2</v>
      </c>
      <c r="H6" s="4">
        <v>9</v>
      </c>
      <c r="I6" s="4">
        <v>3</v>
      </c>
      <c r="K6" s="16" t="s">
        <v>56</v>
      </c>
      <c r="M6" s="18">
        <v>0</v>
      </c>
    </row>
    <row r="7" spans="1:13" x14ac:dyDescent="0.3">
      <c r="A7" s="10" t="s">
        <v>0</v>
      </c>
      <c r="B7" s="1" t="s">
        <v>2</v>
      </c>
      <c r="C7" s="1" t="s">
        <v>4</v>
      </c>
      <c r="D7" s="2">
        <v>4202.3100000000004</v>
      </c>
      <c r="E7" s="4">
        <v>20</v>
      </c>
      <c r="F7" s="6">
        <v>20</v>
      </c>
      <c r="G7" s="4">
        <v>2</v>
      </c>
      <c r="H7" s="4">
        <v>9</v>
      </c>
      <c r="I7" s="4">
        <v>3</v>
      </c>
      <c r="K7" s="16" t="s">
        <v>56</v>
      </c>
      <c r="M7" s="18">
        <v>0</v>
      </c>
    </row>
    <row r="8" spans="1:13" x14ac:dyDescent="0.3">
      <c r="A8" s="10" t="s">
        <v>0</v>
      </c>
      <c r="B8" s="1" t="s">
        <v>5</v>
      </c>
      <c r="C8" s="1" t="s">
        <v>6</v>
      </c>
      <c r="D8" s="2">
        <v>4203.3</v>
      </c>
      <c r="E8" s="4">
        <v>5</v>
      </c>
      <c r="F8" s="6">
        <v>50</v>
      </c>
      <c r="G8" s="4">
        <v>2</v>
      </c>
      <c r="H8" s="4">
        <v>9</v>
      </c>
      <c r="I8" s="4">
        <v>3</v>
      </c>
      <c r="K8" s="16" t="s">
        <v>56</v>
      </c>
      <c r="M8" s="18">
        <v>0</v>
      </c>
    </row>
    <row r="9" spans="1:13" x14ac:dyDescent="0.3">
      <c r="E9" s="3"/>
      <c r="F9" s="21"/>
      <c r="G9" s="3"/>
      <c r="H9" s="3"/>
      <c r="I9" s="3"/>
      <c r="K9" s="12"/>
    </row>
    <row r="10" spans="1:13" x14ac:dyDescent="0.3">
      <c r="A10" s="9" t="s">
        <v>7</v>
      </c>
      <c r="B10" s="1" t="s">
        <v>1</v>
      </c>
      <c r="C10" s="1" t="s">
        <v>21</v>
      </c>
      <c r="D10" s="2">
        <v>6403.2</v>
      </c>
      <c r="E10" s="4">
        <v>20</v>
      </c>
      <c r="F10" s="6">
        <v>20</v>
      </c>
      <c r="G10" s="4">
        <v>2</v>
      </c>
      <c r="H10" s="4">
        <v>9</v>
      </c>
      <c r="I10" s="4">
        <v>3</v>
      </c>
      <c r="K10" s="15">
        <v>0.2</v>
      </c>
      <c r="M10" s="17" t="s">
        <v>57</v>
      </c>
    </row>
    <row r="11" spans="1:13" x14ac:dyDescent="0.3">
      <c r="A11" s="9" t="s">
        <v>7</v>
      </c>
      <c r="B11" s="1" t="s">
        <v>2</v>
      </c>
      <c r="C11" s="1" t="s">
        <v>8</v>
      </c>
      <c r="D11" s="2">
        <v>4202.91</v>
      </c>
      <c r="E11" s="4">
        <v>20</v>
      </c>
      <c r="F11" s="6">
        <v>20</v>
      </c>
      <c r="G11" s="4">
        <v>2</v>
      </c>
      <c r="H11" s="4">
        <v>9</v>
      </c>
      <c r="I11" s="4">
        <v>3</v>
      </c>
      <c r="K11" s="16" t="s">
        <v>56</v>
      </c>
      <c r="M11" s="18">
        <v>0</v>
      </c>
    </row>
    <row r="12" spans="1:13" x14ac:dyDescent="0.3">
      <c r="A12" s="9" t="s">
        <v>7</v>
      </c>
      <c r="B12" s="1" t="s">
        <v>2</v>
      </c>
      <c r="C12" s="1" t="s">
        <v>4</v>
      </c>
      <c r="D12" s="2">
        <v>4202.3100000000004</v>
      </c>
      <c r="E12" s="4">
        <v>20</v>
      </c>
      <c r="F12" s="6">
        <v>20</v>
      </c>
      <c r="G12" s="4">
        <v>2</v>
      </c>
      <c r="H12" s="4">
        <v>9</v>
      </c>
      <c r="I12" s="4">
        <v>3</v>
      </c>
      <c r="K12" s="16" t="s">
        <v>56</v>
      </c>
      <c r="M12" s="18">
        <v>0</v>
      </c>
    </row>
    <row r="13" spans="1:13" x14ac:dyDescent="0.3">
      <c r="A13" s="9" t="s">
        <v>7</v>
      </c>
      <c r="B13" s="1" t="s">
        <v>9</v>
      </c>
      <c r="C13" s="1" t="s">
        <v>9</v>
      </c>
      <c r="D13" s="2">
        <v>9004.1</v>
      </c>
      <c r="E13" s="4">
        <v>0</v>
      </c>
      <c r="F13" s="6">
        <v>30</v>
      </c>
      <c r="G13" s="4">
        <v>2</v>
      </c>
      <c r="H13" s="4">
        <v>17</v>
      </c>
      <c r="I13" s="5">
        <v>5.5</v>
      </c>
      <c r="K13" s="16" t="s">
        <v>56</v>
      </c>
      <c r="M13" s="18">
        <v>0</v>
      </c>
    </row>
    <row r="14" spans="1:13" x14ac:dyDescent="0.3">
      <c r="A14" s="9" t="s">
        <v>7</v>
      </c>
      <c r="B14" s="1" t="s">
        <v>53</v>
      </c>
      <c r="C14" s="1" t="s">
        <v>54</v>
      </c>
      <c r="D14" s="2">
        <v>7117.9</v>
      </c>
      <c r="E14" s="4">
        <v>11</v>
      </c>
      <c r="F14" s="6">
        <v>45</v>
      </c>
      <c r="G14" s="4">
        <v>2</v>
      </c>
      <c r="H14" s="4">
        <v>17</v>
      </c>
      <c r="I14" s="5">
        <v>5.5</v>
      </c>
      <c r="K14" s="16" t="s">
        <v>56</v>
      </c>
      <c r="M14" s="18">
        <v>0</v>
      </c>
    </row>
    <row r="15" spans="1:13" x14ac:dyDescent="0.3">
      <c r="K15" s="12"/>
    </row>
    <row r="16" spans="1:13" x14ac:dyDescent="0.3">
      <c r="A16" s="11" t="s">
        <v>22</v>
      </c>
      <c r="B16" s="1" t="s">
        <v>1</v>
      </c>
      <c r="C16" s="1" t="s">
        <v>23</v>
      </c>
      <c r="D16" s="2">
        <v>6403.19</v>
      </c>
      <c r="E16" s="6">
        <v>20</v>
      </c>
      <c r="F16" s="6">
        <v>20</v>
      </c>
      <c r="G16" s="6">
        <v>2</v>
      </c>
      <c r="H16" s="6">
        <v>9</v>
      </c>
      <c r="I16" s="6">
        <v>3</v>
      </c>
      <c r="K16" s="15">
        <v>0.2</v>
      </c>
      <c r="M16" s="19" t="s">
        <v>57</v>
      </c>
    </row>
    <row r="17" spans="1:13" x14ac:dyDescent="0.3">
      <c r="A17" s="11" t="s">
        <v>22</v>
      </c>
      <c r="B17" s="1" t="s">
        <v>1</v>
      </c>
      <c r="C17" s="1" t="s">
        <v>24</v>
      </c>
      <c r="D17" s="2">
        <v>6402.2</v>
      </c>
      <c r="E17" s="6">
        <v>20</v>
      </c>
      <c r="F17" s="6">
        <v>20</v>
      </c>
      <c r="G17" s="6">
        <v>2</v>
      </c>
      <c r="H17" s="6">
        <v>9</v>
      </c>
      <c r="I17" s="6">
        <v>3</v>
      </c>
      <c r="K17" s="15">
        <v>0.2</v>
      </c>
      <c r="M17" s="19" t="s">
        <v>57</v>
      </c>
    </row>
    <row r="18" spans="1:13" x14ac:dyDescent="0.3">
      <c r="A18" s="11" t="s">
        <v>22</v>
      </c>
      <c r="B18" s="1" t="s">
        <v>25</v>
      </c>
      <c r="C18" s="1" t="s">
        <v>26</v>
      </c>
      <c r="D18" s="2">
        <v>6109.9089999999997</v>
      </c>
      <c r="E18" s="6">
        <v>20</v>
      </c>
      <c r="F18" s="6">
        <v>0</v>
      </c>
      <c r="G18" s="6">
        <v>2</v>
      </c>
      <c r="H18" s="6">
        <v>9</v>
      </c>
      <c r="I18" s="6">
        <v>3</v>
      </c>
      <c r="K18" s="16" t="s">
        <v>56</v>
      </c>
      <c r="M18" s="18">
        <v>0</v>
      </c>
    </row>
    <row r="19" spans="1:13" x14ac:dyDescent="0.3">
      <c r="A19" s="11" t="s">
        <v>22</v>
      </c>
      <c r="B19" s="1" t="s">
        <v>25</v>
      </c>
      <c r="C19" s="1" t="s">
        <v>27</v>
      </c>
      <c r="D19" s="2">
        <v>6105.2</v>
      </c>
      <c r="E19" s="6">
        <v>20</v>
      </c>
      <c r="F19" s="6">
        <v>0</v>
      </c>
      <c r="G19" s="6">
        <v>2</v>
      </c>
      <c r="H19" s="6">
        <v>9</v>
      </c>
      <c r="I19" s="6">
        <v>3</v>
      </c>
      <c r="K19" s="16" t="s">
        <v>56</v>
      </c>
      <c r="M19" s="18">
        <v>0</v>
      </c>
    </row>
    <row r="20" spans="1:13" x14ac:dyDescent="0.3">
      <c r="A20" s="11" t="s">
        <v>22</v>
      </c>
      <c r="B20" s="1" t="s">
        <v>25</v>
      </c>
      <c r="C20" s="1" t="s">
        <v>33</v>
      </c>
      <c r="D20" s="2">
        <v>6103.39</v>
      </c>
      <c r="E20" s="6">
        <v>20</v>
      </c>
      <c r="F20" s="6">
        <v>0</v>
      </c>
      <c r="G20" s="6">
        <v>2</v>
      </c>
      <c r="H20" s="6">
        <v>9</v>
      </c>
      <c r="I20" s="6">
        <v>3</v>
      </c>
      <c r="K20" s="16" t="s">
        <v>56</v>
      </c>
      <c r="M20" s="18">
        <v>0</v>
      </c>
    </row>
    <row r="21" spans="1:13" x14ac:dyDescent="0.3">
      <c r="A21" s="11" t="s">
        <v>22</v>
      </c>
      <c r="B21" s="1" t="s">
        <v>25</v>
      </c>
      <c r="C21" s="1" t="s">
        <v>34</v>
      </c>
      <c r="D21" s="2">
        <v>6104.39</v>
      </c>
      <c r="E21" s="6">
        <v>20</v>
      </c>
      <c r="F21" s="6">
        <v>0</v>
      </c>
      <c r="G21" s="6">
        <v>2</v>
      </c>
      <c r="H21" s="6">
        <v>9</v>
      </c>
      <c r="I21" s="6">
        <v>3</v>
      </c>
      <c r="K21" s="16" t="s">
        <v>56</v>
      </c>
      <c r="M21" s="18">
        <v>0</v>
      </c>
    </row>
    <row r="22" spans="1:13" x14ac:dyDescent="0.3">
      <c r="A22" s="11" t="s">
        <v>22</v>
      </c>
      <c r="B22" s="1" t="s">
        <v>25</v>
      </c>
      <c r="C22" s="1" t="s">
        <v>35</v>
      </c>
      <c r="D22" s="2">
        <v>6203.39</v>
      </c>
      <c r="E22" s="6">
        <v>20</v>
      </c>
      <c r="F22" s="6">
        <v>5</v>
      </c>
      <c r="G22" s="6">
        <v>2</v>
      </c>
      <c r="H22" s="6">
        <v>9</v>
      </c>
      <c r="I22" s="6">
        <v>3</v>
      </c>
      <c r="K22" s="16" t="s">
        <v>56</v>
      </c>
      <c r="M22" s="18">
        <v>0</v>
      </c>
    </row>
    <row r="23" spans="1:13" x14ac:dyDescent="0.3">
      <c r="A23" s="11" t="s">
        <v>22</v>
      </c>
      <c r="B23" s="1" t="s">
        <v>25</v>
      </c>
      <c r="C23" s="1" t="s">
        <v>36</v>
      </c>
      <c r="D23" s="2">
        <v>6204.39</v>
      </c>
      <c r="E23" s="6">
        <v>20</v>
      </c>
      <c r="F23" s="6">
        <v>5</v>
      </c>
      <c r="G23" s="6">
        <v>2</v>
      </c>
      <c r="H23" s="6">
        <v>9</v>
      </c>
      <c r="I23" s="6">
        <v>3</v>
      </c>
      <c r="K23" s="16" t="s">
        <v>56</v>
      </c>
      <c r="M23" s="18">
        <v>0</v>
      </c>
    </row>
    <row r="24" spans="1:13" x14ac:dyDescent="0.3">
      <c r="A24" s="11" t="s">
        <v>22</v>
      </c>
      <c r="B24" s="1" t="s">
        <v>25</v>
      </c>
      <c r="C24" s="1" t="s">
        <v>37</v>
      </c>
      <c r="D24" s="2">
        <v>6103.49</v>
      </c>
      <c r="E24" s="6">
        <v>20</v>
      </c>
      <c r="F24" s="6">
        <v>0</v>
      </c>
      <c r="G24" s="6">
        <v>2</v>
      </c>
      <c r="H24" s="6">
        <v>9</v>
      </c>
      <c r="I24" s="6">
        <v>3</v>
      </c>
      <c r="K24" s="16" t="s">
        <v>56</v>
      </c>
      <c r="M24" s="18">
        <v>0</v>
      </c>
    </row>
    <row r="25" spans="1:13" x14ac:dyDescent="0.3">
      <c r="A25" s="11" t="s">
        <v>22</v>
      </c>
      <c r="B25" s="1" t="s">
        <v>25</v>
      </c>
      <c r="C25" s="1" t="s">
        <v>38</v>
      </c>
      <c r="D25" s="2">
        <v>6104.69</v>
      </c>
      <c r="E25" s="6">
        <v>20</v>
      </c>
      <c r="F25" s="6">
        <v>0</v>
      </c>
      <c r="G25" s="6">
        <v>2</v>
      </c>
      <c r="H25" s="6">
        <v>9</v>
      </c>
      <c r="I25" s="6">
        <v>3</v>
      </c>
      <c r="K25" s="16" t="s">
        <v>56</v>
      </c>
      <c r="M25" s="18">
        <v>0</v>
      </c>
    </row>
    <row r="26" spans="1:13" x14ac:dyDescent="0.3">
      <c r="A26" s="11" t="s">
        <v>22</v>
      </c>
      <c r="B26" s="1" t="s">
        <v>25</v>
      </c>
      <c r="C26" s="1" t="s">
        <v>39</v>
      </c>
      <c r="D26" s="2">
        <v>6203.49</v>
      </c>
      <c r="E26" s="6">
        <v>20</v>
      </c>
      <c r="F26" s="6">
        <v>5</v>
      </c>
      <c r="G26" s="6">
        <v>2</v>
      </c>
      <c r="H26" s="6">
        <v>9</v>
      </c>
      <c r="I26" s="6">
        <v>3</v>
      </c>
      <c r="K26" s="16" t="s">
        <v>56</v>
      </c>
      <c r="M26" s="18">
        <v>0</v>
      </c>
    </row>
    <row r="27" spans="1:13" x14ac:dyDescent="0.3">
      <c r="A27" s="11" t="s">
        <v>22</v>
      </c>
      <c r="B27" s="1" t="s">
        <v>25</v>
      </c>
      <c r="C27" s="1" t="s">
        <v>40</v>
      </c>
      <c r="D27" s="2">
        <v>6204.6289999999999</v>
      </c>
      <c r="E27" s="6">
        <v>20</v>
      </c>
      <c r="F27" s="6">
        <v>5</v>
      </c>
      <c r="G27" s="6">
        <v>2</v>
      </c>
      <c r="H27" s="6">
        <v>9</v>
      </c>
      <c r="I27" s="6">
        <v>3</v>
      </c>
      <c r="K27" s="16" t="s">
        <v>56</v>
      </c>
      <c r="M27" s="18">
        <v>0</v>
      </c>
    </row>
    <row r="28" spans="1:13" x14ac:dyDescent="0.3">
      <c r="A28" s="11" t="s">
        <v>22</v>
      </c>
      <c r="B28" s="1" t="s">
        <v>25</v>
      </c>
      <c r="C28" s="1" t="s">
        <v>28</v>
      </c>
      <c r="D28" s="2">
        <v>6212.1</v>
      </c>
      <c r="E28" s="6">
        <v>20</v>
      </c>
      <c r="F28" s="6">
        <v>5</v>
      </c>
      <c r="G28" s="6">
        <v>2</v>
      </c>
      <c r="H28" s="6">
        <v>9</v>
      </c>
      <c r="I28" s="6">
        <v>3</v>
      </c>
      <c r="K28" s="16" t="s">
        <v>56</v>
      </c>
      <c r="M28" s="18">
        <v>0</v>
      </c>
    </row>
    <row r="29" spans="1:13" x14ac:dyDescent="0.3">
      <c r="A29" s="11" t="s">
        <v>22</v>
      </c>
      <c r="B29" s="1" t="s">
        <v>25</v>
      </c>
      <c r="C29" s="1" t="s">
        <v>29</v>
      </c>
      <c r="D29" s="2">
        <v>6307.9030000000002</v>
      </c>
      <c r="E29" s="6">
        <v>20</v>
      </c>
      <c r="F29" s="6">
        <v>5</v>
      </c>
      <c r="G29" s="6">
        <v>2</v>
      </c>
      <c r="H29" s="6">
        <v>9</v>
      </c>
      <c r="I29" s="6">
        <v>3</v>
      </c>
      <c r="K29" s="16" t="s">
        <v>56</v>
      </c>
      <c r="M29" s="18">
        <v>0</v>
      </c>
    </row>
    <row r="30" spans="1:13" x14ac:dyDescent="0.3">
      <c r="A30" s="11" t="s">
        <v>22</v>
      </c>
      <c r="B30" s="1" t="s">
        <v>25</v>
      </c>
      <c r="C30" s="1" t="s">
        <v>30</v>
      </c>
      <c r="D30" s="2">
        <v>6115.29</v>
      </c>
      <c r="E30" s="6">
        <v>20</v>
      </c>
      <c r="F30" s="6">
        <v>0</v>
      </c>
      <c r="G30" s="6">
        <v>2</v>
      </c>
      <c r="H30" s="6">
        <v>9</v>
      </c>
      <c r="I30" s="6">
        <v>3</v>
      </c>
      <c r="K30" s="16" t="s">
        <v>56</v>
      </c>
      <c r="M30" s="18">
        <v>0</v>
      </c>
    </row>
    <row r="31" spans="1:13" x14ac:dyDescent="0.3">
      <c r="A31" s="11" t="s">
        <v>22</v>
      </c>
      <c r="B31" s="1" t="s">
        <v>25</v>
      </c>
      <c r="C31" s="1" t="s">
        <v>31</v>
      </c>
      <c r="D31" s="2">
        <v>6112.19</v>
      </c>
      <c r="E31" s="6">
        <v>20</v>
      </c>
      <c r="F31" s="6">
        <v>0</v>
      </c>
      <c r="G31" s="6">
        <v>2</v>
      </c>
      <c r="H31" s="6">
        <v>9</v>
      </c>
      <c r="I31" s="6">
        <v>3</v>
      </c>
      <c r="K31" s="16" t="s">
        <v>56</v>
      </c>
      <c r="M31" s="18">
        <v>0</v>
      </c>
    </row>
    <row r="32" spans="1:13" x14ac:dyDescent="0.3">
      <c r="A32" s="11" t="s">
        <v>22</v>
      </c>
      <c r="B32" s="1" t="s">
        <v>25</v>
      </c>
      <c r="C32" s="1" t="s">
        <v>32</v>
      </c>
      <c r="D32" s="2">
        <v>6211.39</v>
      </c>
      <c r="E32" s="6">
        <v>20</v>
      </c>
      <c r="F32" s="6">
        <v>5</v>
      </c>
      <c r="G32" s="6">
        <v>2</v>
      </c>
      <c r="H32" s="6">
        <v>9</v>
      </c>
      <c r="I32" s="6">
        <v>3</v>
      </c>
      <c r="K32" s="16" t="s">
        <v>56</v>
      </c>
      <c r="M32" s="18">
        <v>0</v>
      </c>
    </row>
    <row r="33" spans="1:13" x14ac:dyDescent="0.3">
      <c r="A33" s="11" t="s">
        <v>22</v>
      </c>
      <c r="B33" s="1" t="s">
        <v>41</v>
      </c>
      <c r="C33" s="1" t="s">
        <v>42</v>
      </c>
      <c r="D33" s="2">
        <v>4202.92</v>
      </c>
      <c r="E33" s="6">
        <v>20</v>
      </c>
      <c r="F33" s="6">
        <v>20</v>
      </c>
      <c r="G33" s="6">
        <v>2</v>
      </c>
      <c r="H33" s="6">
        <v>9</v>
      </c>
      <c r="I33" s="6">
        <v>3</v>
      </c>
      <c r="K33" s="16" t="s">
        <v>56</v>
      </c>
      <c r="M33" s="18">
        <v>0</v>
      </c>
    </row>
    <row r="34" spans="1:13" x14ac:dyDescent="0.3">
      <c r="A34" s="11" t="s">
        <v>22</v>
      </c>
      <c r="B34" s="1" t="s">
        <v>41</v>
      </c>
      <c r="C34" s="1" t="s">
        <v>43</v>
      </c>
      <c r="D34" s="2">
        <v>6115.99</v>
      </c>
      <c r="E34" s="6">
        <v>20</v>
      </c>
      <c r="F34" s="6">
        <v>0</v>
      </c>
      <c r="G34" s="6">
        <v>2</v>
      </c>
      <c r="H34" s="6">
        <v>9</v>
      </c>
      <c r="I34" s="6">
        <v>3</v>
      </c>
      <c r="K34" s="16" t="s">
        <v>56</v>
      </c>
      <c r="M34" s="18">
        <v>0</v>
      </c>
    </row>
    <row r="35" spans="1:13" x14ac:dyDescent="0.3">
      <c r="A35" s="11" t="s">
        <v>22</v>
      </c>
      <c r="B35" s="1" t="s">
        <v>41</v>
      </c>
      <c r="C35" s="1" t="s">
        <v>46</v>
      </c>
      <c r="D35" s="2">
        <v>6216.0010000000002</v>
      </c>
      <c r="E35" s="6">
        <v>20</v>
      </c>
      <c r="F35" s="6">
        <v>0</v>
      </c>
      <c r="G35" s="6">
        <v>2</v>
      </c>
      <c r="H35" s="6">
        <v>9</v>
      </c>
      <c r="I35" s="6">
        <v>3</v>
      </c>
      <c r="K35" s="16" t="s">
        <v>56</v>
      </c>
      <c r="M35" s="18">
        <v>0</v>
      </c>
    </row>
    <row r="36" spans="1:13" x14ac:dyDescent="0.3">
      <c r="A36" s="11" t="s">
        <v>22</v>
      </c>
      <c r="B36" s="1" t="s">
        <v>41</v>
      </c>
      <c r="C36" s="1" t="s">
        <v>44</v>
      </c>
      <c r="D36" s="2">
        <v>9506.6209999999992</v>
      </c>
      <c r="E36" s="6">
        <v>20</v>
      </c>
      <c r="F36" s="6">
        <v>30</v>
      </c>
      <c r="G36" s="6">
        <v>2</v>
      </c>
      <c r="H36" s="6">
        <v>17</v>
      </c>
      <c r="I36" s="7">
        <v>5.5</v>
      </c>
      <c r="K36" s="16" t="s">
        <v>56</v>
      </c>
      <c r="M36" s="18">
        <v>0</v>
      </c>
    </row>
    <row r="37" spans="1:13" x14ac:dyDescent="0.3">
      <c r="A37" s="11" t="s">
        <v>22</v>
      </c>
      <c r="B37" s="1" t="s">
        <v>41</v>
      </c>
      <c r="C37" s="1" t="s">
        <v>45</v>
      </c>
      <c r="D37" s="2">
        <v>9506.6991999999991</v>
      </c>
      <c r="E37" s="6">
        <v>20</v>
      </c>
      <c r="F37" s="6">
        <v>30</v>
      </c>
      <c r="G37" s="6">
        <v>2</v>
      </c>
      <c r="H37" s="6">
        <v>17</v>
      </c>
      <c r="I37" s="7">
        <v>5.5</v>
      </c>
      <c r="K37" s="16" t="s">
        <v>56</v>
      </c>
      <c r="M37" s="18">
        <v>0</v>
      </c>
    </row>
    <row r="38" spans="1:13" x14ac:dyDescent="0.3">
      <c r="A38" s="11" t="s">
        <v>22</v>
      </c>
      <c r="B38" s="1" t="s">
        <v>41</v>
      </c>
      <c r="C38" s="1" t="s">
        <v>49</v>
      </c>
      <c r="D38" s="2">
        <v>9506.9910999999993</v>
      </c>
      <c r="E38" s="6">
        <v>11</v>
      </c>
      <c r="F38" s="6">
        <v>30</v>
      </c>
      <c r="G38" s="6">
        <v>2</v>
      </c>
      <c r="H38" s="6">
        <v>17</v>
      </c>
      <c r="I38" s="7">
        <v>5.5</v>
      </c>
      <c r="K38" s="16" t="s">
        <v>56</v>
      </c>
      <c r="M38" s="18">
        <v>0</v>
      </c>
    </row>
    <row r="39" spans="1:13" x14ac:dyDescent="0.3">
      <c r="A39" s="11" t="s">
        <v>22</v>
      </c>
      <c r="B39" s="1" t="s">
        <v>41</v>
      </c>
      <c r="C39" s="1" t="s">
        <v>47</v>
      </c>
      <c r="D39" s="2">
        <v>3923.3009999999999</v>
      </c>
      <c r="E39" s="6">
        <v>20</v>
      </c>
      <c r="F39" s="6">
        <v>15</v>
      </c>
      <c r="G39" s="6">
        <v>2</v>
      </c>
      <c r="H39" s="6">
        <v>17</v>
      </c>
      <c r="I39" s="7">
        <v>5.5</v>
      </c>
      <c r="K39" s="15">
        <v>0.15</v>
      </c>
      <c r="M39" s="19" t="s">
        <v>57</v>
      </c>
    </row>
    <row r="40" spans="1:13" x14ac:dyDescent="0.3">
      <c r="A40" s="11" t="s">
        <v>22</v>
      </c>
      <c r="B40" s="1" t="s">
        <v>41</v>
      </c>
      <c r="C40" s="1" t="s">
        <v>48</v>
      </c>
      <c r="D40" s="2">
        <v>4202.32</v>
      </c>
      <c r="E40" s="6">
        <v>20</v>
      </c>
      <c r="F40" s="6">
        <v>20</v>
      </c>
      <c r="G40" s="6">
        <v>2</v>
      </c>
      <c r="H40" s="6">
        <v>9</v>
      </c>
      <c r="I40" s="6">
        <v>3</v>
      </c>
      <c r="K40" s="16" t="s">
        <v>56</v>
      </c>
      <c r="M40" s="18">
        <v>0</v>
      </c>
    </row>
    <row r="41" spans="1:13" x14ac:dyDescent="0.3">
      <c r="A41" s="11" t="s">
        <v>22</v>
      </c>
      <c r="B41" s="1" t="s">
        <v>41</v>
      </c>
      <c r="C41" s="1" t="s">
        <v>50</v>
      </c>
      <c r="D41" s="2">
        <v>9506.91</v>
      </c>
      <c r="E41" s="6">
        <v>11</v>
      </c>
      <c r="F41" s="6">
        <v>20</v>
      </c>
      <c r="G41" s="6">
        <v>2</v>
      </c>
      <c r="H41" s="6">
        <v>17</v>
      </c>
      <c r="I41" s="7">
        <v>5.5</v>
      </c>
      <c r="K41" s="16" t="s">
        <v>56</v>
      </c>
      <c r="M41" s="18">
        <v>0</v>
      </c>
    </row>
    <row r="42" spans="1:13" x14ac:dyDescent="0.3">
      <c r="A42" s="11" t="s">
        <v>22</v>
      </c>
      <c r="B42" s="1" t="s">
        <v>41</v>
      </c>
      <c r="C42" s="1" t="s">
        <v>52</v>
      </c>
      <c r="D42" s="2">
        <v>6117.8</v>
      </c>
      <c r="E42" s="6">
        <v>20</v>
      </c>
      <c r="F42" s="6">
        <v>0</v>
      </c>
      <c r="G42" s="6">
        <v>2</v>
      </c>
      <c r="H42" s="6">
        <v>9</v>
      </c>
      <c r="I42" s="6">
        <v>3</v>
      </c>
      <c r="K42" s="16" t="s">
        <v>56</v>
      </c>
      <c r="M42" s="18">
        <v>0</v>
      </c>
    </row>
    <row r="43" spans="1:13" x14ac:dyDescent="0.3">
      <c r="A43" s="11" t="s">
        <v>22</v>
      </c>
      <c r="B43" s="1" t="s">
        <v>41</v>
      </c>
      <c r="C43" s="1" t="s">
        <v>51</v>
      </c>
      <c r="D43" s="2">
        <v>8414.2000000000007</v>
      </c>
      <c r="E43" s="6">
        <v>11</v>
      </c>
      <c r="F43" s="6">
        <v>0</v>
      </c>
      <c r="G43" s="6">
        <v>2</v>
      </c>
      <c r="H43" s="6">
        <v>17</v>
      </c>
      <c r="I43" s="7">
        <v>5.5</v>
      </c>
      <c r="K43" s="16" t="s">
        <v>56</v>
      </c>
      <c r="M43" s="18">
        <v>0</v>
      </c>
    </row>
    <row r="45" spans="1:13" x14ac:dyDescent="0.3">
      <c r="A45" s="20" t="s">
        <v>59</v>
      </c>
      <c r="B45" s="1" t="s">
        <v>60</v>
      </c>
      <c r="C45" s="1" t="s">
        <v>60</v>
      </c>
      <c r="D45" s="2">
        <v>9102.11</v>
      </c>
      <c r="E45" s="6">
        <v>3</v>
      </c>
      <c r="F45" s="6">
        <v>30</v>
      </c>
      <c r="G45" s="6">
        <v>2</v>
      </c>
      <c r="H45" s="6">
        <v>17</v>
      </c>
      <c r="I45" s="7">
        <v>5.5</v>
      </c>
      <c r="K45" s="15">
        <v>0.3</v>
      </c>
      <c r="M45" s="19" t="s">
        <v>61</v>
      </c>
    </row>
    <row r="46" spans="1:13" x14ac:dyDescent="0.3">
      <c r="A46" s="20" t="s">
        <v>59</v>
      </c>
      <c r="B46" s="1" t="s">
        <v>63</v>
      </c>
      <c r="C46" s="1" t="s">
        <v>63</v>
      </c>
      <c r="D46" s="2">
        <v>9114.9</v>
      </c>
      <c r="E46" s="6">
        <v>3</v>
      </c>
      <c r="F46" s="6">
        <v>0</v>
      </c>
      <c r="G46" s="6">
        <v>2</v>
      </c>
      <c r="H46" s="6">
        <v>17</v>
      </c>
      <c r="I46" s="7">
        <v>5.5</v>
      </c>
      <c r="K46" s="16" t="s">
        <v>56</v>
      </c>
      <c r="M46" s="18">
        <v>0</v>
      </c>
    </row>
    <row r="47" spans="1:13" x14ac:dyDescent="0.3">
      <c r="A47" s="20" t="s">
        <v>59</v>
      </c>
      <c r="B47" s="1" t="s">
        <v>63</v>
      </c>
      <c r="C47" s="1" t="s">
        <v>64</v>
      </c>
      <c r="D47" s="2">
        <v>8506.5</v>
      </c>
      <c r="E47" s="6">
        <v>11</v>
      </c>
      <c r="F47" s="6">
        <v>0</v>
      </c>
      <c r="G47" s="6">
        <v>2</v>
      </c>
      <c r="H47" s="6">
        <v>17</v>
      </c>
      <c r="I47" s="7">
        <v>5.5</v>
      </c>
      <c r="K47" s="16" t="s">
        <v>56</v>
      </c>
      <c r="M47" s="18">
        <v>0</v>
      </c>
    </row>
    <row r="48" spans="1:13" x14ac:dyDescent="0.3">
      <c r="A48" s="20" t="s">
        <v>62</v>
      </c>
      <c r="B48" s="1" t="s">
        <v>60</v>
      </c>
      <c r="C48" s="1" t="s">
        <v>60</v>
      </c>
      <c r="D48" s="2">
        <v>9102.11</v>
      </c>
      <c r="E48" s="6">
        <v>3</v>
      </c>
      <c r="F48" s="6">
        <v>30</v>
      </c>
      <c r="G48" s="6">
        <v>2</v>
      </c>
      <c r="H48" s="6">
        <v>17</v>
      </c>
      <c r="I48" s="7">
        <v>5.5</v>
      </c>
      <c r="K48" s="15">
        <v>0.3</v>
      </c>
      <c r="M48" s="19" t="s">
        <v>61</v>
      </c>
    </row>
  </sheetData>
  <mergeCells count="2">
    <mergeCell ref="E2:I2"/>
    <mergeCell ref="K2:K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1"/>
  <sheetViews>
    <sheetView showGridLines="0" topLeftCell="A31" workbookViewId="0">
      <selection activeCell="C49" sqref="C49"/>
    </sheetView>
  </sheetViews>
  <sheetFormatPr defaultRowHeight="14.4" x14ac:dyDescent="0.3"/>
  <cols>
    <col min="1" max="1" width="26" bestFit="1" customWidth="1"/>
    <col min="2" max="2" width="17" bestFit="1" customWidth="1"/>
    <col min="3" max="3" width="72.44140625" customWidth="1"/>
    <col min="4" max="4" width="9.5546875" bestFit="1" customWidth="1"/>
    <col min="5" max="7" width="8.88671875" customWidth="1"/>
    <col min="8" max="8" width="10.88671875" customWidth="1"/>
    <col min="9" max="10" width="8.88671875" customWidth="1"/>
    <col min="11" max="11" width="1.44140625" customWidth="1"/>
    <col min="12" max="12" width="1.21875" customWidth="1"/>
  </cols>
  <sheetData>
    <row r="2" spans="1:10" x14ac:dyDescent="0.3">
      <c r="A2" s="26"/>
      <c r="B2" s="26"/>
      <c r="C2" s="26"/>
      <c r="D2" s="8"/>
      <c r="E2" s="49"/>
      <c r="F2" s="50"/>
      <c r="G2" s="50"/>
      <c r="H2" s="50"/>
      <c r="I2" s="50"/>
      <c r="J2" s="51"/>
    </row>
    <row r="3" spans="1:10" x14ac:dyDescent="0.3">
      <c r="A3" s="26" t="s">
        <v>10</v>
      </c>
      <c r="B3" s="26" t="s">
        <v>11</v>
      </c>
      <c r="C3" s="25"/>
      <c r="D3" s="8" t="s">
        <v>13</v>
      </c>
      <c r="E3" s="8" t="s">
        <v>14</v>
      </c>
      <c r="F3" s="8" t="s">
        <v>15</v>
      </c>
      <c r="G3" s="8" t="s">
        <v>16</v>
      </c>
      <c r="H3" s="8" t="s">
        <v>92</v>
      </c>
      <c r="I3" s="8" t="s">
        <v>65</v>
      </c>
      <c r="J3" s="8" t="s">
        <v>18</v>
      </c>
    </row>
    <row r="4" spans="1:10" x14ac:dyDescent="0.3">
      <c r="A4" s="10" t="s">
        <v>0</v>
      </c>
      <c r="B4" s="1" t="s">
        <v>1</v>
      </c>
      <c r="C4" s="1" t="s">
        <v>67</v>
      </c>
      <c r="D4" s="2">
        <v>6403.99</v>
      </c>
      <c r="E4" s="4">
        <v>20</v>
      </c>
      <c r="F4" s="27">
        <v>40</v>
      </c>
      <c r="G4" s="28">
        <v>6</v>
      </c>
      <c r="H4" s="28">
        <v>25</v>
      </c>
      <c r="I4" s="4">
        <v>3</v>
      </c>
      <c r="J4" s="4">
        <v>6</v>
      </c>
    </row>
    <row r="5" spans="1:10" x14ac:dyDescent="0.3">
      <c r="A5" s="10" t="s">
        <v>0</v>
      </c>
      <c r="B5" s="1" t="s">
        <v>1</v>
      </c>
      <c r="C5" s="1" t="s">
        <v>66</v>
      </c>
      <c r="D5" s="2">
        <v>6404.19</v>
      </c>
      <c r="E5" s="4">
        <v>20</v>
      </c>
      <c r="F5" s="27">
        <v>40</v>
      </c>
      <c r="G5" s="28">
        <v>6</v>
      </c>
      <c r="H5" s="28">
        <v>25</v>
      </c>
      <c r="I5" s="4">
        <v>3</v>
      </c>
      <c r="J5" s="4">
        <v>6</v>
      </c>
    </row>
    <row r="6" spans="1:10" x14ac:dyDescent="0.3">
      <c r="A6" s="10" t="s">
        <v>0</v>
      </c>
      <c r="B6" s="1" t="s">
        <v>1</v>
      </c>
      <c r="C6" s="1" t="s">
        <v>68</v>
      </c>
      <c r="D6" s="2">
        <v>6402.99</v>
      </c>
      <c r="E6" s="4">
        <v>20</v>
      </c>
      <c r="F6" s="27">
        <v>20</v>
      </c>
      <c r="G6" s="28">
        <v>6</v>
      </c>
      <c r="H6" s="28">
        <v>25</v>
      </c>
      <c r="I6" s="4">
        <v>3</v>
      </c>
      <c r="J6" s="4">
        <v>6</v>
      </c>
    </row>
    <row r="7" spans="1:10" x14ac:dyDescent="0.3">
      <c r="A7" s="10" t="s">
        <v>0</v>
      </c>
      <c r="B7" s="1" t="s">
        <v>2</v>
      </c>
      <c r="C7" s="1" t="s">
        <v>69</v>
      </c>
      <c r="D7" s="2">
        <v>4202.21</v>
      </c>
      <c r="E7" s="4">
        <v>20</v>
      </c>
      <c r="F7" s="27">
        <v>20</v>
      </c>
      <c r="G7" s="28">
        <v>6</v>
      </c>
      <c r="H7" s="28">
        <v>25</v>
      </c>
      <c r="I7" s="4">
        <v>3</v>
      </c>
      <c r="J7" s="4">
        <v>6</v>
      </c>
    </row>
    <row r="8" spans="1:10" x14ac:dyDescent="0.3">
      <c r="A8" s="10" t="s">
        <v>0</v>
      </c>
      <c r="B8" s="1" t="s">
        <v>2</v>
      </c>
      <c r="C8" s="1" t="s">
        <v>70</v>
      </c>
      <c r="D8" s="2">
        <v>4202.22</v>
      </c>
      <c r="E8" s="4">
        <v>20</v>
      </c>
      <c r="F8" s="27">
        <v>20</v>
      </c>
      <c r="G8" s="28">
        <v>6</v>
      </c>
      <c r="H8" s="28">
        <v>25</v>
      </c>
      <c r="I8" s="4">
        <v>3</v>
      </c>
      <c r="J8" s="4">
        <v>6</v>
      </c>
    </row>
    <row r="9" spans="1:10" x14ac:dyDescent="0.3">
      <c r="A9" s="10" t="s">
        <v>0</v>
      </c>
      <c r="B9" s="1" t="s">
        <v>2</v>
      </c>
      <c r="C9" s="1" t="s">
        <v>71</v>
      </c>
      <c r="D9" s="2">
        <v>4202.1189999999997</v>
      </c>
      <c r="E9" s="4">
        <v>20</v>
      </c>
      <c r="F9" s="27">
        <v>20</v>
      </c>
      <c r="G9" s="28">
        <v>6</v>
      </c>
      <c r="H9" s="28">
        <v>25</v>
      </c>
      <c r="I9" s="4">
        <v>3</v>
      </c>
      <c r="J9" s="4">
        <v>6</v>
      </c>
    </row>
    <row r="10" spans="1:10" x14ac:dyDescent="0.3">
      <c r="A10" s="10" t="s">
        <v>0</v>
      </c>
      <c r="B10" s="1" t="s">
        <v>2</v>
      </c>
      <c r="C10" s="1" t="s">
        <v>72</v>
      </c>
      <c r="D10" s="2">
        <v>4202.1289999999999</v>
      </c>
      <c r="E10" s="4">
        <v>20</v>
      </c>
      <c r="F10" s="27">
        <v>20</v>
      </c>
      <c r="G10" s="28">
        <v>6</v>
      </c>
      <c r="H10" s="28">
        <v>25</v>
      </c>
      <c r="I10" s="4">
        <v>3</v>
      </c>
      <c r="J10" s="4">
        <v>6</v>
      </c>
    </row>
    <row r="11" spans="1:10" x14ac:dyDescent="0.3">
      <c r="A11" s="10" t="s">
        <v>0</v>
      </c>
      <c r="B11" s="1" t="s">
        <v>78</v>
      </c>
      <c r="C11" s="1" t="s">
        <v>73</v>
      </c>
      <c r="D11" s="2">
        <v>4202.3100000000004</v>
      </c>
      <c r="E11" s="4">
        <v>20</v>
      </c>
      <c r="F11" s="27">
        <v>20</v>
      </c>
      <c r="G11" s="28">
        <v>6</v>
      </c>
      <c r="H11" s="28">
        <v>25</v>
      </c>
      <c r="I11" s="4">
        <v>3</v>
      </c>
      <c r="J11" s="4">
        <v>6</v>
      </c>
    </row>
    <row r="12" spans="1:10" x14ac:dyDescent="0.3">
      <c r="A12" s="10" t="s">
        <v>0</v>
      </c>
      <c r="B12" s="1" t="s">
        <v>78</v>
      </c>
      <c r="C12" s="1" t="s">
        <v>74</v>
      </c>
      <c r="D12" s="2">
        <v>4202.32</v>
      </c>
      <c r="E12" s="4">
        <v>20</v>
      </c>
      <c r="F12" s="27">
        <v>20</v>
      </c>
      <c r="G12" s="28">
        <v>6</v>
      </c>
      <c r="H12" s="28">
        <v>25</v>
      </c>
      <c r="I12" s="4">
        <v>3</v>
      </c>
      <c r="J12" s="4">
        <v>6</v>
      </c>
    </row>
    <row r="13" spans="1:10" x14ac:dyDescent="0.3">
      <c r="A13" s="10" t="s">
        <v>0</v>
      </c>
      <c r="B13" s="1" t="s">
        <v>5</v>
      </c>
      <c r="C13" s="1" t="s">
        <v>6</v>
      </c>
      <c r="D13" s="2">
        <v>4203.3</v>
      </c>
      <c r="E13" s="4">
        <v>20</v>
      </c>
      <c r="F13" s="27">
        <v>50</v>
      </c>
      <c r="G13" s="28">
        <v>6</v>
      </c>
      <c r="H13" s="28">
        <v>25</v>
      </c>
      <c r="I13" s="4">
        <v>3</v>
      </c>
      <c r="J13" s="4">
        <v>6</v>
      </c>
    </row>
    <row r="14" spans="1:10" x14ac:dyDescent="0.3">
      <c r="E14" s="3"/>
      <c r="F14" s="29"/>
      <c r="G14" s="30"/>
      <c r="H14" s="30"/>
      <c r="I14" s="3"/>
      <c r="J14" s="22"/>
    </row>
    <row r="15" spans="1:10" x14ac:dyDescent="0.3">
      <c r="A15" s="9" t="s">
        <v>7</v>
      </c>
      <c r="B15" s="1" t="s">
        <v>1</v>
      </c>
      <c r="C15" s="1" t="s">
        <v>75</v>
      </c>
      <c r="D15" s="2">
        <v>6403.99</v>
      </c>
      <c r="E15" s="4">
        <v>20</v>
      </c>
      <c r="F15" s="27">
        <v>40</v>
      </c>
      <c r="G15" s="28">
        <v>6</v>
      </c>
      <c r="H15" s="28">
        <v>25</v>
      </c>
      <c r="I15" s="4">
        <v>3</v>
      </c>
      <c r="J15" s="4">
        <v>6</v>
      </c>
    </row>
    <row r="16" spans="1:10" x14ac:dyDescent="0.3">
      <c r="A16" s="9" t="s">
        <v>7</v>
      </c>
      <c r="B16" s="1" t="s">
        <v>1</v>
      </c>
      <c r="C16" s="1" t="s">
        <v>76</v>
      </c>
      <c r="D16" s="2">
        <v>6404.19</v>
      </c>
      <c r="E16" s="4">
        <v>20</v>
      </c>
      <c r="F16" s="27">
        <v>40</v>
      </c>
      <c r="G16" s="28">
        <v>6</v>
      </c>
      <c r="H16" s="28">
        <v>25</v>
      </c>
      <c r="I16" s="4">
        <v>3</v>
      </c>
      <c r="J16" s="4">
        <v>6</v>
      </c>
    </row>
    <row r="17" spans="1:10" x14ac:dyDescent="0.3">
      <c r="A17" s="9" t="s">
        <v>7</v>
      </c>
      <c r="B17" s="1" t="s">
        <v>1</v>
      </c>
      <c r="C17" s="1" t="s">
        <v>77</v>
      </c>
      <c r="D17" s="2">
        <v>6402.99</v>
      </c>
      <c r="E17" s="4">
        <v>20</v>
      </c>
      <c r="F17" s="27">
        <v>20</v>
      </c>
      <c r="G17" s="28">
        <v>6</v>
      </c>
      <c r="H17" s="28">
        <v>25</v>
      </c>
      <c r="I17" s="4">
        <v>3</v>
      </c>
      <c r="J17" s="4">
        <v>6</v>
      </c>
    </row>
    <row r="18" spans="1:10" x14ac:dyDescent="0.3">
      <c r="A18" s="9" t="s">
        <v>7</v>
      </c>
      <c r="B18" s="1" t="s">
        <v>2</v>
      </c>
      <c r="C18" s="1" t="s">
        <v>69</v>
      </c>
      <c r="D18" s="2">
        <v>4202.21</v>
      </c>
      <c r="E18" s="4">
        <v>20</v>
      </c>
      <c r="F18" s="27">
        <v>20</v>
      </c>
      <c r="G18" s="28">
        <v>6</v>
      </c>
      <c r="H18" s="28">
        <v>25</v>
      </c>
      <c r="I18" s="4">
        <v>3</v>
      </c>
      <c r="J18" s="4">
        <v>6</v>
      </c>
    </row>
    <row r="19" spans="1:10" x14ac:dyDescent="0.3">
      <c r="A19" s="9" t="s">
        <v>7</v>
      </c>
      <c r="B19" s="1" t="s">
        <v>2</v>
      </c>
      <c r="C19" s="1" t="s">
        <v>70</v>
      </c>
      <c r="D19" s="2">
        <v>4202.22</v>
      </c>
      <c r="E19" s="4">
        <v>20</v>
      </c>
      <c r="F19" s="27">
        <v>20</v>
      </c>
      <c r="G19" s="28">
        <v>6</v>
      </c>
      <c r="H19" s="28">
        <v>25</v>
      </c>
      <c r="I19" s="4">
        <v>3</v>
      </c>
      <c r="J19" s="4">
        <v>6</v>
      </c>
    </row>
    <row r="20" spans="1:10" x14ac:dyDescent="0.3">
      <c r="A20" s="9" t="s">
        <v>7</v>
      </c>
      <c r="B20" s="1" t="s">
        <v>78</v>
      </c>
      <c r="C20" s="1" t="s">
        <v>73</v>
      </c>
      <c r="D20" s="2">
        <v>4202.3100000000004</v>
      </c>
      <c r="E20" s="4">
        <v>20</v>
      </c>
      <c r="F20" s="27">
        <v>20</v>
      </c>
      <c r="G20" s="28">
        <v>6</v>
      </c>
      <c r="H20" s="28">
        <v>25</v>
      </c>
      <c r="I20" s="4">
        <v>3</v>
      </c>
      <c r="J20" s="4">
        <v>6</v>
      </c>
    </row>
    <row r="21" spans="1:10" x14ac:dyDescent="0.3">
      <c r="A21" s="9" t="s">
        <v>7</v>
      </c>
      <c r="B21" s="1" t="s">
        <v>78</v>
      </c>
      <c r="C21" s="1" t="s">
        <v>74</v>
      </c>
      <c r="D21" s="2">
        <v>4202.32</v>
      </c>
      <c r="E21" s="4">
        <v>20</v>
      </c>
      <c r="F21" s="27">
        <v>20</v>
      </c>
      <c r="G21" s="28">
        <v>6</v>
      </c>
      <c r="H21" s="28">
        <v>25</v>
      </c>
      <c r="I21" s="4">
        <v>3</v>
      </c>
      <c r="J21" s="4">
        <v>6</v>
      </c>
    </row>
    <row r="22" spans="1:10" x14ac:dyDescent="0.3">
      <c r="A22" s="9" t="s">
        <v>7</v>
      </c>
      <c r="B22" s="1" t="s">
        <v>9</v>
      </c>
      <c r="C22" s="1" t="s">
        <v>9</v>
      </c>
      <c r="D22" s="2">
        <v>9004.1</v>
      </c>
      <c r="E22" s="4">
        <v>3</v>
      </c>
      <c r="F22" s="27">
        <v>30</v>
      </c>
      <c r="G22" s="28">
        <v>2</v>
      </c>
      <c r="H22" s="28">
        <v>25</v>
      </c>
      <c r="I22" s="4">
        <v>3</v>
      </c>
      <c r="J22" s="4">
        <v>6</v>
      </c>
    </row>
    <row r="23" spans="1:10" x14ac:dyDescent="0.3">
      <c r="F23" s="31"/>
      <c r="G23" s="31"/>
      <c r="H23" s="31"/>
      <c r="J23" s="23"/>
    </row>
    <row r="24" spans="1:10" x14ac:dyDescent="0.3">
      <c r="A24" s="11" t="s">
        <v>86</v>
      </c>
      <c r="B24" s="1" t="s">
        <v>1</v>
      </c>
      <c r="C24" s="1" t="s">
        <v>84</v>
      </c>
      <c r="D24" s="2">
        <v>6402.19</v>
      </c>
      <c r="E24" s="6">
        <v>20</v>
      </c>
      <c r="F24" s="27">
        <v>20</v>
      </c>
      <c r="G24" s="28">
        <v>6</v>
      </c>
      <c r="H24" s="28">
        <v>25</v>
      </c>
      <c r="I24" s="4">
        <v>3</v>
      </c>
      <c r="J24" s="4">
        <v>6</v>
      </c>
    </row>
    <row r="25" spans="1:10" x14ac:dyDescent="0.3">
      <c r="A25" s="11" t="s">
        <v>85</v>
      </c>
      <c r="B25" s="1" t="s">
        <v>1</v>
      </c>
      <c r="C25" s="1" t="s">
        <v>79</v>
      </c>
      <c r="D25" s="2">
        <v>6402.99</v>
      </c>
      <c r="E25" s="6">
        <v>20</v>
      </c>
      <c r="F25" s="27">
        <v>20</v>
      </c>
      <c r="G25" s="28">
        <v>6</v>
      </c>
      <c r="H25" s="28">
        <v>25</v>
      </c>
      <c r="I25" s="4">
        <v>3</v>
      </c>
      <c r="J25" s="4">
        <v>6</v>
      </c>
    </row>
    <row r="26" spans="1:10" x14ac:dyDescent="0.3">
      <c r="A26" s="11" t="s">
        <v>88</v>
      </c>
      <c r="B26" s="1" t="s">
        <v>1</v>
      </c>
      <c r="C26" s="1" t="s">
        <v>80</v>
      </c>
      <c r="D26" s="2">
        <v>6404.11</v>
      </c>
      <c r="E26" s="6">
        <v>20</v>
      </c>
      <c r="F26" s="27">
        <v>40</v>
      </c>
      <c r="G26" s="28">
        <v>6</v>
      </c>
      <c r="H26" s="28">
        <v>25</v>
      </c>
      <c r="I26" s="4">
        <v>3</v>
      </c>
      <c r="J26" s="4">
        <v>6</v>
      </c>
    </row>
    <row r="27" spans="1:10" x14ac:dyDescent="0.3">
      <c r="A27" s="11" t="s">
        <v>88</v>
      </c>
      <c r="B27" s="1" t="s">
        <v>1</v>
      </c>
      <c r="C27" s="1" t="s">
        <v>81</v>
      </c>
      <c r="D27" s="2">
        <v>6403.19</v>
      </c>
      <c r="E27" s="6">
        <v>20</v>
      </c>
      <c r="F27" s="27">
        <v>20</v>
      </c>
      <c r="G27" s="28">
        <v>6</v>
      </c>
      <c r="H27" s="28">
        <v>25</v>
      </c>
      <c r="I27" s="4">
        <v>3</v>
      </c>
      <c r="J27" s="4">
        <v>6</v>
      </c>
    </row>
    <row r="28" spans="1:10" x14ac:dyDescent="0.3">
      <c r="A28" s="11" t="s">
        <v>87</v>
      </c>
      <c r="B28" s="1" t="s">
        <v>1</v>
      </c>
      <c r="C28" s="1" t="s">
        <v>89</v>
      </c>
      <c r="D28" s="2">
        <v>6403.99</v>
      </c>
      <c r="E28" s="4">
        <v>20</v>
      </c>
      <c r="F28" s="27">
        <v>40</v>
      </c>
      <c r="G28" s="28">
        <v>6</v>
      </c>
      <c r="H28" s="28">
        <v>25</v>
      </c>
      <c r="I28" s="4">
        <v>3</v>
      </c>
      <c r="J28" s="4">
        <v>6</v>
      </c>
    </row>
    <row r="29" spans="1:10" x14ac:dyDescent="0.3">
      <c r="A29" s="11" t="s">
        <v>88</v>
      </c>
      <c r="B29" s="1" t="s">
        <v>25</v>
      </c>
      <c r="C29" s="1" t="s">
        <v>26</v>
      </c>
      <c r="D29" s="2">
        <v>6109.9089999999997</v>
      </c>
      <c r="E29" s="6">
        <v>20</v>
      </c>
      <c r="F29" s="27">
        <v>10</v>
      </c>
      <c r="G29" s="28">
        <v>6</v>
      </c>
      <c r="H29" s="28">
        <v>18</v>
      </c>
      <c r="I29" s="4">
        <v>3</v>
      </c>
      <c r="J29" s="4">
        <v>6</v>
      </c>
    </row>
    <row r="30" spans="1:10" x14ac:dyDescent="0.3">
      <c r="A30" s="11" t="s">
        <v>88</v>
      </c>
      <c r="B30" s="1" t="s">
        <v>25</v>
      </c>
      <c r="C30" s="1" t="s">
        <v>27</v>
      </c>
      <c r="D30" s="2">
        <v>6105.2</v>
      </c>
      <c r="E30" s="6">
        <v>20</v>
      </c>
      <c r="F30" s="27">
        <v>10</v>
      </c>
      <c r="G30" s="28">
        <v>6</v>
      </c>
      <c r="H30" s="28">
        <v>18</v>
      </c>
      <c r="I30" s="4">
        <v>3</v>
      </c>
      <c r="J30" s="4">
        <v>6</v>
      </c>
    </row>
    <row r="31" spans="1:10" x14ac:dyDescent="0.3">
      <c r="A31" s="11" t="s">
        <v>88</v>
      </c>
      <c r="B31" s="1" t="s">
        <v>25</v>
      </c>
      <c r="C31" s="1" t="s">
        <v>33</v>
      </c>
      <c r="D31" s="2">
        <v>6103.39</v>
      </c>
      <c r="E31" s="6">
        <v>20</v>
      </c>
      <c r="F31" s="27">
        <v>10</v>
      </c>
      <c r="G31" s="28">
        <v>6</v>
      </c>
      <c r="H31" s="28">
        <v>18</v>
      </c>
      <c r="I31" s="4">
        <v>3</v>
      </c>
      <c r="J31" s="4">
        <v>6</v>
      </c>
    </row>
    <row r="32" spans="1:10" x14ac:dyDescent="0.3">
      <c r="A32" s="11" t="s">
        <v>88</v>
      </c>
      <c r="B32" s="1" t="s">
        <v>25</v>
      </c>
      <c r="C32" s="1" t="s">
        <v>34</v>
      </c>
      <c r="D32" s="2">
        <v>6104.39</v>
      </c>
      <c r="E32" s="6">
        <v>20</v>
      </c>
      <c r="F32" s="27">
        <v>10</v>
      </c>
      <c r="G32" s="28">
        <v>6</v>
      </c>
      <c r="H32" s="28">
        <v>18</v>
      </c>
      <c r="I32" s="4">
        <v>3</v>
      </c>
      <c r="J32" s="4">
        <v>6</v>
      </c>
    </row>
    <row r="33" spans="1:10" x14ac:dyDescent="0.3">
      <c r="A33" s="11" t="s">
        <v>88</v>
      </c>
      <c r="B33" s="1" t="s">
        <v>25</v>
      </c>
      <c r="C33" s="1" t="s">
        <v>35</v>
      </c>
      <c r="D33" s="2">
        <v>6203.39</v>
      </c>
      <c r="E33" s="6">
        <v>20</v>
      </c>
      <c r="F33" s="27">
        <v>10</v>
      </c>
      <c r="G33" s="28">
        <v>6</v>
      </c>
      <c r="H33" s="28">
        <v>18</v>
      </c>
      <c r="I33" s="4">
        <v>3</v>
      </c>
      <c r="J33" s="4">
        <v>6</v>
      </c>
    </row>
    <row r="34" spans="1:10" x14ac:dyDescent="0.3">
      <c r="A34" s="11" t="s">
        <v>88</v>
      </c>
      <c r="B34" s="1" t="s">
        <v>25</v>
      </c>
      <c r="C34" s="1" t="s">
        <v>36</v>
      </c>
      <c r="D34" s="2">
        <v>6204.39</v>
      </c>
      <c r="E34" s="6">
        <v>20</v>
      </c>
      <c r="F34" s="27">
        <v>10</v>
      </c>
      <c r="G34" s="28">
        <v>6</v>
      </c>
      <c r="H34" s="28">
        <v>18</v>
      </c>
      <c r="I34" s="4">
        <v>3</v>
      </c>
      <c r="J34" s="4">
        <v>6</v>
      </c>
    </row>
    <row r="35" spans="1:10" x14ac:dyDescent="0.3">
      <c r="A35" s="11" t="s">
        <v>88</v>
      </c>
      <c r="B35" s="1" t="s">
        <v>25</v>
      </c>
      <c r="C35" s="1" t="s">
        <v>37</v>
      </c>
      <c r="D35" s="2">
        <v>6103.49</v>
      </c>
      <c r="E35" s="6">
        <v>20</v>
      </c>
      <c r="F35" s="27">
        <v>10</v>
      </c>
      <c r="G35" s="28">
        <v>6</v>
      </c>
      <c r="H35" s="28">
        <v>18</v>
      </c>
      <c r="I35" s="4">
        <v>3</v>
      </c>
      <c r="J35" s="4">
        <v>6</v>
      </c>
    </row>
    <row r="36" spans="1:10" x14ac:dyDescent="0.3">
      <c r="A36" s="11" t="s">
        <v>88</v>
      </c>
      <c r="B36" s="1" t="s">
        <v>25</v>
      </c>
      <c r="C36" s="1" t="s">
        <v>38</v>
      </c>
      <c r="D36" s="2">
        <v>6104.69</v>
      </c>
      <c r="E36" s="6">
        <v>20</v>
      </c>
      <c r="F36" s="27">
        <v>10</v>
      </c>
      <c r="G36" s="28">
        <v>6</v>
      </c>
      <c r="H36" s="28">
        <v>18</v>
      </c>
      <c r="I36" s="4">
        <v>3</v>
      </c>
      <c r="J36" s="4">
        <v>6</v>
      </c>
    </row>
    <row r="37" spans="1:10" x14ac:dyDescent="0.3">
      <c r="A37" s="11" t="s">
        <v>88</v>
      </c>
      <c r="B37" s="1" t="s">
        <v>25</v>
      </c>
      <c r="C37" s="1" t="s">
        <v>39</v>
      </c>
      <c r="D37" s="2">
        <v>6203.49</v>
      </c>
      <c r="E37" s="6">
        <v>20</v>
      </c>
      <c r="F37" s="27">
        <v>10</v>
      </c>
      <c r="G37" s="28">
        <v>6</v>
      </c>
      <c r="H37" s="28">
        <v>18</v>
      </c>
      <c r="I37" s="4">
        <v>3</v>
      </c>
      <c r="J37" s="4">
        <v>6</v>
      </c>
    </row>
    <row r="38" spans="1:10" x14ac:dyDescent="0.3">
      <c r="A38" s="11" t="s">
        <v>88</v>
      </c>
      <c r="B38" s="1" t="s">
        <v>25</v>
      </c>
      <c r="C38" s="1" t="s">
        <v>40</v>
      </c>
      <c r="D38" s="2">
        <v>6204.6289999999999</v>
      </c>
      <c r="E38" s="6">
        <v>20</v>
      </c>
      <c r="F38" s="27">
        <v>10</v>
      </c>
      <c r="G38" s="28">
        <v>6</v>
      </c>
      <c r="H38" s="28">
        <v>18</v>
      </c>
      <c r="I38" s="4">
        <v>3</v>
      </c>
      <c r="J38" s="4">
        <v>6</v>
      </c>
    </row>
    <row r="39" spans="1:10" x14ac:dyDescent="0.3">
      <c r="A39" s="11" t="s">
        <v>88</v>
      </c>
      <c r="B39" s="1" t="s">
        <v>25</v>
      </c>
      <c r="C39" s="1" t="s">
        <v>28</v>
      </c>
      <c r="D39" s="2">
        <v>6212.1</v>
      </c>
      <c r="E39" s="6">
        <v>20</v>
      </c>
      <c r="F39" s="27">
        <v>10</v>
      </c>
      <c r="G39" s="28">
        <v>6</v>
      </c>
      <c r="H39" s="28">
        <v>18</v>
      </c>
      <c r="I39" s="4">
        <v>3</v>
      </c>
      <c r="J39" s="4">
        <v>6</v>
      </c>
    </row>
    <row r="40" spans="1:10" x14ac:dyDescent="0.3">
      <c r="A40" s="11" t="s">
        <v>88</v>
      </c>
      <c r="B40" s="1" t="s">
        <v>25</v>
      </c>
      <c r="C40" s="1" t="s">
        <v>29</v>
      </c>
      <c r="D40" s="2">
        <v>6307.9030000000002</v>
      </c>
      <c r="E40" s="6">
        <v>20</v>
      </c>
      <c r="F40" s="27">
        <v>10</v>
      </c>
      <c r="G40" s="28">
        <v>6</v>
      </c>
      <c r="H40" s="28">
        <v>18</v>
      </c>
      <c r="I40" s="4">
        <v>3</v>
      </c>
      <c r="J40" s="4">
        <v>6</v>
      </c>
    </row>
    <row r="41" spans="1:10" x14ac:dyDescent="0.3">
      <c r="A41" s="11" t="s">
        <v>88</v>
      </c>
      <c r="B41" s="1" t="s">
        <v>25</v>
      </c>
      <c r="C41" s="1" t="s">
        <v>30</v>
      </c>
      <c r="D41" s="2">
        <v>6115.29</v>
      </c>
      <c r="E41" s="6">
        <v>20</v>
      </c>
      <c r="F41" s="27">
        <v>10</v>
      </c>
      <c r="G41" s="28">
        <v>6</v>
      </c>
      <c r="H41" s="28">
        <v>18</v>
      </c>
      <c r="I41" s="4">
        <v>3</v>
      </c>
      <c r="J41" s="4">
        <v>6</v>
      </c>
    </row>
    <row r="42" spans="1:10" x14ac:dyDescent="0.3">
      <c r="A42" s="11" t="s">
        <v>88</v>
      </c>
      <c r="B42" s="1" t="s">
        <v>25</v>
      </c>
      <c r="C42" s="1" t="s">
        <v>31</v>
      </c>
      <c r="D42" s="2">
        <v>6112.19</v>
      </c>
      <c r="E42" s="6">
        <v>20</v>
      </c>
      <c r="F42" s="27">
        <v>10</v>
      </c>
      <c r="G42" s="28">
        <v>6</v>
      </c>
      <c r="H42" s="28">
        <v>18</v>
      </c>
      <c r="I42" s="4">
        <v>3</v>
      </c>
      <c r="J42" s="4">
        <v>6</v>
      </c>
    </row>
    <row r="43" spans="1:10" x14ac:dyDescent="0.3">
      <c r="A43" s="11" t="s">
        <v>88</v>
      </c>
      <c r="B43" s="1" t="s">
        <v>25</v>
      </c>
      <c r="C43" s="1" t="s">
        <v>32</v>
      </c>
      <c r="D43" s="2">
        <v>6211.39</v>
      </c>
      <c r="E43" s="6">
        <v>20</v>
      </c>
      <c r="F43" s="27">
        <v>10</v>
      </c>
      <c r="G43" s="28">
        <v>6</v>
      </c>
      <c r="H43" s="28">
        <v>18</v>
      </c>
      <c r="I43" s="4">
        <v>3</v>
      </c>
      <c r="J43" s="4">
        <v>6</v>
      </c>
    </row>
    <row r="44" spans="1:10" x14ac:dyDescent="0.3">
      <c r="A44" s="11" t="s">
        <v>88</v>
      </c>
      <c r="B44" s="1" t="s">
        <v>41</v>
      </c>
      <c r="C44" s="1" t="s">
        <v>42</v>
      </c>
      <c r="D44" s="2">
        <v>4202.92</v>
      </c>
      <c r="E44" s="6">
        <v>20</v>
      </c>
      <c r="F44" s="27">
        <v>20</v>
      </c>
      <c r="G44" s="28">
        <v>6</v>
      </c>
      <c r="H44" s="28">
        <v>25</v>
      </c>
      <c r="I44" s="4">
        <v>3</v>
      </c>
      <c r="J44" s="4">
        <v>6</v>
      </c>
    </row>
    <row r="45" spans="1:10" x14ac:dyDescent="0.3">
      <c r="A45" s="11" t="s">
        <v>88</v>
      </c>
      <c r="B45" s="1" t="s">
        <v>41</v>
      </c>
      <c r="C45" s="1" t="s">
        <v>43</v>
      </c>
      <c r="D45" s="2">
        <v>6115.99</v>
      </c>
      <c r="E45" s="6">
        <v>20</v>
      </c>
      <c r="F45" s="27">
        <v>10</v>
      </c>
      <c r="G45" s="28">
        <v>6</v>
      </c>
      <c r="H45" s="28">
        <v>18</v>
      </c>
      <c r="I45" s="4">
        <v>3</v>
      </c>
      <c r="J45" s="4">
        <v>6</v>
      </c>
    </row>
    <row r="46" spans="1:10" x14ac:dyDescent="0.3">
      <c r="A46" s="11" t="s">
        <v>88</v>
      </c>
      <c r="B46" s="1" t="s">
        <v>41</v>
      </c>
      <c r="C46" s="1" t="s">
        <v>46</v>
      </c>
      <c r="D46" s="2">
        <v>6216.0010000000002</v>
      </c>
      <c r="E46" s="6">
        <v>20</v>
      </c>
      <c r="F46" s="27">
        <v>0</v>
      </c>
      <c r="G46" s="28">
        <v>6</v>
      </c>
      <c r="H46" s="28">
        <v>18</v>
      </c>
      <c r="I46" s="4">
        <v>3</v>
      </c>
      <c r="J46" s="4">
        <v>6</v>
      </c>
    </row>
    <row r="47" spans="1:10" x14ac:dyDescent="0.3">
      <c r="A47" s="11" t="s">
        <v>90</v>
      </c>
      <c r="B47" s="1" t="s">
        <v>41</v>
      </c>
      <c r="C47" s="1" t="s">
        <v>44</v>
      </c>
      <c r="D47" s="2">
        <v>9506.6209999999992</v>
      </c>
      <c r="E47" s="6">
        <v>20</v>
      </c>
      <c r="F47" s="27">
        <v>30</v>
      </c>
      <c r="G47" s="28">
        <v>6</v>
      </c>
      <c r="H47" s="28">
        <v>18</v>
      </c>
      <c r="I47" s="4">
        <v>3</v>
      </c>
      <c r="J47" s="4">
        <v>6</v>
      </c>
    </row>
    <row r="48" spans="1:10" x14ac:dyDescent="0.3">
      <c r="A48" s="11" t="s">
        <v>91</v>
      </c>
      <c r="B48" s="1" t="s">
        <v>41</v>
      </c>
      <c r="C48" s="1" t="s">
        <v>45</v>
      </c>
      <c r="D48" s="2">
        <v>9506.6991999999991</v>
      </c>
      <c r="E48" s="6">
        <v>20</v>
      </c>
      <c r="F48" s="27">
        <v>30</v>
      </c>
      <c r="G48" s="28">
        <v>6</v>
      </c>
      <c r="H48" s="28">
        <v>18</v>
      </c>
      <c r="I48" s="4">
        <v>3</v>
      </c>
      <c r="J48" s="4">
        <v>6</v>
      </c>
    </row>
    <row r="49" spans="1:10" x14ac:dyDescent="0.3">
      <c r="A49" s="11" t="s">
        <v>91</v>
      </c>
      <c r="B49" s="1" t="s">
        <v>41</v>
      </c>
      <c r="C49" s="1" t="s">
        <v>49</v>
      </c>
      <c r="D49" s="2">
        <v>9506.91</v>
      </c>
      <c r="E49" s="6">
        <v>11</v>
      </c>
      <c r="F49" s="27">
        <v>20</v>
      </c>
      <c r="G49" s="28">
        <v>2</v>
      </c>
      <c r="H49" s="28">
        <v>18</v>
      </c>
      <c r="I49" s="4">
        <v>3</v>
      </c>
      <c r="J49" s="4">
        <v>6</v>
      </c>
    </row>
    <row r="50" spans="1:10" x14ac:dyDescent="0.3">
      <c r="A50" s="11" t="s">
        <v>91</v>
      </c>
      <c r="B50" s="1" t="s">
        <v>41</v>
      </c>
      <c r="C50" s="1" t="s">
        <v>47</v>
      </c>
      <c r="D50" s="2">
        <v>3923.3009999999999</v>
      </c>
      <c r="E50" s="6">
        <v>20</v>
      </c>
      <c r="F50" s="27">
        <v>15</v>
      </c>
      <c r="G50" s="28">
        <v>6</v>
      </c>
      <c r="H50" s="28">
        <v>18</v>
      </c>
      <c r="I50" s="4">
        <v>3</v>
      </c>
      <c r="J50" s="4">
        <v>6</v>
      </c>
    </row>
    <row r="51" spans="1:10" x14ac:dyDescent="0.3">
      <c r="A51" s="11" t="s">
        <v>91</v>
      </c>
      <c r="B51" s="1" t="s">
        <v>41</v>
      </c>
      <c r="C51" s="1" t="s">
        <v>48</v>
      </c>
      <c r="D51" s="2">
        <v>4202.32</v>
      </c>
      <c r="E51" s="6">
        <v>20</v>
      </c>
      <c r="F51" s="27">
        <v>20</v>
      </c>
      <c r="G51" s="28">
        <v>6</v>
      </c>
      <c r="H51" s="28">
        <v>25</v>
      </c>
      <c r="I51" s="4">
        <v>3</v>
      </c>
      <c r="J51" s="4">
        <v>6</v>
      </c>
    </row>
    <row r="52" spans="1:10" x14ac:dyDescent="0.3">
      <c r="A52" s="11" t="s">
        <v>91</v>
      </c>
      <c r="B52" s="1" t="s">
        <v>41</v>
      </c>
      <c r="C52" s="1" t="s">
        <v>50</v>
      </c>
      <c r="D52" s="2">
        <v>9506.91</v>
      </c>
      <c r="E52" s="6">
        <v>11</v>
      </c>
      <c r="F52" s="27">
        <v>20</v>
      </c>
      <c r="G52" s="28">
        <v>2</v>
      </c>
      <c r="H52" s="28">
        <v>18</v>
      </c>
      <c r="I52" s="4">
        <v>3</v>
      </c>
      <c r="J52" s="4">
        <v>6</v>
      </c>
    </row>
    <row r="53" spans="1:10" x14ac:dyDescent="0.3">
      <c r="A53" s="11" t="s">
        <v>91</v>
      </c>
      <c r="B53" s="1" t="s">
        <v>41</v>
      </c>
      <c r="C53" s="1" t="s">
        <v>52</v>
      </c>
      <c r="D53" s="2">
        <v>6117.8</v>
      </c>
      <c r="E53" s="6">
        <v>20</v>
      </c>
      <c r="F53" s="27">
        <v>10</v>
      </c>
      <c r="G53" s="28">
        <v>6</v>
      </c>
      <c r="H53" s="28">
        <v>18</v>
      </c>
      <c r="I53" s="4">
        <v>3</v>
      </c>
      <c r="J53" s="4">
        <v>6</v>
      </c>
    </row>
    <row r="54" spans="1:10" x14ac:dyDescent="0.3">
      <c r="A54" s="11" t="s">
        <v>91</v>
      </c>
      <c r="B54" s="1" t="s">
        <v>41</v>
      </c>
      <c r="C54" s="1" t="s">
        <v>51</v>
      </c>
      <c r="D54" s="2">
        <v>8414.2000000000007</v>
      </c>
      <c r="E54" s="27">
        <v>3</v>
      </c>
      <c r="F54" s="27">
        <v>0</v>
      </c>
      <c r="G54" s="28">
        <v>2</v>
      </c>
      <c r="H54" s="28">
        <v>18</v>
      </c>
      <c r="I54" s="4">
        <v>3</v>
      </c>
      <c r="J54" s="4">
        <v>6</v>
      </c>
    </row>
    <row r="55" spans="1:10" x14ac:dyDescent="0.3">
      <c r="J55" s="23"/>
    </row>
    <row r="56" spans="1:10" hidden="1" x14ac:dyDescent="0.3">
      <c r="A56" s="20" t="s">
        <v>82</v>
      </c>
      <c r="B56" s="1" t="s">
        <v>60</v>
      </c>
      <c r="C56" s="1" t="s">
        <v>60</v>
      </c>
      <c r="D56" s="2">
        <v>9102.11</v>
      </c>
      <c r="E56" s="6">
        <v>3</v>
      </c>
      <c r="F56" s="6">
        <v>30</v>
      </c>
      <c r="G56" s="4">
        <v>2</v>
      </c>
      <c r="H56" s="24">
        <v>25</v>
      </c>
      <c r="I56" s="4">
        <v>3</v>
      </c>
      <c r="J56" s="7">
        <v>5.5</v>
      </c>
    </row>
    <row r="57" spans="1:10" hidden="1" x14ac:dyDescent="0.3">
      <c r="A57" s="20" t="s">
        <v>83</v>
      </c>
      <c r="B57" s="1" t="s">
        <v>63</v>
      </c>
      <c r="C57" s="1" t="s">
        <v>63</v>
      </c>
      <c r="D57" s="2">
        <v>9114.9</v>
      </c>
      <c r="E57" s="6">
        <v>3</v>
      </c>
      <c r="F57" s="6">
        <v>0</v>
      </c>
      <c r="G57" s="4">
        <v>2</v>
      </c>
      <c r="H57" s="4">
        <v>18</v>
      </c>
      <c r="I57" s="4">
        <v>3</v>
      </c>
      <c r="J57" s="7">
        <v>5.5</v>
      </c>
    </row>
    <row r="58" spans="1:10" hidden="1" x14ac:dyDescent="0.3">
      <c r="A58" s="20" t="s">
        <v>59</v>
      </c>
      <c r="B58" s="1" t="s">
        <v>63</v>
      </c>
      <c r="C58" s="1" t="s">
        <v>64</v>
      </c>
      <c r="D58" s="2">
        <v>8506.5</v>
      </c>
      <c r="E58" s="6">
        <v>11</v>
      </c>
      <c r="F58" s="6">
        <v>0</v>
      </c>
      <c r="G58" s="4">
        <v>2</v>
      </c>
      <c r="H58" s="4">
        <v>18</v>
      </c>
      <c r="I58" s="4">
        <v>3</v>
      </c>
      <c r="J58" s="7">
        <v>5.5</v>
      </c>
    </row>
    <row r="59" spans="1:10" hidden="1" x14ac:dyDescent="0.3"/>
    <row r="60" spans="1:10" hidden="1" x14ac:dyDescent="0.3"/>
    <row r="61" spans="1:10" hidden="1" x14ac:dyDescent="0.3"/>
  </sheetData>
  <mergeCells count="1">
    <mergeCell ref="E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F4A6-F3BF-4DB3-9D8A-02441C599185}">
  <dimension ref="A1:S25"/>
  <sheetViews>
    <sheetView showGridLines="0" tabSelected="1" workbookViewId="0">
      <selection activeCell="U16" sqref="U16"/>
    </sheetView>
  </sheetViews>
  <sheetFormatPr defaultRowHeight="14.4" x14ac:dyDescent="0.3"/>
  <cols>
    <col min="1" max="1" width="41.44140625" bestFit="1" customWidth="1"/>
    <col min="2" max="2" width="30.109375" style="14" bestFit="1" customWidth="1"/>
    <col min="3" max="7" width="8.88671875" style="32"/>
    <col min="8" max="8" width="0.88671875" customWidth="1"/>
    <col min="9" max="13" width="0" hidden="1" customWidth="1"/>
    <col min="14" max="14" width="1" hidden="1" customWidth="1"/>
    <col min="15" max="19" width="0" hidden="1" customWidth="1"/>
  </cols>
  <sheetData>
    <row r="1" spans="1:19" s="33" customFormat="1" x14ac:dyDescent="0.3">
      <c r="B1" s="40"/>
      <c r="C1" s="56" t="s">
        <v>128</v>
      </c>
      <c r="D1" s="56"/>
      <c r="E1" s="56"/>
      <c r="F1" s="56"/>
      <c r="G1" s="56"/>
      <c r="I1" s="57" t="s">
        <v>129</v>
      </c>
      <c r="J1" s="57"/>
      <c r="K1" s="57"/>
      <c r="L1" s="57"/>
      <c r="M1" s="57"/>
    </row>
    <row r="2" spans="1:19" x14ac:dyDescent="0.3">
      <c r="C2" s="54" t="s">
        <v>126</v>
      </c>
      <c r="D2" s="54"/>
      <c r="E2" s="54"/>
      <c r="F2" s="54"/>
      <c r="G2" s="54"/>
      <c r="I2" s="55" t="s">
        <v>127</v>
      </c>
      <c r="J2" s="55"/>
      <c r="K2" s="55"/>
      <c r="L2" s="55"/>
      <c r="M2" s="55"/>
      <c r="O2" s="58" t="s">
        <v>132</v>
      </c>
      <c r="P2" s="58"/>
      <c r="Q2" s="58"/>
      <c r="R2" s="58"/>
      <c r="S2" s="58"/>
    </row>
    <row r="3" spans="1:19" x14ac:dyDescent="0.3">
      <c r="A3" s="41" t="s">
        <v>131</v>
      </c>
      <c r="B3" s="42" t="s">
        <v>130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I3" s="38" t="s">
        <v>14</v>
      </c>
      <c r="J3" s="38" t="s">
        <v>15</v>
      </c>
      <c r="K3" s="38" t="s">
        <v>16</v>
      </c>
      <c r="L3" s="38" t="s">
        <v>17</v>
      </c>
      <c r="M3" s="38" t="s">
        <v>18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</row>
    <row r="4" spans="1:19" x14ac:dyDescent="0.3">
      <c r="A4" s="1" t="s">
        <v>107</v>
      </c>
      <c r="B4" s="17" t="s">
        <v>105</v>
      </c>
      <c r="C4" s="34">
        <v>0.2</v>
      </c>
      <c r="D4" s="34">
        <v>0.32</v>
      </c>
      <c r="E4" s="34">
        <v>0.04</v>
      </c>
      <c r="F4" s="34">
        <v>0.25</v>
      </c>
      <c r="G4" s="34">
        <v>0.06</v>
      </c>
      <c r="I4" s="34">
        <v>0.2</v>
      </c>
      <c r="J4" s="34">
        <v>0.4</v>
      </c>
      <c r="K4" s="34">
        <v>0.06</v>
      </c>
      <c r="L4" s="34">
        <v>0.25</v>
      </c>
      <c r="M4" s="34">
        <v>0.06</v>
      </c>
      <c r="O4" s="35">
        <f>I4-C4</f>
        <v>0</v>
      </c>
      <c r="P4" s="36">
        <f>D4-J4</f>
        <v>-8.0000000000000016E-2</v>
      </c>
      <c r="Q4" s="36">
        <f>E4-K4</f>
        <v>-1.9999999999999997E-2</v>
      </c>
      <c r="R4" s="35">
        <f t="shared" ref="R4:S4" si="0">L4-F4</f>
        <v>0</v>
      </c>
      <c r="S4" s="35">
        <f t="shared" si="0"/>
        <v>0</v>
      </c>
    </row>
    <row r="5" spans="1:19" x14ac:dyDescent="0.3">
      <c r="A5" s="1" t="s">
        <v>106</v>
      </c>
      <c r="B5" s="17" t="s">
        <v>139</v>
      </c>
      <c r="C5" s="34">
        <v>0.2</v>
      </c>
      <c r="D5" s="34">
        <v>0.2</v>
      </c>
      <c r="E5" s="34">
        <v>0.04</v>
      </c>
      <c r="F5" s="34">
        <v>0.25</v>
      </c>
      <c r="G5" s="34">
        <v>0.06</v>
      </c>
      <c r="I5" s="34">
        <v>0.2</v>
      </c>
      <c r="J5" s="34">
        <v>0.2</v>
      </c>
      <c r="K5" s="34">
        <v>0.06</v>
      </c>
      <c r="L5" s="34">
        <v>0.25</v>
      </c>
      <c r="M5" s="34">
        <v>0.06</v>
      </c>
      <c r="O5" s="35">
        <f t="shared" ref="O5:O21" si="1">I5-C5</f>
        <v>0</v>
      </c>
      <c r="P5" s="35">
        <f t="shared" ref="O5:P25" si="2">D5-J5</f>
        <v>0</v>
      </c>
      <c r="Q5" s="36">
        <f t="shared" ref="Q5:Q25" si="3">E5-K5</f>
        <v>-1.9999999999999997E-2</v>
      </c>
      <c r="R5" s="35">
        <f t="shared" ref="R5:R25" si="4">L5-F5</f>
        <v>0</v>
      </c>
      <c r="S5" s="35">
        <f t="shared" ref="S5:S25" si="5">M5-G5</f>
        <v>0</v>
      </c>
    </row>
    <row r="6" spans="1:19" x14ac:dyDescent="0.3">
      <c r="A6" s="1" t="s">
        <v>93</v>
      </c>
      <c r="B6" s="17" t="s">
        <v>108</v>
      </c>
      <c r="C6" s="34">
        <v>0.2</v>
      </c>
      <c r="D6" s="34">
        <v>0.4</v>
      </c>
      <c r="E6" s="34">
        <v>0.04</v>
      </c>
      <c r="F6" s="34">
        <v>0.25</v>
      </c>
      <c r="G6" s="34">
        <v>0.06</v>
      </c>
      <c r="I6" s="34">
        <v>0.2</v>
      </c>
      <c r="J6" s="34">
        <v>0.5</v>
      </c>
      <c r="K6" s="34">
        <v>0.06</v>
      </c>
      <c r="L6" s="34">
        <v>0.25</v>
      </c>
      <c r="M6" s="34">
        <v>0.06</v>
      </c>
      <c r="O6" s="35">
        <f t="shared" si="1"/>
        <v>0</v>
      </c>
      <c r="P6" s="36">
        <f t="shared" si="2"/>
        <v>-9.9999999999999978E-2</v>
      </c>
      <c r="Q6" s="36">
        <f t="shared" si="3"/>
        <v>-1.9999999999999997E-2</v>
      </c>
      <c r="R6" s="35">
        <f t="shared" si="4"/>
        <v>0</v>
      </c>
      <c r="S6" s="35">
        <f t="shared" si="5"/>
        <v>0</v>
      </c>
    </row>
    <row r="7" spans="1:19" x14ac:dyDescent="0.3">
      <c r="A7" s="1" t="s">
        <v>94</v>
      </c>
      <c r="B7" s="17" t="s">
        <v>109</v>
      </c>
      <c r="C7" s="35">
        <v>0</v>
      </c>
      <c r="D7" s="34">
        <v>0.24</v>
      </c>
      <c r="E7" s="35">
        <v>0</v>
      </c>
      <c r="F7" s="34">
        <v>0.25</v>
      </c>
      <c r="G7" s="34">
        <v>0.06</v>
      </c>
      <c r="I7" s="34">
        <v>0.03</v>
      </c>
      <c r="J7" s="34">
        <v>0.3</v>
      </c>
      <c r="K7" s="34">
        <v>0.02</v>
      </c>
      <c r="L7" s="34">
        <v>0.25</v>
      </c>
      <c r="M7" s="34">
        <v>0.06</v>
      </c>
      <c r="O7" s="36">
        <f t="shared" si="2"/>
        <v>-0.03</v>
      </c>
      <c r="P7" s="36">
        <f t="shared" si="2"/>
        <v>-0.06</v>
      </c>
      <c r="Q7" s="36">
        <f t="shared" si="3"/>
        <v>-0.02</v>
      </c>
      <c r="R7" s="35">
        <f t="shared" si="4"/>
        <v>0</v>
      </c>
      <c r="S7" s="35">
        <f t="shared" si="5"/>
        <v>0</v>
      </c>
    </row>
    <row r="8" spans="1:19" x14ac:dyDescent="0.3">
      <c r="A8" s="1" t="s">
        <v>95</v>
      </c>
      <c r="B8" s="17" t="s">
        <v>143</v>
      </c>
      <c r="C8" s="34">
        <v>0.2</v>
      </c>
      <c r="D8" s="34">
        <v>0.2</v>
      </c>
      <c r="E8" s="34">
        <v>0.04</v>
      </c>
      <c r="F8" s="34">
        <v>0.25</v>
      </c>
      <c r="G8" s="34">
        <v>0.06</v>
      </c>
      <c r="I8" s="34">
        <v>0.2</v>
      </c>
      <c r="J8" s="34">
        <v>0.2</v>
      </c>
      <c r="K8" s="34">
        <v>0.06</v>
      </c>
      <c r="L8" s="34">
        <v>0.25</v>
      </c>
      <c r="M8" s="34">
        <v>0.06</v>
      </c>
      <c r="O8" s="35">
        <f t="shared" si="1"/>
        <v>0</v>
      </c>
      <c r="P8" s="35">
        <f t="shared" si="2"/>
        <v>0</v>
      </c>
      <c r="Q8" s="36">
        <f t="shared" si="3"/>
        <v>-1.9999999999999997E-2</v>
      </c>
      <c r="R8" s="35">
        <f t="shared" si="4"/>
        <v>0</v>
      </c>
      <c r="S8" s="35">
        <f t="shared" si="5"/>
        <v>0</v>
      </c>
    </row>
    <row r="9" spans="1:19" x14ac:dyDescent="0.3">
      <c r="A9" s="1" t="s">
        <v>137</v>
      </c>
      <c r="B9" s="17" t="s">
        <v>110</v>
      </c>
      <c r="C9" s="34">
        <v>0.2</v>
      </c>
      <c r="D9" s="34">
        <v>0.1</v>
      </c>
      <c r="E9" s="34">
        <v>0.04</v>
      </c>
      <c r="F9" s="34">
        <v>0.18</v>
      </c>
      <c r="G9" s="34">
        <v>0.06</v>
      </c>
      <c r="I9" s="34">
        <v>0.2</v>
      </c>
      <c r="J9" s="34">
        <v>0.1</v>
      </c>
      <c r="K9" s="34">
        <v>0.06</v>
      </c>
      <c r="L9" s="34">
        <v>0.18</v>
      </c>
      <c r="M9" s="34">
        <v>0.06</v>
      </c>
      <c r="O9" s="35">
        <f t="shared" si="1"/>
        <v>0</v>
      </c>
      <c r="P9" s="35">
        <f t="shared" si="2"/>
        <v>0</v>
      </c>
      <c r="Q9" s="36">
        <f t="shared" si="3"/>
        <v>-1.9999999999999997E-2</v>
      </c>
      <c r="R9" s="35">
        <f t="shared" si="4"/>
        <v>0</v>
      </c>
      <c r="S9" s="35">
        <f t="shared" si="5"/>
        <v>0</v>
      </c>
    </row>
    <row r="10" spans="1:19" x14ac:dyDescent="0.3">
      <c r="A10" s="1" t="s">
        <v>141</v>
      </c>
      <c r="B10" s="17" t="s">
        <v>111</v>
      </c>
      <c r="C10" s="34">
        <v>0.2</v>
      </c>
      <c r="D10" s="34">
        <v>0.1</v>
      </c>
      <c r="E10" s="34">
        <v>0.04</v>
      </c>
      <c r="F10" s="34">
        <v>0.18</v>
      </c>
      <c r="G10" s="34">
        <v>0.06</v>
      </c>
      <c r="I10" s="34">
        <v>0.2</v>
      </c>
      <c r="J10" s="34">
        <v>0.1</v>
      </c>
      <c r="K10" s="34">
        <v>0.06</v>
      </c>
      <c r="L10" s="34">
        <v>0.18</v>
      </c>
      <c r="M10" s="34">
        <v>0.06</v>
      </c>
      <c r="O10" s="35">
        <f t="shared" si="1"/>
        <v>0</v>
      </c>
      <c r="P10" s="35">
        <f t="shared" si="2"/>
        <v>0</v>
      </c>
      <c r="Q10" s="36">
        <f t="shared" si="3"/>
        <v>-1.9999999999999997E-2</v>
      </c>
      <c r="R10" s="35">
        <f t="shared" si="4"/>
        <v>0</v>
      </c>
      <c r="S10" s="35">
        <f t="shared" si="5"/>
        <v>0</v>
      </c>
    </row>
    <row r="11" spans="1:19" x14ac:dyDescent="0.3">
      <c r="A11" s="1" t="s">
        <v>140</v>
      </c>
      <c r="B11" s="17" t="s">
        <v>142</v>
      </c>
      <c r="C11" s="34">
        <v>0.2</v>
      </c>
      <c r="D11" s="34">
        <v>0.1</v>
      </c>
      <c r="E11" s="34">
        <v>0.04</v>
      </c>
      <c r="F11" s="34">
        <v>0.18</v>
      </c>
      <c r="G11" s="34">
        <v>0.06</v>
      </c>
      <c r="I11" s="34"/>
      <c r="J11" s="34"/>
      <c r="K11" s="34"/>
      <c r="L11" s="34"/>
      <c r="M11" s="34"/>
      <c r="O11" s="35"/>
      <c r="P11" s="35"/>
      <c r="Q11" s="36"/>
      <c r="R11" s="35"/>
      <c r="S11" s="35"/>
    </row>
    <row r="12" spans="1:19" x14ac:dyDescent="0.3">
      <c r="A12" s="1" t="s">
        <v>138</v>
      </c>
      <c r="B12" s="17" t="s">
        <v>112</v>
      </c>
      <c r="C12" s="34">
        <v>0.2</v>
      </c>
      <c r="D12" s="34">
        <v>0.1</v>
      </c>
      <c r="E12" s="34">
        <v>0.04</v>
      </c>
      <c r="F12" s="34">
        <v>0.18</v>
      </c>
      <c r="G12" s="34">
        <v>0.06</v>
      </c>
      <c r="I12" s="34">
        <v>0.2</v>
      </c>
      <c r="J12" s="34">
        <v>0.1</v>
      </c>
      <c r="K12" s="34">
        <v>0.06</v>
      </c>
      <c r="L12" s="34">
        <v>0.18</v>
      </c>
      <c r="M12" s="34">
        <v>0.06</v>
      </c>
      <c r="O12" s="35">
        <f t="shared" si="1"/>
        <v>0</v>
      </c>
      <c r="P12" s="35">
        <f t="shared" si="2"/>
        <v>0</v>
      </c>
      <c r="Q12" s="36">
        <f t="shared" si="3"/>
        <v>-1.9999999999999997E-2</v>
      </c>
      <c r="R12" s="35">
        <f t="shared" si="4"/>
        <v>0</v>
      </c>
      <c r="S12" s="35">
        <f t="shared" si="5"/>
        <v>0</v>
      </c>
    </row>
    <row r="13" spans="1:19" x14ac:dyDescent="0.3">
      <c r="A13" s="1" t="s">
        <v>136</v>
      </c>
      <c r="B13" s="17" t="s">
        <v>113</v>
      </c>
      <c r="C13" s="34">
        <v>0.2</v>
      </c>
      <c r="D13" s="34">
        <v>0.1</v>
      </c>
      <c r="E13" s="34">
        <v>0.04</v>
      </c>
      <c r="F13" s="34">
        <v>0.18</v>
      </c>
      <c r="G13" s="34">
        <v>0.06</v>
      </c>
      <c r="I13" s="34">
        <v>0.2</v>
      </c>
      <c r="J13" s="34">
        <v>0.1</v>
      </c>
      <c r="K13" s="34">
        <v>0.06</v>
      </c>
      <c r="L13" s="34">
        <v>0.18</v>
      </c>
      <c r="M13" s="34">
        <v>0.06</v>
      </c>
      <c r="O13" s="35">
        <f t="shared" si="1"/>
        <v>0</v>
      </c>
      <c r="P13" s="35">
        <f t="shared" si="2"/>
        <v>0</v>
      </c>
      <c r="Q13" s="36">
        <f t="shared" si="3"/>
        <v>-1.9999999999999997E-2</v>
      </c>
      <c r="R13" s="35">
        <f t="shared" si="4"/>
        <v>0</v>
      </c>
      <c r="S13" s="35">
        <f t="shared" si="5"/>
        <v>0</v>
      </c>
    </row>
    <row r="14" spans="1:19" x14ac:dyDescent="0.3">
      <c r="A14" s="1" t="s">
        <v>96</v>
      </c>
      <c r="B14" s="17" t="s">
        <v>114</v>
      </c>
      <c r="C14" s="34">
        <v>0.2</v>
      </c>
      <c r="D14" s="34">
        <v>0.1</v>
      </c>
      <c r="E14" s="34">
        <v>0.04</v>
      </c>
      <c r="F14" s="34">
        <v>0.18</v>
      </c>
      <c r="G14" s="34">
        <v>0.06</v>
      </c>
      <c r="I14" s="34">
        <v>0.2</v>
      </c>
      <c r="J14" s="34">
        <v>0.1</v>
      </c>
      <c r="K14" s="34">
        <v>0.06</v>
      </c>
      <c r="L14" s="34">
        <v>0.18</v>
      </c>
      <c r="M14" s="34">
        <v>0.06</v>
      </c>
      <c r="O14" s="35">
        <f t="shared" si="1"/>
        <v>0</v>
      </c>
      <c r="P14" s="35">
        <f t="shared" si="2"/>
        <v>0</v>
      </c>
      <c r="Q14" s="36">
        <f t="shared" si="3"/>
        <v>-1.9999999999999997E-2</v>
      </c>
      <c r="R14" s="35">
        <f t="shared" si="4"/>
        <v>0</v>
      </c>
      <c r="S14" s="35">
        <f t="shared" si="5"/>
        <v>0</v>
      </c>
    </row>
    <row r="15" spans="1:19" x14ac:dyDescent="0.3">
      <c r="A15" s="1" t="s">
        <v>97</v>
      </c>
      <c r="B15" s="17" t="s">
        <v>115</v>
      </c>
      <c r="C15" s="34">
        <v>0.2</v>
      </c>
      <c r="D15" s="34">
        <v>0.1</v>
      </c>
      <c r="E15" s="34">
        <v>0.04</v>
      </c>
      <c r="F15" s="34">
        <v>0.18</v>
      </c>
      <c r="G15" s="34">
        <v>0.06</v>
      </c>
      <c r="I15" s="34">
        <v>0.2</v>
      </c>
      <c r="J15" s="34">
        <v>0.1</v>
      </c>
      <c r="K15" s="34">
        <v>0.06</v>
      </c>
      <c r="L15" s="34">
        <v>0.18</v>
      </c>
      <c r="M15" s="34">
        <v>0.06</v>
      </c>
      <c r="O15" s="35">
        <f t="shared" si="1"/>
        <v>0</v>
      </c>
      <c r="P15" s="35">
        <f t="shared" si="2"/>
        <v>0</v>
      </c>
      <c r="Q15" s="36">
        <f t="shared" si="3"/>
        <v>-1.9999999999999997E-2</v>
      </c>
      <c r="R15" s="35">
        <f t="shared" si="4"/>
        <v>0</v>
      </c>
      <c r="S15" s="35">
        <f t="shared" si="5"/>
        <v>0</v>
      </c>
    </row>
    <row r="16" spans="1:19" x14ac:dyDescent="0.3">
      <c r="A16" s="1" t="s">
        <v>98</v>
      </c>
      <c r="B16" s="17" t="s">
        <v>116</v>
      </c>
      <c r="C16" s="34">
        <v>0.2</v>
      </c>
      <c r="D16" s="34">
        <v>0.1</v>
      </c>
      <c r="E16" s="34">
        <v>0.04</v>
      </c>
      <c r="F16" s="34">
        <v>0.18</v>
      </c>
      <c r="G16" s="34">
        <v>0.06</v>
      </c>
      <c r="I16" s="34">
        <v>0.2</v>
      </c>
      <c r="J16" s="34">
        <v>0.1</v>
      </c>
      <c r="K16" s="34">
        <v>0.06</v>
      </c>
      <c r="L16" s="34">
        <v>0.18</v>
      </c>
      <c r="M16" s="34">
        <v>0.06</v>
      </c>
      <c r="O16" s="35">
        <f t="shared" si="1"/>
        <v>0</v>
      </c>
      <c r="P16" s="35">
        <f t="shared" si="2"/>
        <v>0</v>
      </c>
      <c r="Q16" s="36">
        <f t="shared" si="3"/>
        <v>-1.9999999999999997E-2</v>
      </c>
      <c r="R16" s="35">
        <f t="shared" si="4"/>
        <v>0</v>
      </c>
      <c r="S16" s="35">
        <f t="shared" si="5"/>
        <v>0</v>
      </c>
    </row>
    <row r="17" spans="1:19" x14ac:dyDescent="0.3">
      <c r="A17" s="1" t="s">
        <v>99</v>
      </c>
      <c r="B17" s="17" t="s">
        <v>117</v>
      </c>
      <c r="C17" s="34">
        <v>0.2</v>
      </c>
      <c r="D17" s="34">
        <v>0.1</v>
      </c>
      <c r="E17" s="34">
        <v>0.04</v>
      </c>
      <c r="F17" s="34">
        <v>0.18</v>
      </c>
      <c r="G17" s="34">
        <v>0.06</v>
      </c>
      <c r="I17" s="34">
        <v>0.2</v>
      </c>
      <c r="J17" s="34">
        <v>0.1</v>
      </c>
      <c r="K17" s="34">
        <v>0.06</v>
      </c>
      <c r="L17" s="34">
        <v>0.18</v>
      </c>
      <c r="M17" s="34">
        <v>0.06</v>
      </c>
      <c r="O17" s="35">
        <f t="shared" si="1"/>
        <v>0</v>
      </c>
      <c r="P17" s="35">
        <f t="shared" si="2"/>
        <v>0</v>
      </c>
      <c r="Q17" s="36">
        <f t="shared" si="3"/>
        <v>-1.9999999999999997E-2</v>
      </c>
      <c r="R17" s="35">
        <f t="shared" si="4"/>
        <v>0</v>
      </c>
      <c r="S17" s="35">
        <f t="shared" si="5"/>
        <v>0</v>
      </c>
    </row>
    <row r="18" spans="1:19" x14ac:dyDescent="0.3">
      <c r="A18" s="1" t="s">
        <v>100</v>
      </c>
      <c r="B18" s="17" t="s">
        <v>118</v>
      </c>
      <c r="C18" s="34">
        <v>0.2</v>
      </c>
      <c r="D18" s="34">
        <v>0.24</v>
      </c>
      <c r="E18" s="34">
        <v>0.04</v>
      </c>
      <c r="F18" s="34">
        <v>0.18</v>
      </c>
      <c r="G18" s="34">
        <v>0.06</v>
      </c>
      <c r="I18" s="34">
        <v>0.2</v>
      </c>
      <c r="J18" s="34">
        <v>0.3</v>
      </c>
      <c r="K18" s="34">
        <v>0.06</v>
      </c>
      <c r="L18" s="34">
        <v>0.18</v>
      </c>
      <c r="M18" s="34">
        <v>0.06</v>
      </c>
      <c r="O18" s="35">
        <f t="shared" si="1"/>
        <v>0</v>
      </c>
      <c r="P18" s="36">
        <f t="shared" si="2"/>
        <v>-0.06</v>
      </c>
      <c r="Q18" s="36">
        <f t="shared" si="3"/>
        <v>-1.9999999999999997E-2</v>
      </c>
      <c r="R18" s="35">
        <f t="shared" si="4"/>
        <v>0</v>
      </c>
      <c r="S18" s="35">
        <f t="shared" si="5"/>
        <v>0</v>
      </c>
    </row>
    <row r="19" spans="1:19" x14ac:dyDescent="0.3">
      <c r="A19" s="1" t="s">
        <v>101</v>
      </c>
      <c r="B19" s="17" t="s">
        <v>119</v>
      </c>
      <c r="C19" s="34">
        <v>0.2</v>
      </c>
      <c r="D19" s="34">
        <v>0.24</v>
      </c>
      <c r="E19" s="34">
        <v>0.04</v>
      </c>
      <c r="F19" s="34">
        <v>0.18</v>
      </c>
      <c r="G19" s="34">
        <v>0.06</v>
      </c>
      <c r="I19" s="34">
        <v>0.2</v>
      </c>
      <c r="J19" s="34">
        <v>0.3</v>
      </c>
      <c r="K19" s="34">
        <v>0.06</v>
      </c>
      <c r="L19" s="34">
        <v>0.18</v>
      </c>
      <c r="M19" s="34">
        <v>0.06</v>
      </c>
      <c r="O19" s="35">
        <f t="shared" si="1"/>
        <v>0</v>
      </c>
      <c r="P19" s="36">
        <f t="shared" si="2"/>
        <v>-0.06</v>
      </c>
      <c r="Q19" s="36">
        <f t="shared" si="3"/>
        <v>-1.9999999999999997E-2</v>
      </c>
      <c r="R19" s="35">
        <f t="shared" si="4"/>
        <v>0</v>
      </c>
      <c r="S19" s="35">
        <f t="shared" si="5"/>
        <v>0</v>
      </c>
    </row>
    <row r="20" spans="1:19" x14ac:dyDescent="0.3">
      <c r="A20" s="1" t="s">
        <v>102</v>
      </c>
      <c r="B20" s="17" t="s">
        <v>120</v>
      </c>
      <c r="C20" s="34">
        <v>0.2</v>
      </c>
      <c r="D20" s="35">
        <v>0</v>
      </c>
      <c r="E20" s="34">
        <v>0.04</v>
      </c>
      <c r="F20" s="34">
        <v>0.18</v>
      </c>
      <c r="G20" s="34">
        <v>0.06</v>
      </c>
      <c r="I20" s="34">
        <v>0.2</v>
      </c>
      <c r="J20" s="35">
        <v>0</v>
      </c>
      <c r="K20" s="34">
        <v>0.06</v>
      </c>
      <c r="L20" s="34">
        <v>0.18</v>
      </c>
      <c r="M20" s="34">
        <v>0.06</v>
      </c>
      <c r="O20" s="35">
        <f t="shared" si="1"/>
        <v>0</v>
      </c>
      <c r="P20" s="35">
        <f t="shared" si="2"/>
        <v>0</v>
      </c>
      <c r="Q20" s="36">
        <f t="shared" si="3"/>
        <v>-1.9999999999999997E-2</v>
      </c>
      <c r="R20" s="35">
        <f t="shared" si="4"/>
        <v>0</v>
      </c>
      <c r="S20" s="35">
        <f t="shared" si="5"/>
        <v>0</v>
      </c>
    </row>
    <row r="21" spans="1:19" x14ac:dyDescent="0.3">
      <c r="A21" s="1" t="s">
        <v>103</v>
      </c>
      <c r="B21" s="17" t="s">
        <v>121</v>
      </c>
      <c r="C21" s="34">
        <v>0.2</v>
      </c>
      <c r="D21" s="34">
        <v>0.15</v>
      </c>
      <c r="E21" s="34">
        <v>0.04</v>
      </c>
      <c r="F21" s="34">
        <v>0.18</v>
      </c>
      <c r="G21" s="34">
        <v>0.06</v>
      </c>
      <c r="I21" s="34">
        <v>0.2</v>
      </c>
      <c r="J21" s="34">
        <v>0.15</v>
      </c>
      <c r="K21" s="34">
        <v>0.06</v>
      </c>
      <c r="L21" s="34">
        <v>0.18</v>
      </c>
      <c r="M21" s="34">
        <v>0.06</v>
      </c>
      <c r="O21" s="35">
        <f t="shared" si="1"/>
        <v>0</v>
      </c>
      <c r="P21" s="35">
        <f t="shared" si="2"/>
        <v>0</v>
      </c>
      <c r="Q21" s="36">
        <f t="shared" si="3"/>
        <v>-1.9999999999999997E-2</v>
      </c>
      <c r="R21" s="35">
        <f t="shared" si="4"/>
        <v>0</v>
      </c>
      <c r="S21" s="35">
        <f t="shared" si="5"/>
        <v>0</v>
      </c>
    </row>
    <row r="22" spans="1:19" x14ac:dyDescent="0.3">
      <c r="A22" s="1" t="s">
        <v>133</v>
      </c>
      <c r="B22" s="17" t="s">
        <v>134</v>
      </c>
      <c r="C22" s="34">
        <v>0.2</v>
      </c>
      <c r="D22" s="34">
        <v>0.1</v>
      </c>
      <c r="E22" s="34">
        <v>0.04</v>
      </c>
      <c r="F22" s="34">
        <v>0.18</v>
      </c>
      <c r="G22" s="34">
        <v>0.06</v>
      </c>
      <c r="I22" s="34">
        <v>0.2</v>
      </c>
      <c r="J22" s="34">
        <v>0.1</v>
      </c>
      <c r="K22" s="34">
        <v>0.06</v>
      </c>
      <c r="L22" s="34">
        <v>0.18</v>
      </c>
      <c r="M22" s="34">
        <v>0.06</v>
      </c>
      <c r="O22" s="35">
        <f t="shared" ref="O22" si="6">I22-C22</f>
        <v>0</v>
      </c>
      <c r="P22" s="35">
        <f t="shared" si="2"/>
        <v>0</v>
      </c>
      <c r="Q22" s="36">
        <f t="shared" si="3"/>
        <v>-1.9999999999999997E-2</v>
      </c>
      <c r="R22" s="35">
        <f t="shared" ref="R22" si="7">L22-F22</f>
        <v>0</v>
      </c>
      <c r="S22" s="35">
        <f t="shared" ref="S22" si="8">M22-G22</f>
        <v>0</v>
      </c>
    </row>
    <row r="23" spans="1:19" s="47" customFormat="1" ht="28.8" x14ac:dyDescent="0.3">
      <c r="A23" s="43" t="s">
        <v>135</v>
      </c>
      <c r="B23" s="44" t="s">
        <v>125</v>
      </c>
      <c r="C23" s="45">
        <v>0.1</v>
      </c>
      <c r="D23" s="45">
        <v>0.2</v>
      </c>
      <c r="E23" s="46">
        <v>0</v>
      </c>
      <c r="F23" s="45">
        <v>0.18</v>
      </c>
      <c r="G23" s="45">
        <v>0.06</v>
      </c>
      <c r="I23" s="45">
        <v>0.11</v>
      </c>
      <c r="J23" s="45">
        <v>0.2</v>
      </c>
      <c r="K23" s="45">
        <v>0.02</v>
      </c>
      <c r="L23" s="45">
        <v>0.18</v>
      </c>
      <c r="M23" s="45">
        <v>0.06</v>
      </c>
      <c r="O23" s="48">
        <f t="shared" si="2"/>
        <v>-9.999999999999995E-3</v>
      </c>
      <c r="P23" s="46">
        <f t="shared" si="2"/>
        <v>0</v>
      </c>
      <c r="Q23" s="48">
        <f t="shared" si="3"/>
        <v>-0.02</v>
      </c>
      <c r="R23" s="46">
        <f t="shared" si="4"/>
        <v>0</v>
      </c>
      <c r="S23" s="46">
        <f t="shared" si="5"/>
        <v>0</v>
      </c>
    </row>
    <row r="24" spans="1:19" x14ac:dyDescent="0.3">
      <c r="A24" s="1" t="s">
        <v>104</v>
      </c>
      <c r="B24" s="17" t="s">
        <v>122</v>
      </c>
      <c r="C24" s="35">
        <v>0</v>
      </c>
      <c r="D24" s="34">
        <v>0.24</v>
      </c>
      <c r="E24" s="35">
        <v>0</v>
      </c>
      <c r="F24" s="34">
        <v>0.25</v>
      </c>
      <c r="G24" s="34">
        <v>0.06</v>
      </c>
      <c r="I24" s="34">
        <v>0.03</v>
      </c>
      <c r="J24" s="34">
        <v>0.3</v>
      </c>
      <c r="K24" s="34">
        <v>0.02</v>
      </c>
      <c r="L24" s="34">
        <v>0.25</v>
      </c>
      <c r="M24" s="34">
        <v>0.06</v>
      </c>
      <c r="O24" s="36">
        <f t="shared" si="2"/>
        <v>-0.03</v>
      </c>
      <c r="P24" s="36">
        <f t="shared" si="2"/>
        <v>-0.06</v>
      </c>
      <c r="Q24" s="36">
        <f t="shared" si="3"/>
        <v>-0.02</v>
      </c>
      <c r="R24" s="35">
        <f t="shared" si="4"/>
        <v>0</v>
      </c>
      <c r="S24" s="35">
        <f t="shared" si="5"/>
        <v>0</v>
      </c>
    </row>
    <row r="25" spans="1:19" x14ac:dyDescent="0.3">
      <c r="A25" s="1" t="s">
        <v>123</v>
      </c>
      <c r="B25" s="17" t="s">
        <v>124</v>
      </c>
      <c r="C25" s="35">
        <v>0</v>
      </c>
      <c r="D25" s="35">
        <v>0</v>
      </c>
      <c r="E25" s="35">
        <v>0</v>
      </c>
      <c r="F25" s="34">
        <v>0.18</v>
      </c>
      <c r="G25" s="34">
        <v>0.06</v>
      </c>
      <c r="I25" s="34">
        <v>0.03</v>
      </c>
      <c r="J25" s="35">
        <v>0</v>
      </c>
      <c r="K25" s="34">
        <v>0.02</v>
      </c>
      <c r="L25" s="34">
        <v>0.18</v>
      </c>
      <c r="M25" s="34">
        <v>0.06</v>
      </c>
      <c r="O25" s="36">
        <f t="shared" si="2"/>
        <v>-0.03</v>
      </c>
      <c r="P25" s="35">
        <f t="shared" si="2"/>
        <v>0</v>
      </c>
      <c r="Q25" s="36">
        <f t="shared" si="3"/>
        <v>-0.02</v>
      </c>
      <c r="R25" s="35">
        <f t="shared" si="4"/>
        <v>0</v>
      </c>
      <c r="S25" s="35">
        <f t="shared" si="5"/>
        <v>0</v>
      </c>
    </row>
  </sheetData>
  <mergeCells count="5">
    <mergeCell ref="C2:G2"/>
    <mergeCell ref="I2:M2"/>
    <mergeCell ref="C1:G1"/>
    <mergeCell ref="I1:M1"/>
    <mergeCell ref="O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2018 - 2019</vt:lpstr>
      <vt:lpstr>PCT</vt:lpstr>
      <vt:lpstr>Sheet1</vt:lpstr>
    </vt:vector>
  </TitlesOfParts>
  <Company>spl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Numair Arshad</dc:creator>
  <cp:lastModifiedBy>Faheem</cp:lastModifiedBy>
  <dcterms:created xsi:type="dcterms:W3CDTF">2017-12-28T13:34:02Z</dcterms:created>
  <dcterms:modified xsi:type="dcterms:W3CDTF">2026-03-09T10:25:55Z</dcterms:modified>
</cp:coreProperties>
</file>